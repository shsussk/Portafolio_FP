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is\Downloads\"/>
    </mc:Choice>
  </mc:AlternateContent>
  <xr:revisionPtr revIDLastSave="0" documentId="13_ncr:1_{FE8DC4DD-581A-4C30-BB74-0CA32C8143CE}" xr6:coauthVersionLast="47" xr6:coauthVersionMax="47" xr10:uidLastSave="{00000000-0000-0000-0000-000000000000}"/>
  <bookViews>
    <workbookView xWindow="-108" yWindow="-108" windowWidth="23256" windowHeight="12456" activeTab="6" xr2:uid="{E39AF0B0-7CB2-4C0A-B47A-4E99ADCD5A43}"/>
  </bookViews>
  <sheets>
    <sheet name="Introducción" sheetId="3" r:id="rId1"/>
    <sheet name="Datos_largo" sheetId="4" r:id="rId2"/>
    <sheet name="Datos_AF_Peso" sheetId="5" r:id="rId3"/>
    <sheet name="Datos_estructura" sheetId="6" r:id="rId4"/>
    <sheet name="Datos_tiempo" sheetId="7" r:id="rId5"/>
    <sheet name="Datos_area" sheetId="8" r:id="rId6"/>
    <sheet name="Datos_producción" sheetId="9" r:id="rId7"/>
    <sheet name="Producción_anual" sheetId="10" r:id="rId8"/>
    <sheet name="Tabla_final" sheetId="11" r:id="rId9"/>
    <sheet name="Datos_crudo_Crecimiento" sheetId="1" r:id="rId10"/>
    <sheet name="Datos_crudo_Cosecha" sheetId="2" r:id="rId1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S336" i="2" l="1"/>
  <c r="S335" i="2"/>
  <c r="S331" i="2"/>
  <c r="S330" i="2"/>
  <c r="S328" i="2"/>
  <c r="S327" i="2"/>
  <c r="S326" i="2"/>
  <c r="S325" i="2"/>
  <c r="S324" i="2"/>
  <c r="S323" i="2"/>
  <c r="S320" i="2"/>
  <c r="S319" i="2"/>
  <c r="S318" i="2"/>
  <c r="S317" i="2"/>
  <c r="S316" i="2"/>
  <c r="S315" i="2"/>
  <c r="S314" i="2"/>
  <c r="S313" i="2"/>
  <c r="S312" i="2"/>
  <c r="S310" i="2"/>
  <c r="S304" i="2"/>
  <c r="S303" i="2"/>
  <c r="S301" i="2"/>
  <c r="S299" i="2"/>
  <c r="S298" i="2"/>
  <c r="S297" i="2"/>
  <c r="S296" i="2"/>
  <c r="S295" i="2"/>
  <c r="S293" i="2"/>
  <c r="S292" i="2"/>
  <c r="S291" i="2"/>
  <c r="S290" i="2"/>
  <c r="S289" i="2"/>
  <c r="S287" i="2"/>
  <c r="S285" i="2"/>
  <c r="S281" i="2"/>
  <c r="S278" i="2"/>
  <c r="S277" i="2"/>
  <c r="S276" i="2"/>
  <c r="S275" i="2"/>
  <c r="S274" i="2"/>
  <c r="S273" i="2"/>
  <c r="S271" i="2"/>
  <c r="S270" i="2"/>
  <c r="S266" i="2"/>
  <c r="S263" i="2"/>
  <c r="S262" i="2"/>
  <c r="S260" i="2"/>
  <c r="S259" i="2"/>
  <c r="S256" i="2"/>
  <c r="S255" i="2"/>
  <c r="S254" i="2"/>
  <c r="S253" i="2"/>
  <c r="S251" i="2"/>
  <c r="S250" i="2"/>
  <c r="S249" i="2"/>
  <c r="S248" i="2"/>
  <c r="S247" i="2"/>
  <c r="S246" i="2"/>
  <c r="S245" i="2"/>
  <c r="S244" i="2"/>
  <c r="S243" i="2"/>
  <c r="S242" i="2"/>
  <c r="S240" i="2"/>
  <c r="S239" i="2"/>
  <c r="S238" i="2"/>
  <c r="S237" i="2"/>
  <c r="S234" i="2"/>
  <c r="S232" i="2"/>
  <c r="S231" i="2"/>
  <c r="S230" i="2"/>
  <c r="S229" i="2"/>
  <c r="S227" i="2"/>
  <c r="S220" i="2"/>
  <c r="S215" i="2"/>
  <c r="S214" i="2"/>
  <c r="S213" i="2"/>
  <c r="S210" i="2"/>
  <c r="S208" i="2"/>
  <c r="S207" i="2"/>
  <c r="S206" i="2"/>
  <c r="S205" i="2"/>
  <c r="S203" i="2"/>
  <c r="S202" i="2"/>
  <c r="S201" i="2"/>
  <c r="S200" i="2"/>
  <c r="S192" i="2"/>
  <c r="S190" i="2"/>
  <c r="S189" i="2"/>
  <c r="S188" i="2"/>
  <c r="S187" i="2"/>
  <c r="S186" i="2"/>
  <c r="S185" i="2"/>
  <c r="S184" i="2"/>
  <c r="S182" i="2"/>
  <c r="S181" i="2"/>
  <c r="S179" i="2"/>
  <c r="S178" i="2"/>
  <c r="S175" i="2"/>
  <c r="S173" i="2"/>
  <c r="S171" i="2"/>
  <c r="S170" i="2"/>
  <c r="S164" i="2"/>
  <c r="S161" i="2"/>
  <c r="S153" i="2"/>
  <c r="S151" i="2"/>
  <c r="S148" i="2"/>
  <c r="S147" i="2"/>
  <c r="S146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6" i="2"/>
  <c r="S125" i="2"/>
  <c r="S124" i="2"/>
  <c r="S122" i="2"/>
  <c r="S119" i="2"/>
  <c r="S118" i="2"/>
  <c r="S117" i="2"/>
  <c r="S116" i="2"/>
  <c r="S114" i="2"/>
  <c r="S112" i="2"/>
  <c r="S111" i="2"/>
  <c r="S110" i="2"/>
  <c r="S108" i="2"/>
  <c r="S106" i="2"/>
  <c r="S105" i="2"/>
  <c r="S104" i="2"/>
  <c r="S103" i="2"/>
  <c r="S102" i="2"/>
  <c r="S100" i="2"/>
  <c r="S98" i="2"/>
  <c r="S97" i="2"/>
  <c r="S96" i="2"/>
  <c r="S95" i="2"/>
  <c r="S94" i="2"/>
  <c r="S92" i="2"/>
  <c r="S91" i="2"/>
  <c r="S90" i="2"/>
  <c r="S89" i="2"/>
  <c r="S85" i="2"/>
  <c r="S81" i="2"/>
  <c r="S80" i="2"/>
  <c r="S79" i="2"/>
  <c r="S78" i="2"/>
  <c r="S77" i="2"/>
  <c r="S76" i="2"/>
  <c r="S73" i="2"/>
  <c r="S72" i="2"/>
  <c r="S71" i="2"/>
  <c r="S70" i="2"/>
  <c r="S69" i="2"/>
  <c r="S66" i="2"/>
  <c r="S65" i="2"/>
  <c r="S64" i="2"/>
  <c r="S63" i="2"/>
  <c r="S62" i="2"/>
  <c r="S61" i="2"/>
  <c r="S60" i="2"/>
  <c r="S58" i="2"/>
  <c r="S57" i="2"/>
  <c r="S56" i="2"/>
  <c r="S55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5" i="2"/>
  <c r="S34" i="2"/>
  <c r="S33" i="2"/>
  <c r="S31" i="2"/>
  <c r="S30" i="2"/>
  <c r="S29" i="2"/>
  <c r="S28" i="2"/>
  <c r="S27" i="2"/>
  <c r="S26" i="2"/>
  <c r="S24" i="2"/>
  <c r="S17" i="2"/>
  <c r="S15" i="2"/>
  <c r="S14" i="2"/>
  <c r="S12" i="2"/>
  <c r="S9" i="2"/>
  <c r="S4" i="2"/>
  <c r="S3" i="2"/>
</calcChain>
</file>

<file path=xl/sharedStrings.xml><?xml version="1.0" encoding="utf-8"?>
<sst xmlns="http://schemas.openxmlformats.org/spreadsheetml/2006/main" count="11121" uniqueCount="199">
  <si>
    <t>1_Fecha</t>
  </si>
  <si>
    <t>2_Responsable</t>
  </si>
  <si>
    <t>3_Finca</t>
  </si>
  <si>
    <t>4_Tratamiento</t>
  </si>
  <si>
    <t>5_Repeticin</t>
  </si>
  <si>
    <t>7_1Altura_de_la_plan</t>
  </si>
  <si>
    <t>8_2Dimetro_del_pseud</t>
  </si>
  <si>
    <t>9_3Nmero_de_hojas_ac</t>
  </si>
  <si>
    <t>10_4__de_hojas_actua</t>
  </si>
  <si>
    <t>11_5_Hojas_despus_de</t>
  </si>
  <si>
    <t>12_Observacin</t>
  </si>
  <si>
    <t>14_1Altura_de_la_pla</t>
  </si>
  <si>
    <t>15_2Dimetro_del_pseu</t>
  </si>
  <si>
    <t>16_3Nmero_de_hojas_a</t>
  </si>
  <si>
    <t>17_4__de_hojas_actua</t>
  </si>
  <si>
    <t>18_5_Hojas_despus_de</t>
  </si>
  <si>
    <t>19_Observacin</t>
  </si>
  <si>
    <t>21_1Altura_de_la_pla</t>
  </si>
  <si>
    <t>22_2Dimetro_del_pseu</t>
  </si>
  <si>
    <t>23_3Nmero_de_hojas_a</t>
  </si>
  <si>
    <t>24_4__de_hojas_actua</t>
  </si>
  <si>
    <t>25_5_Hojas_despus_de</t>
  </si>
  <si>
    <t>26_Observacin</t>
  </si>
  <si>
    <t>28_1Altura_de_la_pla</t>
  </si>
  <si>
    <t>29_2Dimetro_del_pseu</t>
  </si>
  <si>
    <t>30_3Nmero_de_hojas_a</t>
  </si>
  <si>
    <t>31_4__de_hojas_actua</t>
  </si>
  <si>
    <t>32_5_Hojas_despus_de</t>
  </si>
  <si>
    <t>33_Observacin</t>
  </si>
  <si>
    <t>35_1Altura_de_la_pla</t>
  </si>
  <si>
    <t>36_2Dimetro_del_pseu</t>
  </si>
  <si>
    <t>37_3Nmero_de_hojas_a</t>
  </si>
  <si>
    <t>38_4__de_hojas_actua</t>
  </si>
  <si>
    <t>39_5_Hojas_despus_de</t>
  </si>
  <si>
    <t>40_Observacin</t>
  </si>
  <si>
    <t>42_1Altura_de_la_pla</t>
  </si>
  <si>
    <t>43_2Dimetro_del_pseu</t>
  </si>
  <si>
    <t>44_3Nmero_de_hojas_a</t>
  </si>
  <si>
    <t>45_4__de_hojas_actua</t>
  </si>
  <si>
    <t>46_5_Hojas_despus_de</t>
  </si>
  <si>
    <t>47_Observacin</t>
  </si>
  <si>
    <t>49_1Altura_de_la_pla</t>
  </si>
  <si>
    <t>50_2Dimetro_del_pseu</t>
  </si>
  <si>
    <t>51_3Nmero_de_hojas_a</t>
  </si>
  <si>
    <t>52_4__de_hojas_actua</t>
  </si>
  <si>
    <t>53_5_Hojas_despus_de</t>
  </si>
  <si>
    <t>54_Observacin</t>
  </si>
  <si>
    <t>56_1Altura_de_la_pla</t>
  </si>
  <si>
    <t>57_2Dimetro_del_pseu</t>
  </si>
  <si>
    <t>58_3Nmero_de_hojas_a</t>
  </si>
  <si>
    <t>59_4__de_hojas_actua</t>
  </si>
  <si>
    <t>60_5_Hojas_despus_de</t>
  </si>
  <si>
    <t>61_Observacin</t>
  </si>
  <si>
    <t>63_1Altura_de_la_pla</t>
  </si>
  <si>
    <t>64_2Dimetro_del_pseu</t>
  </si>
  <si>
    <t>65_3Nmero_de_hojas_a</t>
  </si>
  <si>
    <t>66_4__de_hojas_actua</t>
  </si>
  <si>
    <t>67_5_Hojas_despus_de</t>
  </si>
  <si>
    <t>68_Observacin</t>
  </si>
  <si>
    <t>70_1Altura_de_la_pla</t>
  </si>
  <si>
    <t>71_2Dimetro_del_pseu</t>
  </si>
  <si>
    <t>72_3Nmero_de_hojas_a</t>
  </si>
  <si>
    <t>73_4__de_hojas_actua</t>
  </si>
  <si>
    <t>74_5_Hojas_despus_de</t>
  </si>
  <si>
    <t>75_Observacin</t>
  </si>
  <si>
    <t>77_1Altura_de_la_pla</t>
  </si>
  <si>
    <t>78_2Dimetro_del_pseu</t>
  </si>
  <si>
    <t>79_3Nmero_de_hojas_a</t>
  </si>
  <si>
    <t>80_4__de_hojas_actua</t>
  </si>
  <si>
    <t>81_5_Hojas_despus_de</t>
  </si>
  <si>
    <t>82_Observacin</t>
  </si>
  <si>
    <t>84_1Altura_de_la_pla</t>
  </si>
  <si>
    <t>85_2Dimetro_del_pseu</t>
  </si>
  <si>
    <t>86_3Nmero_de_hojas_a</t>
  </si>
  <si>
    <t>87_4__de_hojas_actua</t>
  </si>
  <si>
    <t>88_5_Hojas_despus_de</t>
  </si>
  <si>
    <t>89_Observacin</t>
  </si>
  <si>
    <t>91_1Altura_de_la_pla</t>
  </si>
  <si>
    <t>92_2Dimetro_del_pseu</t>
  </si>
  <si>
    <t>93_3Nmero_de_hojas_a</t>
  </si>
  <si>
    <t>94_4__de_hojas_actua</t>
  </si>
  <si>
    <t>95_5_Hojas_despus_de</t>
  </si>
  <si>
    <t>96_Observacin</t>
  </si>
  <si>
    <t>98_1Altura_de_la_pla</t>
  </si>
  <si>
    <t>99_2Dimetro_del_pseu</t>
  </si>
  <si>
    <t>100_3Nmero_de_hojas_</t>
  </si>
  <si>
    <t>101_4__de_hojas_actu</t>
  </si>
  <si>
    <t>102_5_Hojas_despus_d</t>
  </si>
  <si>
    <t>103_Observacin</t>
  </si>
  <si>
    <t>105_1Altura_de_la_pl</t>
  </si>
  <si>
    <t>106_2Dimetro_del_pse</t>
  </si>
  <si>
    <t>107_3Nmero_de_hojas_</t>
  </si>
  <si>
    <t>108_4__de_hojas_actu</t>
  </si>
  <si>
    <t>109_5_Hojas_despus_d</t>
  </si>
  <si>
    <t>110_Observacin</t>
  </si>
  <si>
    <t>Verni</t>
  </si>
  <si>
    <t>Billy</t>
  </si>
  <si>
    <t>Terrafer</t>
  </si>
  <si>
    <t>F1</t>
  </si>
  <si>
    <t>Testigo</t>
  </si>
  <si>
    <t>Diony</t>
  </si>
  <si>
    <t>Harina de sangre</t>
  </si>
  <si>
    <t>sin hoja verdadera</t>
  </si>
  <si>
    <t>Sin hoja verdadera</t>
  </si>
  <si>
    <t>Fernández</t>
  </si>
  <si>
    <t>Sin hoja  verdadera</t>
  </si>
  <si>
    <t>Sin hoja  verdaderas</t>
  </si>
  <si>
    <t>Si hoja verdadera</t>
  </si>
  <si>
    <t>Sin hoja verdadero</t>
  </si>
  <si>
    <t>Fertikal</t>
  </si>
  <si>
    <t>sin hojaverdadera</t>
  </si>
  <si>
    <t>10'0</t>
  </si>
  <si>
    <t>9'0</t>
  </si>
  <si>
    <t>oja sana</t>
  </si>
  <si>
    <t>Francis</t>
  </si>
  <si>
    <t>Acaros araña roja</t>
  </si>
  <si>
    <t>8 ,2</t>
  </si>
  <si>
    <t>con.mansana</t>
  </si>
  <si>
    <t>en mansana</t>
  </si>
  <si>
    <t>Ácaros araña roja</t>
  </si>
  <si>
    <t>Bellota</t>
  </si>
  <si>
    <t>Oja sana</t>
  </si>
  <si>
    <t>parida</t>
  </si>
  <si>
    <t>parida sinta gris</t>
  </si>
  <si>
    <t>Semana_enfunde</t>
  </si>
  <si>
    <t xml:space="preserve">Semana_cosecha </t>
  </si>
  <si>
    <t>Edad</t>
  </si>
  <si>
    <t>Altura_hijo_cosecha</t>
  </si>
  <si>
    <t xml:space="preserve">Hoja_cosecha </t>
  </si>
  <si>
    <t>Peso</t>
  </si>
  <si>
    <t>Grado</t>
  </si>
  <si>
    <t>Manos</t>
  </si>
  <si>
    <t>Largos</t>
  </si>
  <si>
    <t>Area_foliar</t>
  </si>
  <si>
    <t>Fecha</t>
  </si>
  <si>
    <t>Responsable</t>
  </si>
  <si>
    <t>Finca</t>
  </si>
  <si>
    <t>Tratamiento</t>
  </si>
  <si>
    <t>Repeticion</t>
  </si>
  <si>
    <t>Planta</t>
  </si>
  <si>
    <t>Altura_cm</t>
  </si>
  <si>
    <t>Diametro_cm</t>
  </si>
  <si>
    <t>Num_hojas</t>
  </si>
  <si>
    <t>Observacion</t>
  </si>
  <si>
    <t>2</t>
  </si>
  <si>
    <t>P1</t>
  </si>
  <si>
    <t>3</t>
  </si>
  <si>
    <t>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</si>
  <si>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</si>
  <si>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</si>
  <si>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</si>
  <si>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</si>
  <si>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</si>
  <si>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</si>
  <si>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</si>
  <si>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</si>
  <si>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</si>
  <si>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</si>
  <si>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</si>
  <si>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</si>
  <si>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</si>
  <si>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finca</t>
  </si>
  <si>
    <t>tratamiento</t>
  </si>
  <si>
    <t>repeticion</t>
  </si>
  <si>
    <t>N_planta</t>
  </si>
  <si>
    <t>Altura_floracion</t>
  </si>
  <si>
    <t>Circunferencia_floracion</t>
  </si>
  <si>
    <t>Hoja_floracion</t>
  </si>
  <si>
    <t>Altura_hijo_floracion</t>
  </si>
  <si>
    <t>Cinta</t>
  </si>
  <si>
    <t>Semana_cosecha</t>
  </si>
  <si>
    <t>Hoja_cosecha</t>
  </si>
  <si>
    <t>Harina Sangre</t>
  </si>
  <si>
    <t>gris</t>
  </si>
  <si>
    <t>amarilla</t>
  </si>
  <si>
    <t>marron</t>
  </si>
  <si>
    <t>roja</t>
  </si>
  <si>
    <t>blanca</t>
  </si>
  <si>
    <t>negra</t>
  </si>
  <si>
    <t>verde</t>
  </si>
  <si>
    <t>azul</t>
  </si>
  <si>
    <t>rojo</t>
  </si>
  <si>
    <t>Fernandez</t>
  </si>
  <si>
    <t xml:space="preserve">blanca </t>
  </si>
  <si>
    <t xml:space="preserve">Testigo </t>
  </si>
  <si>
    <t xml:space="preserve">marron </t>
  </si>
  <si>
    <t xml:space="preserve">verde </t>
  </si>
  <si>
    <t>Semanas_ciclo</t>
  </si>
  <si>
    <t>Retorno</t>
  </si>
  <si>
    <t>Retorno_med</t>
  </si>
  <si>
    <t>Ciclo_med</t>
  </si>
  <si>
    <t>Peso_med</t>
  </si>
  <si>
    <t>Grado_med</t>
  </si>
  <si>
    <t>Manos_med</t>
  </si>
  <si>
    <t>kg_planta_año</t>
  </si>
  <si>
    <t>Ciclo_semanas</t>
  </si>
  <si>
    <t>Retorno_año</t>
  </si>
  <si>
    <t>Peso_kg</t>
  </si>
  <si>
    <t>Prod_anual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</si>
</sst>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20" fontId="0" fillId="2" borderId="1" xfId="0" applyNumberForma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/>
    </xf>
    <xf numFmtId="20" fontId="0" fillId="2" borderId="1" xfId="0" applyNumberFormat="1" applyFill="1" applyBorder="1" applyAlignment="1">
      <alignment horizontal="center"/>
    </xf>
    <xf numFmtId="46" fontId="0" fillId="2" borderId="1" xfId="0" applyNumberForma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</xdr:colOff>
      <xdr:row>0</xdr:row>
      <xdr:rowOff>160020</xdr:rowOff>
    </xdr:from>
    <xdr:ext cx="6972300" cy="4491294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98F04829-681B-916C-293B-FBAD05CC786B}"/>
            </a:ext>
          </a:extLst>
        </xdr:cNvPr>
        <xdr:cNvSpPr txBox="1"/>
      </xdr:nvSpPr>
      <xdr:spPr>
        <a:xfrm>
          <a:off x="121920" y="160020"/>
          <a:ext cx="6972300" cy="4491294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6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Introducción de la base de datos del ensayo</a:t>
          </a:r>
        </a:p>
        <a:p>
          <a:endParaRPr lang="es-ES" sz="1400" b="1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E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Esta base de datos reúne la información completa del ensayo de fertilización en banano realizado en las fincas Billy y Fernández, bajo un diseño completamente al azar con cuatro tratamientos de fertilización nitrogenada (Terrafer, Harina de sangre, Fertikal y un testigo con combinación alternada) y tres repeticiones por tratamiento. Cada registro corresponde a una planta individual, identificada por finca, tratamiento, repetición y número de planta, e incluye variables de estructura de la madre e hijo (altura, circunferencia de pseudotallo, número de hojas, área foliar), variables fenológicas (semanas a enfunde, semanas a cosecha, edad del racimo) y variables productivas (peso de racimo, número de manos, grado y longitud de fruto).</a:t>
          </a:r>
        </a:p>
        <a:p>
          <a:pPr algn="l"/>
          <a:endParaRPr lang="es-ES" sz="1400" b="0" i="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es-ES" sz="1400" b="0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El objetivo de esta base es documentar de forma trazable el desempeño de cada planta a lo largo del ciclo, permitiendo analizar el efecto de los fertilizantes sobre el crecimiento, la duración del ciclo, el retorno en racimos por año y la productividad anual de fruta por planta, así como explorar relaciones fisiológicas como la asociación entre área foliar y peso de racimo. La estructura en formato tabla (una fila por planta, una columna por variable) facilita el uso de herramientas estadísticas y de visualización para apoyar la toma de decisiones de manejo en las fincas y la elaboración de informes técnicos y científicos.</a:t>
          </a:r>
        </a:p>
        <a:p>
          <a:endParaRPr lang="es-E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26CD9-E26D-45B9-BDB5-8C978D9CDBC3}">
  <dimension ref="A1"/>
  <sheetViews>
    <sheetView workbookViewId="0">
      <selection activeCell="L17" sqref="L17"/>
    </sheetView>
  </sheetViews>
  <sheetFormatPr baseColWidth="10" defaultRowHeight="14.4" x14ac:dyDescent="0.3"/>
  <cols>
    <col min="1" max="16384" width="11.5546875" style="3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E1090B-4B68-42B4-9A0B-A91EFDC9E679}">
  <dimension ref="A1:J897"/>
  <sheetViews>
    <sheetView workbookViewId="0"/>
  </sheetViews>
  <sheetFormatPr baseColWidth="10" defaultColWidth="17.77734375" defaultRowHeight="14.4" x14ac:dyDescent="0.3"/>
  <cols>
    <col min="1" max="16384" width="17.77734375" style="3"/>
  </cols>
  <sheetData>
    <row r="1" spans="1:10" x14ac:dyDescent="0.3">
      <c r="A1" s="2" t="s">
        <v>134</v>
      </c>
      <c r="B1" s="2" t="s">
        <v>135</v>
      </c>
      <c r="C1" s="2" t="s">
        <v>136</v>
      </c>
      <c r="D1" s="2" t="s">
        <v>137</v>
      </c>
      <c r="E1" s="2" t="s">
        <v>138</v>
      </c>
      <c r="F1" s="2" t="s">
        <v>139</v>
      </c>
      <c r="G1" s="2" t="s">
        <v>140</v>
      </c>
      <c r="H1" s="2" t="s">
        <v>141</v>
      </c>
      <c r="I1" s="2" t="s">
        <v>142</v>
      </c>
      <c r="J1" s="2" t="s">
        <v>143</v>
      </c>
    </row>
    <row r="2" spans="1:10" x14ac:dyDescent="0.3">
      <c r="A2" s="5">
        <v>45737</v>
      </c>
      <c r="B2" s="1" t="s">
        <v>95</v>
      </c>
      <c r="C2" s="1" t="s">
        <v>96</v>
      </c>
      <c r="D2" s="1" t="s">
        <v>97</v>
      </c>
      <c r="E2" s="1" t="s">
        <v>144</v>
      </c>
      <c r="F2" s="1" t="s">
        <v>145</v>
      </c>
      <c r="G2" s="1">
        <v>85</v>
      </c>
      <c r="H2" s="1">
        <v>23</v>
      </c>
      <c r="I2" s="1"/>
      <c r="J2" s="1" t="s">
        <v>98</v>
      </c>
    </row>
    <row r="3" spans="1:10" x14ac:dyDescent="0.3">
      <c r="A3" s="5">
        <v>45737</v>
      </c>
      <c r="B3" s="1" t="s">
        <v>95</v>
      </c>
      <c r="C3" s="1" t="s">
        <v>96</v>
      </c>
      <c r="D3" s="1" t="s">
        <v>97</v>
      </c>
      <c r="E3" s="1" t="s">
        <v>146</v>
      </c>
      <c r="F3" s="1" t="s">
        <v>145</v>
      </c>
      <c r="G3" s="1">
        <v>90</v>
      </c>
      <c r="H3" s="1">
        <v>22</v>
      </c>
      <c r="I3" s="1"/>
      <c r="J3" s="1" t="s">
        <v>98</v>
      </c>
    </row>
    <row r="4" spans="1:10" x14ac:dyDescent="0.3">
      <c r="A4" s="5">
        <v>45737</v>
      </c>
      <c r="B4" s="1" t="s">
        <v>95</v>
      </c>
      <c r="C4" s="1" t="s">
        <v>96</v>
      </c>
      <c r="D4" s="1" t="s">
        <v>99</v>
      </c>
      <c r="E4" s="1" t="s">
        <v>144</v>
      </c>
      <c r="F4" s="1" t="s">
        <v>145</v>
      </c>
      <c r="G4" s="1">
        <v>70</v>
      </c>
      <c r="H4" s="1">
        <v>20</v>
      </c>
      <c r="I4" s="1"/>
      <c r="J4" s="1" t="s">
        <v>98</v>
      </c>
    </row>
    <row r="5" spans="1:10" x14ac:dyDescent="0.3">
      <c r="A5" s="5">
        <v>45737</v>
      </c>
      <c r="B5" s="1" t="s">
        <v>95</v>
      </c>
      <c r="C5" s="1" t="s">
        <v>96</v>
      </c>
      <c r="D5" s="1" t="s">
        <v>97</v>
      </c>
      <c r="E5" s="1" t="s">
        <v>147</v>
      </c>
      <c r="F5" s="1" t="s">
        <v>145</v>
      </c>
      <c r="G5" s="1">
        <v>90</v>
      </c>
      <c r="H5" s="1">
        <v>23</v>
      </c>
      <c r="I5" s="1"/>
      <c r="J5" s="1" t="s">
        <v>98</v>
      </c>
    </row>
    <row r="6" spans="1:10" x14ac:dyDescent="0.3">
      <c r="A6" s="5">
        <v>45737</v>
      </c>
      <c r="B6" s="1" t="s">
        <v>100</v>
      </c>
      <c r="C6" s="1" t="s">
        <v>96</v>
      </c>
      <c r="D6" s="1" t="s">
        <v>101</v>
      </c>
      <c r="E6" s="1" t="s">
        <v>146</v>
      </c>
      <c r="F6" s="1" t="s">
        <v>145</v>
      </c>
      <c r="G6" s="1">
        <v>93</v>
      </c>
      <c r="H6" s="1">
        <v>26</v>
      </c>
      <c r="I6" s="1"/>
      <c r="J6" s="1" t="s">
        <v>102</v>
      </c>
    </row>
    <row r="7" spans="1:10" x14ac:dyDescent="0.3">
      <c r="A7" s="5">
        <v>45737</v>
      </c>
      <c r="B7" s="1" t="s">
        <v>100</v>
      </c>
      <c r="C7" s="1" t="s">
        <v>96</v>
      </c>
      <c r="D7" s="1" t="s">
        <v>99</v>
      </c>
      <c r="E7" s="1" t="s">
        <v>146</v>
      </c>
      <c r="F7" s="1" t="s">
        <v>145</v>
      </c>
      <c r="G7" s="1">
        <v>72</v>
      </c>
      <c r="H7" s="1">
        <v>21</v>
      </c>
      <c r="I7" s="1"/>
      <c r="J7" s="1" t="s">
        <v>102</v>
      </c>
    </row>
    <row r="8" spans="1:10" x14ac:dyDescent="0.3">
      <c r="A8" s="5">
        <v>45737</v>
      </c>
      <c r="B8" s="1" t="s">
        <v>100</v>
      </c>
      <c r="C8" s="1" t="s">
        <v>96</v>
      </c>
      <c r="D8" s="1" t="s">
        <v>97</v>
      </c>
      <c r="E8" s="1" t="s">
        <v>146</v>
      </c>
      <c r="F8" s="1" t="s">
        <v>145</v>
      </c>
      <c r="G8" s="1">
        <v>100</v>
      </c>
      <c r="H8" s="1">
        <v>22</v>
      </c>
      <c r="I8" s="1"/>
      <c r="J8" s="1" t="s">
        <v>102</v>
      </c>
    </row>
    <row r="9" spans="1:10" x14ac:dyDescent="0.3">
      <c r="A9" s="5">
        <v>45737</v>
      </c>
      <c r="B9" s="1" t="s">
        <v>100</v>
      </c>
      <c r="C9" s="1" t="s">
        <v>96</v>
      </c>
      <c r="D9" s="1" t="s">
        <v>101</v>
      </c>
      <c r="E9" s="1" t="s">
        <v>144</v>
      </c>
      <c r="F9" s="1" t="s">
        <v>145</v>
      </c>
      <c r="G9" s="1">
        <v>88</v>
      </c>
      <c r="H9" s="1">
        <v>26</v>
      </c>
      <c r="I9" s="1"/>
      <c r="J9" s="1" t="s">
        <v>102</v>
      </c>
    </row>
    <row r="10" spans="1:10" x14ac:dyDescent="0.3">
      <c r="A10" s="5">
        <v>45729</v>
      </c>
      <c r="B10" s="1" t="s">
        <v>95</v>
      </c>
      <c r="C10" s="1" t="s">
        <v>104</v>
      </c>
      <c r="D10" s="1" t="s">
        <v>101</v>
      </c>
      <c r="E10" s="1" t="s">
        <v>144</v>
      </c>
      <c r="F10" s="1" t="s">
        <v>145</v>
      </c>
      <c r="G10" s="1">
        <v>70</v>
      </c>
      <c r="H10" s="1">
        <v>18</v>
      </c>
      <c r="I10" s="1"/>
      <c r="J10" s="1" t="s">
        <v>103</v>
      </c>
    </row>
    <row r="11" spans="1:10" x14ac:dyDescent="0.3">
      <c r="A11" s="5">
        <v>45729</v>
      </c>
      <c r="B11" s="1" t="s">
        <v>95</v>
      </c>
      <c r="C11" s="1" t="s">
        <v>104</v>
      </c>
      <c r="D11" s="1" t="s">
        <v>97</v>
      </c>
      <c r="E11" s="1" t="s">
        <v>146</v>
      </c>
      <c r="F11" s="1" t="s">
        <v>145</v>
      </c>
      <c r="G11" s="1">
        <v>70</v>
      </c>
      <c r="H11" s="1">
        <v>18</v>
      </c>
      <c r="I11" s="1"/>
      <c r="J11" s="1" t="s">
        <v>103</v>
      </c>
    </row>
    <row r="12" spans="1:10" x14ac:dyDescent="0.3">
      <c r="A12" s="5">
        <v>45729</v>
      </c>
      <c r="B12" s="1" t="s">
        <v>95</v>
      </c>
      <c r="C12" s="1" t="s">
        <v>104</v>
      </c>
      <c r="D12" s="1" t="s">
        <v>101</v>
      </c>
      <c r="E12" s="1" t="s">
        <v>146</v>
      </c>
      <c r="F12" s="1" t="s">
        <v>145</v>
      </c>
      <c r="G12" s="1">
        <v>95</v>
      </c>
      <c r="H12" s="1">
        <v>23</v>
      </c>
      <c r="I12" s="1"/>
      <c r="J12" s="1" t="s">
        <v>103</v>
      </c>
    </row>
    <row r="13" spans="1:10" x14ac:dyDescent="0.3">
      <c r="A13" s="5">
        <v>45729</v>
      </c>
      <c r="B13" s="1" t="s">
        <v>95</v>
      </c>
      <c r="C13" s="1" t="s">
        <v>104</v>
      </c>
      <c r="D13" s="1" t="s">
        <v>99</v>
      </c>
      <c r="E13" s="1" t="s">
        <v>144</v>
      </c>
      <c r="F13" s="1" t="s">
        <v>145</v>
      </c>
      <c r="G13" s="1">
        <v>93</v>
      </c>
      <c r="H13" s="1">
        <v>24</v>
      </c>
      <c r="I13" s="1"/>
      <c r="J13" s="1" t="s">
        <v>108</v>
      </c>
    </row>
    <row r="14" spans="1:10" x14ac:dyDescent="0.3">
      <c r="A14" s="5">
        <v>45729</v>
      </c>
      <c r="B14" s="1" t="s">
        <v>100</v>
      </c>
      <c r="C14" s="1" t="s">
        <v>104</v>
      </c>
      <c r="D14" s="1" t="s">
        <v>97</v>
      </c>
      <c r="E14" s="1" t="s">
        <v>147</v>
      </c>
      <c r="F14" s="1" t="s">
        <v>145</v>
      </c>
      <c r="G14" s="1">
        <v>99</v>
      </c>
      <c r="H14" s="1">
        <v>21</v>
      </c>
      <c r="I14" s="1"/>
      <c r="J14" s="1" t="s">
        <v>102</v>
      </c>
    </row>
    <row r="15" spans="1:10" x14ac:dyDescent="0.3">
      <c r="A15" s="5">
        <v>45729</v>
      </c>
      <c r="B15" s="1" t="s">
        <v>100</v>
      </c>
      <c r="C15" s="1" t="s">
        <v>104</v>
      </c>
      <c r="D15" s="1" t="s">
        <v>109</v>
      </c>
      <c r="E15" s="1" t="s">
        <v>144</v>
      </c>
      <c r="F15" s="1" t="s">
        <v>145</v>
      </c>
      <c r="G15" s="1">
        <v>72</v>
      </c>
      <c r="H15" s="1">
        <v>23</v>
      </c>
      <c r="I15" s="1"/>
      <c r="J15" s="1" t="s">
        <v>102</v>
      </c>
    </row>
    <row r="16" spans="1:10" x14ac:dyDescent="0.3">
      <c r="A16" s="5">
        <v>45729</v>
      </c>
      <c r="B16" s="1" t="s">
        <v>100</v>
      </c>
      <c r="C16" s="1" t="s">
        <v>104</v>
      </c>
      <c r="D16" s="1" t="s">
        <v>99</v>
      </c>
      <c r="E16" s="1" t="s">
        <v>147</v>
      </c>
      <c r="F16" s="1" t="s">
        <v>145</v>
      </c>
      <c r="G16" s="1">
        <v>100</v>
      </c>
      <c r="H16" s="1">
        <v>23</v>
      </c>
      <c r="I16" s="1"/>
      <c r="J16" s="1" t="s">
        <v>102</v>
      </c>
    </row>
    <row r="17" spans="1:10" x14ac:dyDescent="0.3">
      <c r="A17" s="5">
        <v>45729</v>
      </c>
      <c r="B17" s="1" t="s">
        <v>100</v>
      </c>
      <c r="C17" s="1" t="s">
        <v>104</v>
      </c>
      <c r="D17" s="1" t="s">
        <v>97</v>
      </c>
      <c r="E17" s="1" t="s">
        <v>144</v>
      </c>
      <c r="F17" s="1" t="s">
        <v>145</v>
      </c>
      <c r="G17" s="1">
        <v>80</v>
      </c>
      <c r="H17" s="1">
        <v>22</v>
      </c>
      <c r="I17" s="1"/>
      <c r="J17" s="1" t="s">
        <v>110</v>
      </c>
    </row>
    <row r="18" spans="1:10" x14ac:dyDescent="0.3">
      <c r="A18" s="5">
        <v>45835</v>
      </c>
      <c r="B18" s="1" t="s">
        <v>95</v>
      </c>
      <c r="C18" s="1" t="s">
        <v>96</v>
      </c>
      <c r="D18" s="1" t="s">
        <v>99</v>
      </c>
      <c r="E18" s="1" t="s">
        <v>146</v>
      </c>
      <c r="F18" s="1" t="s">
        <v>145</v>
      </c>
      <c r="G18" s="1">
        <v>185</v>
      </c>
      <c r="H18" s="1">
        <v>32</v>
      </c>
      <c r="I18" s="1">
        <v>5.2</v>
      </c>
      <c r="J18" s="1"/>
    </row>
    <row r="19" spans="1:10" x14ac:dyDescent="0.3">
      <c r="A19" s="5">
        <v>45835</v>
      </c>
      <c r="B19" s="1" t="s">
        <v>95</v>
      </c>
      <c r="C19" s="1" t="s">
        <v>96</v>
      </c>
      <c r="D19" s="1" t="s">
        <v>97</v>
      </c>
      <c r="E19" s="1" t="s">
        <v>146</v>
      </c>
      <c r="F19" s="1" t="s">
        <v>145</v>
      </c>
      <c r="G19" s="1">
        <v>190</v>
      </c>
      <c r="H19" s="1">
        <v>33</v>
      </c>
      <c r="I19" s="1">
        <v>4.5999999999999996</v>
      </c>
      <c r="J19" s="1"/>
    </row>
    <row r="20" spans="1:10" x14ac:dyDescent="0.3">
      <c r="A20" s="5">
        <v>45835</v>
      </c>
      <c r="B20" s="1" t="s">
        <v>95</v>
      </c>
      <c r="C20" s="1" t="s">
        <v>96</v>
      </c>
      <c r="D20" s="1" t="s">
        <v>101</v>
      </c>
      <c r="E20" s="1" t="s">
        <v>146</v>
      </c>
      <c r="F20" s="1" t="s">
        <v>145</v>
      </c>
      <c r="G20" s="1">
        <v>255</v>
      </c>
      <c r="H20" s="1">
        <v>44</v>
      </c>
      <c r="I20" s="1">
        <v>9</v>
      </c>
      <c r="J20" s="1"/>
    </row>
    <row r="21" spans="1:10" x14ac:dyDescent="0.3">
      <c r="A21" s="5">
        <v>45835</v>
      </c>
      <c r="B21" s="1" t="s">
        <v>95</v>
      </c>
      <c r="C21" s="1" t="s">
        <v>96</v>
      </c>
      <c r="D21" s="1" t="s">
        <v>109</v>
      </c>
      <c r="E21" s="1" t="s">
        <v>146</v>
      </c>
      <c r="F21" s="1" t="s">
        <v>145</v>
      </c>
      <c r="G21" s="1">
        <v>270</v>
      </c>
      <c r="H21" s="1">
        <v>47</v>
      </c>
      <c r="I21" s="1">
        <v>7.8</v>
      </c>
      <c r="J21" s="1"/>
    </row>
    <row r="22" spans="1:10" x14ac:dyDescent="0.3">
      <c r="A22" s="5">
        <v>45835</v>
      </c>
      <c r="B22" s="1" t="s">
        <v>95</v>
      </c>
      <c r="C22" s="1" t="s">
        <v>96</v>
      </c>
      <c r="D22" s="1" t="s">
        <v>109</v>
      </c>
      <c r="E22" s="1" t="s">
        <v>144</v>
      </c>
      <c r="F22" s="1" t="s">
        <v>145</v>
      </c>
      <c r="G22" s="1">
        <v>265</v>
      </c>
      <c r="H22" s="1">
        <v>48</v>
      </c>
      <c r="I22" s="1">
        <v>10</v>
      </c>
      <c r="J22" s="1"/>
    </row>
    <row r="23" spans="1:10" x14ac:dyDescent="0.3">
      <c r="A23" s="5">
        <v>45835</v>
      </c>
      <c r="B23" s="1" t="s">
        <v>95</v>
      </c>
      <c r="C23" s="1" t="s">
        <v>96</v>
      </c>
      <c r="D23" s="1" t="s">
        <v>101</v>
      </c>
      <c r="E23" s="1" t="s">
        <v>144</v>
      </c>
      <c r="F23" s="1" t="s">
        <v>145</v>
      </c>
      <c r="G23" s="1">
        <v>205</v>
      </c>
      <c r="H23" s="1">
        <v>40</v>
      </c>
      <c r="I23" s="1">
        <v>8.1999999999999993</v>
      </c>
      <c r="J23" s="1"/>
    </row>
    <row r="24" spans="1:10" x14ac:dyDescent="0.3">
      <c r="A24" s="5">
        <v>45835</v>
      </c>
      <c r="B24" s="1" t="s">
        <v>100</v>
      </c>
      <c r="C24" s="1" t="s">
        <v>96</v>
      </c>
      <c r="D24" s="1" t="s">
        <v>101</v>
      </c>
      <c r="E24" s="1" t="s">
        <v>147</v>
      </c>
      <c r="F24" s="1" t="s">
        <v>145</v>
      </c>
      <c r="G24" s="1">
        <v>230</v>
      </c>
      <c r="H24" s="1">
        <v>43</v>
      </c>
      <c r="I24" s="1">
        <v>0.29583333333333328</v>
      </c>
      <c r="J24" s="1"/>
    </row>
    <row r="25" spans="1:10" x14ac:dyDescent="0.3">
      <c r="A25" s="5">
        <v>45835</v>
      </c>
      <c r="B25" s="1" t="s">
        <v>100</v>
      </c>
      <c r="C25" s="1"/>
      <c r="D25" s="1" t="s">
        <v>109</v>
      </c>
      <c r="E25" s="1" t="s">
        <v>147</v>
      </c>
      <c r="F25" s="1" t="s">
        <v>145</v>
      </c>
      <c r="G25" s="1">
        <v>255</v>
      </c>
      <c r="H25" s="1">
        <v>52</v>
      </c>
      <c r="I25" s="1">
        <v>0.29305555555555562</v>
      </c>
      <c r="J25" s="1"/>
    </row>
    <row r="26" spans="1:10" x14ac:dyDescent="0.3">
      <c r="A26" s="5">
        <v>45835</v>
      </c>
      <c r="B26" s="1" t="s">
        <v>100</v>
      </c>
      <c r="C26" s="1" t="s">
        <v>96</v>
      </c>
      <c r="D26" s="1" t="s">
        <v>99</v>
      </c>
      <c r="E26" s="1" t="s">
        <v>144</v>
      </c>
      <c r="F26" s="1" t="s">
        <v>145</v>
      </c>
      <c r="G26" s="1">
        <v>260</v>
      </c>
      <c r="H26" s="1">
        <v>48</v>
      </c>
      <c r="I26" s="1">
        <v>8</v>
      </c>
      <c r="J26" s="1"/>
    </row>
    <row r="27" spans="1:10" x14ac:dyDescent="0.3">
      <c r="A27" s="5">
        <v>45835</v>
      </c>
      <c r="B27" s="1" t="s">
        <v>100</v>
      </c>
      <c r="C27" s="1" t="s">
        <v>96</v>
      </c>
      <c r="D27" s="1" t="s">
        <v>97</v>
      </c>
      <c r="E27" s="1" t="s">
        <v>144</v>
      </c>
      <c r="F27" s="1" t="s">
        <v>145</v>
      </c>
      <c r="G27" s="1">
        <v>235</v>
      </c>
      <c r="H27" s="1">
        <v>45</v>
      </c>
      <c r="I27" s="1">
        <v>8</v>
      </c>
      <c r="J27" s="1"/>
    </row>
    <row r="28" spans="1:10" x14ac:dyDescent="0.3">
      <c r="A28" s="5">
        <v>45835</v>
      </c>
      <c r="B28" s="1" t="s">
        <v>100</v>
      </c>
      <c r="C28" s="1" t="s">
        <v>96</v>
      </c>
      <c r="D28" s="1" t="s">
        <v>99</v>
      </c>
      <c r="E28" s="1" t="s">
        <v>147</v>
      </c>
      <c r="F28" s="1" t="s">
        <v>145</v>
      </c>
      <c r="G28" s="1">
        <v>230</v>
      </c>
      <c r="H28" s="1">
        <v>43</v>
      </c>
      <c r="I28" s="1">
        <v>9</v>
      </c>
      <c r="J28" s="1" t="s">
        <v>113</v>
      </c>
    </row>
    <row r="29" spans="1:10" x14ac:dyDescent="0.3">
      <c r="A29" s="5">
        <v>45835</v>
      </c>
      <c r="B29" s="1" t="s">
        <v>100</v>
      </c>
      <c r="C29" s="1" t="s">
        <v>96</v>
      </c>
      <c r="D29" s="1" t="s">
        <v>97</v>
      </c>
      <c r="E29" s="1" t="s">
        <v>147</v>
      </c>
      <c r="F29" s="1" t="s">
        <v>145</v>
      </c>
      <c r="G29" s="1">
        <v>223</v>
      </c>
      <c r="H29" s="1">
        <v>39</v>
      </c>
      <c r="I29" s="1">
        <v>0.50138888888888888</v>
      </c>
      <c r="J29" s="1" t="s">
        <v>113</v>
      </c>
    </row>
    <row r="30" spans="1:10" x14ac:dyDescent="0.3">
      <c r="A30" s="5">
        <v>45834</v>
      </c>
      <c r="B30" s="1" t="s">
        <v>114</v>
      </c>
      <c r="C30" s="1" t="s">
        <v>104</v>
      </c>
      <c r="D30" s="1" t="s">
        <v>101</v>
      </c>
      <c r="E30" s="1" t="s">
        <v>146</v>
      </c>
      <c r="F30" s="1" t="s">
        <v>145</v>
      </c>
      <c r="G30" s="1">
        <v>203</v>
      </c>
      <c r="H30" s="1">
        <v>37</v>
      </c>
      <c r="I30" s="1">
        <v>8</v>
      </c>
      <c r="J30" s="1"/>
    </row>
    <row r="31" spans="1:10" x14ac:dyDescent="0.3">
      <c r="A31" s="5">
        <v>45834</v>
      </c>
      <c r="B31" s="1" t="s">
        <v>114</v>
      </c>
      <c r="C31" s="1" t="s">
        <v>104</v>
      </c>
      <c r="D31" s="1" t="s">
        <v>97</v>
      </c>
      <c r="E31" s="1" t="s">
        <v>146</v>
      </c>
      <c r="F31" s="1" t="s">
        <v>145</v>
      </c>
      <c r="G31" s="1">
        <v>175</v>
      </c>
      <c r="H31" s="1"/>
      <c r="I31" s="1">
        <v>7</v>
      </c>
      <c r="J31" s="1"/>
    </row>
    <row r="32" spans="1:10" x14ac:dyDescent="0.3">
      <c r="A32" s="5">
        <v>45834</v>
      </c>
      <c r="B32" s="1" t="s">
        <v>95</v>
      </c>
      <c r="C32" s="1" t="s">
        <v>104</v>
      </c>
      <c r="D32" s="1" t="s">
        <v>99</v>
      </c>
      <c r="E32" s="1" t="s">
        <v>147</v>
      </c>
      <c r="F32" s="1" t="s">
        <v>145</v>
      </c>
      <c r="G32" s="1">
        <v>273</v>
      </c>
      <c r="H32" s="1">
        <v>48</v>
      </c>
      <c r="I32" s="1">
        <v>10</v>
      </c>
      <c r="J32" s="1"/>
    </row>
    <row r="33" spans="1:10" x14ac:dyDescent="0.3">
      <c r="A33" s="5">
        <v>45834</v>
      </c>
      <c r="B33" s="1" t="s">
        <v>95</v>
      </c>
      <c r="C33" s="1" t="s">
        <v>104</v>
      </c>
      <c r="D33" s="1" t="s">
        <v>97</v>
      </c>
      <c r="E33" s="1" t="s">
        <v>144</v>
      </c>
      <c r="F33" s="1" t="s">
        <v>145</v>
      </c>
      <c r="G33" s="1">
        <v>230</v>
      </c>
      <c r="H33" s="1">
        <v>42</v>
      </c>
      <c r="I33" s="1">
        <v>10</v>
      </c>
      <c r="J33" s="1"/>
    </row>
    <row r="34" spans="1:10" x14ac:dyDescent="0.3">
      <c r="A34" s="5">
        <v>45834</v>
      </c>
      <c r="B34" s="1" t="s">
        <v>95</v>
      </c>
      <c r="C34" s="1" t="s">
        <v>104</v>
      </c>
      <c r="D34" s="1" t="s">
        <v>109</v>
      </c>
      <c r="E34" s="1" t="s">
        <v>146</v>
      </c>
      <c r="F34" s="1" t="s">
        <v>145</v>
      </c>
      <c r="G34" s="1">
        <v>230</v>
      </c>
      <c r="H34" s="1">
        <v>41</v>
      </c>
      <c r="I34" s="1">
        <v>8</v>
      </c>
      <c r="J34" s="1"/>
    </row>
    <row r="35" spans="1:10" x14ac:dyDescent="0.3">
      <c r="A35" s="5">
        <v>45834</v>
      </c>
      <c r="B35" s="1" t="s">
        <v>95</v>
      </c>
      <c r="C35" s="1" t="s">
        <v>104</v>
      </c>
      <c r="D35" s="1" t="s">
        <v>99</v>
      </c>
      <c r="E35" s="1" t="s">
        <v>146</v>
      </c>
      <c r="F35" s="1" t="s">
        <v>145</v>
      </c>
      <c r="G35" s="1">
        <v>266</v>
      </c>
      <c r="H35" s="1">
        <v>45</v>
      </c>
      <c r="I35" s="1">
        <v>9</v>
      </c>
      <c r="J35" s="1"/>
    </row>
    <row r="36" spans="1:10" x14ac:dyDescent="0.3">
      <c r="A36" s="5">
        <v>45834</v>
      </c>
      <c r="B36" s="1" t="s">
        <v>95</v>
      </c>
      <c r="C36" s="1" t="s">
        <v>104</v>
      </c>
      <c r="D36" s="1" t="s">
        <v>101</v>
      </c>
      <c r="E36" s="1" t="s">
        <v>147</v>
      </c>
      <c r="F36" s="1" t="s">
        <v>145</v>
      </c>
      <c r="G36" s="1">
        <v>250</v>
      </c>
      <c r="H36" s="1">
        <v>46</v>
      </c>
      <c r="I36" s="1">
        <v>8</v>
      </c>
      <c r="J36" s="1"/>
    </row>
    <row r="37" spans="1:10" x14ac:dyDescent="0.3">
      <c r="A37" s="5">
        <v>45834</v>
      </c>
      <c r="B37" s="1" t="s">
        <v>100</v>
      </c>
      <c r="C37" s="1" t="s">
        <v>104</v>
      </c>
      <c r="D37" s="1" t="s">
        <v>109</v>
      </c>
      <c r="E37" s="1" t="s">
        <v>144</v>
      </c>
      <c r="F37" s="1" t="s">
        <v>145</v>
      </c>
      <c r="G37" s="1">
        <v>190</v>
      </c>
      <c r="H37" s="1">
        <v>34</v>
      </c>
      <c r="I37" s="1">
        <v>9</v>
      </c>
      <c r="J37" s="1" t="s">
        <v>113</v>
      </c>
    </row>
    <row r="38" spans="1:10" x14ac:dyDescent="0.3">
      <c r="A38" s="5">
        <v>45834</v>
      </c>
      <c r="B38" s="1" t="s">
        <v>100</v>
      </c>
      <c r="C38" s="1" t="s">
        <v>104</v>
      </c>
      <c r="D38" s="1" t="s">
        <v>99</v>
      </c>
      <c r="E38" s="1" t="s">
        <v>144</v>
      </c>
      <c r="F38" s="1" t="s">
        <v>145</v>
      </c>
      <c r="G38" s="1">
        <v>168</v>
      </c>
      <c r="H38" s="1">
        <v>33</v>
      </c>
      <c r="I38" s="1">
        <v>0.33888888888888891</v>
      </c>
      <c r="J38" s="1" t="s">
        <v>113</v>
      </c>
    </row>
    <row r="39" spans="1:10" x14ac:dyDescent="0.3">
      <c r="A39" s="5">
        <v>45834</v>
      </c>
      <c r="B39" s="1" t="s">
        <v>100</v>
      </c>
      <c r="C39" s="1" t="s">
        <v>104</v>
      </c>
      <c r="D39" s="1" t="s">
        <v>101</v>
      </c>
      <c r="E39" s="1" t="s">
        <v>144</v>
      </c>
      <c r="F39" s="1" t="s">
        <v>145</v>
      </c>
      <c r="G39" s="1">
        <v>200</v>
      </c>
      <c r="H39" s="1">
        <v>41</v>
      </c>
      <c r="I39" s="1">
        <v>0.38055555555555548</v>
      </c>
      <c r="J39" s="1" t="s">
        <v>113</v>
      </c>
    </row>
    <row r="40" spans="1:10" x14ac:dyDescent="0.3">
      <c r="A40" s="5">
        <v>45834</v>
      </c>
      <c r="B40" s="1" t="s">
        <v>100</v>
      </c>
      <c r="C40" s="1" t="s">
        <v>104</v>
      </c>
      <c r="D40" s="1" t="s">
        <v>97</v>
      </c>
      <c r="E40" s="1" t="s">
        <v>147</v>
      </c>
      <c r="F40" s="1" t="s">
        <v>145</v>
      </c>
      <c r="G40" s="1">
        <v>252</v>
      </c>
      <c r="H40" s="1">
        <v>42</v>
      </c>
      <c r="I40" s="1">
        <v>0.42222222222222222</v>
      </c>
      <c r="J40" s="1" t="s">
        <v>113</v>
      </c>
    </row>
    <row r="41" spans="1:10" x14ac:dyDescent="0.3">
      <c r="A41" s="5">
        <v>45834</v>
      </c>
      <c r="B41" s="1" t="s">
        <v>100</v>
      </c>
      <c r="C41" s="1" t="s">
        <v>104</v>
      </c>
      <c r="D41" s="1" t="s">
        <v>109</v>
      </c>
      <c r="E41" s="1" t="s">
        <v>147</v>
      </c>
      <c r="F41" s="1" t="s">
        <v>145</v>
      </c>
      <c r="G41" s="1">
        <v>210</v>
      </c>
      <c r="H41" s="1">
        <v>38</v>
      </c>
      <c r="I41" s="1">
        <v>10</v>
      </c>
      <c r="J41" s="1" t="s">
        <v>113</v>
      </c>
    </row>
    <row r="42" spans="1:10" x14ac:dyDescent="0.3">
      <c r="A42" s="5">
        <v>45930</v>
      </c>
      <c r="B42" s="1" t="s">
        <v>100</v>
      </c>
      <c r="C42" s="1" t="s">
        <v>96</v>
      </c>
      <c r="D42" s="1" t="s">
        <v>109</v>
      </c>
      <c r="E42" s="1" t="s">
        <v>144</v>
      </c>
      <c r="F42" s="1" t="s">
        <v>145</v>
      </c>
      <c r="G42" s="1">
        <v>350</v>
      </c>
      <c r="H42" s="1">
        <v>68</v>
      </c>
      <c r="I42" s="1">
        <v>14</v>
      </c>
      <c r="J42" s="1"/>
    </row>
    <row r="43" spans="1:10" x14ac:dyDescent="0.3">
      <c r="A43" s="5">
        <v>45930</v>
      </c>
      <c r="B43" s="1" t="s">
        <v>100</v>
      </c>
      <c r="C43" s="1" t="s">
        <v>96</v>
      </c>
      <c r="D43" s="1" t="s">
        <v>97</v>
      </c>
      <c r="E43" s="1" t="s">
        <v>147</v>
      </c>
      <c r="F43" s="1" t="s">
        <v>145</v>
      </c>
      <c r="G43" s="1">
        <v>295</v>
      </c>
      <c r="H43" s="1">
        <v>55</v>
      </c>
      <c r="I43" s="1">
        <v>13</v>
      </c>
      <c r="J43" s="1"/>
    </row>
    <row r="44" spans="1:10" x14ac:dyDescent="0.3">
      <c r="A44" s="5">
        <v>45925</v>
      </c>
      <c r="B44" s="1" t="s">
        <v>100</v>
      </c>
      <c r="C44" s="1" t="s">
        <v>104</v>
      </c>
      <c r="D44" s="1" t="s">
        <v>101</v>
      </c>
      <c r="E44" s="1" t="s">
        <v>147</v>
      </c>
      <c r="F44" s="1" t="s">
        <v>145</v>
      </c>
      <c r="G44" s="1">
        <v>324</v>
      </c>
      <c r="H44" s="1">
        <v>65</v>
      </c>
      <c r="I44" s="1">
        <v>15</v>
      </c>
      <c r="J44" s="1"/>
    </row>
    <row r="45" spans="1:10" x14ac:dyDescent="0.3">
      <c r="A45" s="5">
        <v>45925</v>
      </c>
      <c r="B45" s="1" t="s">
        <v>100</v>
      </c>
      <c r="C45" s="1" t="s">
        <v>104</v>
      </c>
      <c r="D45" s="1" t="s">
        <v>97</v>
      </c>
      <c r="E45" s="1" t="s">
        <v>146</v>
      </c>
      <c r="F45" s="1" t="s">
        <v>145</v>
      </c>
      <c r="G45" s="1">
        <v>302</v>
      </c>
      <c r="H45" s="1">
        <v>57</v>
      </c>
      <c r="I45" s="1">
        <v>11</v>
      </c>
      <c r="J45" s="1"/>
    </row>
    <row r="46" spans="1:10" x14ac:dyDescent="0.3">
      <c r="A46" s="5">
        <v>45925</v>
      </c>
      <c r="B46" s="1" t="s">
        <v>100</v>
      </c>
      <c r="C46" s="1" t="s">
        <v>104</v>
      </c>
      <c r="D46" s="1" t="s">
        <v>101</v>
      </c>
      <c r="E46" s="1" t="s">
        <v>146</v>
      </c>
      <c r="F46" s="1" t="s">
        <v>145</v>
      </c>
      <c r="G46" s="1">
        <v>300</v>
      </c>
      <c r="H46" s="1">
        <v>59</v>
      </c>
      <c r="I46" s="1">
        <v>12</v>
      </c>
      <c r="J46" s="1"/>
    </row>
    <row r="47" spans="1:10" x14ac:dyDescent="0.3">
      <c r="A47" s="5">
        <v>45925</v>
      </c>
      <c r="B47" s="1" t="s">
        <v>95</v>
      </c>
      <c r="C47" s="1" t="s">
        <v>104</v>
      </c>
      <c r="D47" s="1" t="s">
        <v>99</v>
      </c>
      <c r="E47" s="1" t="s">
        <v>146</v>
      </c>
      <c r="F47" s="1" t="s">
        <v>145</v>
      </c>
      <c r="G47" s="1">
        <v>330</v>
      </c>
      <c r="H47" s="1">
        <v>62</v>
      </c>
      <c r="I47" s="1">
        <v>13</v>
      </c>
      <c r="J47" s="1"/>
    </row>
    <row r="48" spans="1:10" x14ac:dyDescent="0.3">
      <c r="A48" s="5">
        <v>45925</v>
      </c>
      <c r="B48" s="1" t="s">
        <v>95</v>
      </c>
      <c r="C48" s="1" t="s">
        <v>104</v>
      </c>
      <c r="D48" s="1" t="s">
        <v>109</v>
      </c>
      <c r="E48" s="1" t="s">
        <v>147</v>
      </c>
      <c r="F48" s="1" t="s">
        <v>145</v>
      </c>
      <c r="G48" s="1">
        <v>296</v>
      </c>
      <c r="H48" s="1">
        <v>56</v>
      </c>
      <c r="I48" s="1">
        <v>12</v>
      </c>
      <c r="J48" s="1"/>
    </row>
    <row r="49" spans="1:10" x14ac:dyDescent="0.3">
      <c r="A49" s="5">
        <v>45925</v>
      </c>
      <c r="B49" s="1" t="s">
        <v>95</v>
      </c>
      <c r="C49" s="1" t="s">
        <v>104</v>
      </c>
      <c r="D49" s="1" t="s">
        <v>97</v>
      </c>
      <c r="E49" s="1" t="s">
        <v>144</v>
      </c>
      <c r="F49" s="1" t="s">
        <v>145</v>
      </c>
      <c r="G49" s="1">
        <v>330</v>
      </c>
      <c r="H49" s="1">
        <v>60</v>
      </c>
      <c r="I49" s="1">
        <v>14</v>
      </c>
      <c r="J49" s="1"/>
    </row>
    <row r="50" spans="1:10" x14ac:dyDescent="0.3">
      <c r="A50" s="5">
        <v>45923</v>
      </c>
      <c r="B50" s="1" t="s">
        <v>100</v>
      </c>
      <c r="C50" s="1" t="s">
        <v>104</v>
      </c>
      <c r="D50" s="1" t="s">
        <v>101</v>
      </c>
      <c r="E50" s="1" t="s">
        <v>144</v>
      </c>
      <c r="F50" s="1" t="s">
        <v>145</v>
      </c>
      <c r="G50" s="1">
        <v>300</v>
      </c>
      <c r="H50" s="1">
        <v>58</v>
      </c>
      <c r="I50" s="1">
        <v>13</v>
      </c>
      <c r="J50" s="1"/>
    </row>
    <row r="51" spans="1:10" x14ac:dyDescent="0.3">
      <c r="A51" s="5">
        <v>45923</v>
      </c>
      <c r="B51" s="1" t="s">
        <v>100</v>
      </c>
      <c r="C51" s="1" t="s">
        <v>104</v>
      </c>
      <c r="D51" s="1" t="s">
        <v>109</v>
      </c>
      <c r="E51" s="1" t="s">
        <v>144</v>
      </c>
      <c r="F51" s="1" t="s">
        <v>145</v>
      </c>
      <c r="G51" s="1">
        <v>322</v>
      </c>
      <c r="H51" s="1">
        <v>52</v>
      </c>
      <c r="I51" s="1">
        <v>11</v>
      </c>
      <c r="J51" s="1"/>
    </row>
    <row r="52" spans="1:10" x14ac:dyDescent="0.3">
      <c r="A52" s="5">
        <v>45923</v>
      </c>
      <c r="B52" s="1" t="s">
        <v>100</v>
      </c>
      <c r="C52" s="1" t="s">
        <v>104</v>
      </c>
      <c r="D52" s="1" t="s">
        <v>109</v>
      </c>
      <c r="E52" s="1" t="s">
        <v>146</v>
      </c>
      <c r="F52" s="1" t="s">
        <v>145</v>
      </c>
      <c r="G52" s="1">
        <v>306</v>
      </c>
      <c r="H52" s="1">
        <v>59</v>
      </c>
      <c r="I52" s="1">
        <v>12</v>
      </c>
      <c r="J52" s="1" t="s">
        <v>113</v>
      </c>
    </row>
    <row r="53" spans="1:10" x14ac:dyDescent="0.3">
      <c r="A53" s="5">
        <v>45923</v>
      </c>
      <c r="B53" s="1" t="s">
        <v>95</v>
      </c>
      <c r="C53" s="1" t="s">
        <v>104</v>
      </c>
      <c r="D53" s="1" t="s">
        <v>97</v>
      </c>
      <c r="E53" s="1" t="s">
        <v>147</v>
      </c>
      <c r="F53" s="1" t="s">
        <v>145</v>
      </c>
      <c r="G53" s="1">
        <v>308</v>
      </c>
      <c r="H53" s="1">
        <v>55</v>
      </c>
      <c r="I53" s="1">
        <v>11</v>
      </c>
      <c r="J53" s="1"/>
    </row>
    <row r="54" spans="1:10" x14ac:dyDescent="0.3">
      <c r="A54" s="5">
        <v>45923</v>
      </c>
      <c r="B54" s="1" t="s">
        <v>95</v>
      </c>
      <c r="C54" s="1" t="s">
        <v>104</v>
      </c>
      <c r="D54" s="1" t="s">
        <v>99</v>
      </c>
      <c r="E54" s="1" t="s">
        <v>147</v>
      </c>
      <c r="F54" s="1" t="s">
        <v>145</v>
      </c>
      <c r="G54" s="1">
        <v>342</v>
      </c>
      <c r="H54" s="1">
        <v>66</v>
      </c>
      <c r="I54" s="1">
        <v>15</v>
      </c>
      <c r="J54" s="1"/>
    </row>
    <row r="55" spans="1:10" x14ac:dyDescent="0.3">
      <c r="A55" s="5">
        <v>45923</v>
      </c>
      <c r="B55" s="1" t="s">
        <v>95</v>
      </c>
      <c r="C55" s="1" t="s">
        <v>104</v>
      </c>
      <c r="D55" s="1" t="s">
        <v>99</v>
      </c>
      <c r="E55" s="1" t="s">
        <v>144</v>
      </c>
      <c r="F55" s="1" t="s">
        <v>145</v>
      </c>
      <c r="G55" s="1">
        <v>300</v>
      </c>
      <c r="H55" s="1">
        <v>52</v>
      </c>
      <c r="I55" s="1">
        <v>10</v>
      </c>
      <c r="J55" s="1"/>
    </row>
    <row r="56" spans="1:10" x14ac:dyDescent="0.3">
      <c r="A56" s="5">
        <v>45933</v>
      </c>
      <c r="B56" s="1" t="s">
        <v>100</v>
      </c>
      <c r="C56" s="1" t="s">
        <v>96</v>
      </c>
      <c r="D56" s="1" t="s">
        <v>109</v>
      </c>
      <c r="E56" s="1" t="s">
        <v>147</v>
      </c>
      <c r="F56" s="1" t="s">
        <v>145</v>
      </c>
      <c r="G56" s="1">
        <v>340</v>
      </c>
      <c r="H56" s="1">
        <v>64</v>
      </c>
      <c r="I56" s="1">
        <v>9</v>
      </c>
      <c r="J56" s="1"/>
    </row>
    <row r="57" spans="1:10" x14ac:dyDescent="0.3">
      <c r="A57" s="5">
        <v>45933</v>
      </c>
      <c r="B57" s="1" t="s">
        <v>100</v>
      </c>
      <c r="C57" s="1" t="s">
        <v>96</v>
      </c>
      <c r="D57" s="1" t="s">
        <v>97</v>
      </c>
      <c r="E57" s="1" t="s">
        <v>146</v>
      </c>
      <c r="F57" s="1" t="s">
        <v>145</v>
      </c>
      <c r="G57" s="1">
        <v>295</v>
      </c>
      <c r="H57" s="1">
        <v>51</v>
      </c>
      <c r="I57" s="1">
        <v>7</v>
      </c>
      <c r="J57" s="1"/>
    </row>
    <row r="58" spans="1:10" x14ac:dyDescent="0.3">
      <c r="A58" s="5">
        <v>45932</v>
      </c>
      <c r="B58" s="1" t="s">
        <v>100</v>
      </c>
      <c r="C58" s="1" t="s">
        <v>96</v>
      </c>
      <c r="D58" s="1" t="s">
        <v>101</v>
      </c>
      <c r="E58" s="1" t="s">
        <v>147</v>
      </c>
      <c r="F58" s="1" t="s">
        <v>145</v>
      </c>
      <c r="G58" s="1">
        <v>310</v>
      </c>
      <c r="H58" s="1">
        <v>62</v>
      </c>
      <c r="I58" s="1">
        <v>12</v>
      </c>
      <c r="J58" s="1"/>
    </row>
    <row r="59" spans="1:10" x14ac:dyDescent="0.3">
      <c r="A59" s="5">
        <v>45932</v>
      </c>
      <c r="B59" s="1" t="s">
        <v>100</v>
      </c>
      <c r="C59" s="1" t="s">
        <v>96</v>
      </c>
      <c r="D59" s="1" t="s">
        <v>99</v>
      </c>
      <c r="E59" s="1" t="s">
        <v>146</v>
      </c>
      <c r="F59" s="1" t="s">
        <v>145</v>
      </c>
      <c r="G59" s="1">
        <v>300</v>
      </c>
      <c r="H59" s="1">
        <v>54</v>
      </c>
      <c r="I59" s="1">
        <v>10</v>
      </c>
      <c r="J59" s="1"/>
    </row>
    <row r="60" spans="1:10" x14ac:dyDescent="0.3">
      <c r="A60" s="5">
        <v>45931</v>
      </c>
      <c r="B60" s="1" t="s">
        <v>95</v>
      </c>
      <c r="C60" s="1" t="s">
        <v>96</v>
      </c>
      <c r="D60" s="1" t="s">
        <v>97</v>
      </c>
      <c r="E60" s="1" t="s">
        <v>144</v>
      </c>
      <c r="F60" s="1" t="s">
        <v>145</v>
      </c>
      <c r="G60" s="1">
        <v>292</v>
      </c>
      <c r="H60" s="1">
        <v>59</v>
      </c>
      <c r="I60" s="1">
        <v>8</v>
      </c>
      <c r="J60" s="1"/>
    </row>
    <row r="61" spans="1:10" x14ac:dyDescent="0.3">
      <c r="A61" s="5">
        <v>45931</v>
      </c>
      <c r="B61" s="1" t="s">
        <v>95</v>
      </c>
      <c r="C61" s="1" t="s">
        <v>96</v>
      </c>
      <c r="D61" s="1" t="s">
        <v>99</v>
      </c>
      <c r="E61" s="1" t="s">
        <v>144</v>
      </c>
      <c r="F61" s="1" t="s">
        <v>145</v>
      </c>
      <c r="G61" s="1">
        <v>345</v>
      </c>
      <c r="H61" s="1">
        <v>70</v>
      </c>
      <c r="I61" s="1">
        <v>14</v>
      </c>
      <c r="J61" s="1"/>
    </row>
    <row r="62" spans="1:10" x14ac:dyDescent="0.3">
      <c r="A62" s="5">
        <v>45931</v>
      </c>
      <c r="B62" s="1" t="s">
        <v>95</v>
      </c>
      <c r="C62" s="1" t="s">
        <v>96</v>
      </c>
      <c r="D62" s="1" t="s">
        <v>99</v>
      </c>
      <c r="E62" s="1" t="s">
        <v>147</v>
      </c>
      <c r="F62" s="1" t="s">
        <v>145</v>
      </c>
      <c r="G62" s="1">
        <v>340</v>
      </c>
      <c r="H62" s="1">
        <v>65</v>
      </c>
      <c r="I62" s="1">
        <v>12</v>
      </c>
      <c r="J62" s="1"/>
    </row>
    <row r="63" spans="1:10" x14ac:dyDescent="0.3">
      <c r="A63" s="5">
        <v>45931</v>
      </c>
      <c r="B63" s="1" t="s">
        <v>100</v>
      </c>
      <c r="C63" s="1" t="s">
        <v>96</v>
      </c>
      <c r="D63" s="1" t="s">
        <v>101</v>
      </c>
      <c r="E63" s="1" t="s">
        <v>146</v>
      </c>
      <c r="F63" s="1" t="s">
        <v>145</v>
      </c>
      <c r="G63" s="1">
        <v>325</v>
      </c>
      <c r="H63" s="1">
        <v>65</v>
      </c>
      <c r="I63" s="1">
        <v>12</v>
      </c>
      <c r="J63" s="1"/>
    </row>
    <row r="64" spans="1:10" x14ac:dyDescent="0.3">
      <c r="A64" s="5">
        <v>45931</v>
      </c>
      <c r="B64" s="1" t="s">
        <v>100</v>
      </c>
      <c r="C64" s="1" t="s">
        <v>96</v>
      </c>
      <c r="D64" s="1" t="s">
        <v>109</v>
      </c>
      <c r="E64" s="1" t="s">
        <v>146</v>
      </c>
      <c r="F64" s="1" t="s">
        <v>145</v>
      </c>
      <c r="G64" s="1">
        <v>368</v>
      </c>
      <c r="H64" s="1">
        <v>72</v>
      </c>
      <c r="I64" s="1">
        <v>15</v>
      </c>
      <c r="J64" s="1"/>
    </row>
    <row r="65" spans="1:10" x14ac:dyDescent="0.3">
      <c r="A65" s="5">
        <v>45931</v>
      </c>
      <c r="B65" s="1" t="s">
        <v>100</v>
      </c>
      <c r="C65" s="1" t="s">
        <v>96</v>
      </c>
      <c r="D65" s="1" t="s">
        <v>101</v>
      </c>
      <c r="E65" s="1" t="s">
        <v>144</v>
      </c>
      <c r="F65" s="1" t="s">
        <v>145</v>
      </c>
      <c r="G65" s="1">
        <v>280</v>
      </c>
      <c r="H65" s="1">
        <v>51</v>
      </c>
      <c r="I65" s="1">
        <v>12</v>
      </c>
      <c r="J65" s="1"/>
    </row>
    <row r="66" spans="1:10" x14ac:dyDescent="0.3">
      <c r="A66" s="5">
        <v>45737</v>
      </c>
      <c r="B66" s="1" t="s">
        <v>95</v>
      </c>
      <c r="C66" s="1" t="s">
        <v>96</v>
      </c>
      <c r="D66" s="1" t="s">
        <v>97</v>
      </c>
      <c r="E66" s="1" t="s">
        <v>144</v>
      </c>
      <c r="F66" s="1" t="s">
        <v>148</v>
      </c>
      <c r="G66" s="1">
        <v>84</v>
      </c>
      <c r="H66" s="1">
        <v>21</v>
      </c>
      <c r="I66" s="1"/>
      <c r="J66" s="1" t="s">
        <v>98</v>
      </c>
    </row>
    <row r="67" spans="1:10" x14ac:dyDescent="0.3">
      <c r="A67" s="5">
        <v>45737</v>
      </c>
      <c r="B67" s="1" t="s">
        <v>95</v>
      </c>
      <c r="C67" s="1" t="s">
        <v>96</v>
      </c>
      <c r="D67" s="1" t="s">
        <v>97</v>
      </c>
      <c r="E67" s="1" t="s">
        <v>146</v>
      </c>
      <c r="F67" s="1" t="s">
        <v>148</v>
      </c>
      <c r="G67" s="1">
        <v>85</v>
      </c>
      <c r="H67" s="1">
        <v>20</v>
      </c>
      <c r="I67" s="1"/>
      <c r="J67" s="1" t="s">
        <v>98</v>
      </c>
    </row>
    <row r="68" spans="1:10" x14ac:dyDescent="0.3">
      <c r="A68" s="5">
        <v>45737</v>
      </c>
      <c r="B68" s="1" t="s">
        <v>95</v>
      </c>
      <c r="C68" s="1" t="s">
        <v>96</v>
      </c>
      <c r="D68" s="1" t="s">
        <v>99</v>
      </c>
      <c r="E68" s="1" t="s">
        <v>144</v>
      </c>
      <c r="F68" s="1" t="s">
        <v>148</v>
      </c>
      <c r="G68" s="1">
        <v>75</v>
      </c>
      <c r="H68" s="1">
        <v>19</v>
      </c>
      <c r="I68" s="1"/>
      <c r="J68" s="1" t="s">
        <v>98</v>
      </c>
    </row>
    <row r="69" spans="1:10" x14ac:dyDescent="0.3">
      <c r="A69" s="5">
        <v>45737</v>
      </c>
      <c r="B69" s="1" t="s">
        <v>95</v>
      </c>
      <c r="C69" s="1" t="s">
        <v>96</v>
      </c>
      <c r="D69" s="1" t="s">
        <v>97</v>
      </c>
      <c r="E69" s="1" t="s">
        <v>147</v>
      </c>
      <c r="F69" s="1" t="s">
        <v>148</v>
      </c>
      <c r="G69" s="1">
        <v>100</v>
      </c>
      <c r="H69" s="1">
        <v>24</v>
      </c>
      <c r="I69" s="1"/>
      <c r="J69" s="1" t="s">
        <v>98</v>
      </c>
    </row>
    <row r="70" spans="1:10" x14ac:dyDescent="0.3">
      <c r="A70" s="5">
        <v>45737</v>
      </c>
      <c r="B70" s="1" t="s">
        <v>100</v>
      </c>
      <c r="C70" s="1" t="s">
        <v>96</v>
      </c>
      <c r="D70" s="1" t="s">
        <v>101</v>
      </c>
      <c r="E70" s="1" t="s">
        <v>146</v>
      </c>
      <c r="F70" s="1" t="s">
        <v>148</v>
      </c>
      <c r="G70" s="1">
        <v>73</v>
      </c>
      <c r="H70" s="1">
        <v>18</v>
      </c>
      <c r="I70" s="1"/>
      <c r="J70" s="1" t="s">
        <v>103</v>
      </c>
    </row>
    <row r="71" spans="1:10" x14ac:dyDescent="0.3">
      <c r="A71" s="5">
        <v>45737</v>
      </c>
      <c r="B71" s="1" t="s">
        <v>100</v>
      </c>
      <c r="C71" s="1" t="s">
        <v>96</v>
      </c>
      <c r="D71" s="1" t="s">
        <v>99</v>
      </c>
      <c r="E71" s="1" t="s">
        <v>146</v>
      </c>
      <c r="F71" s="1" t="s">
        <v>148</v>
      </c>
      <c r="G71" s="1">
        <v>72</v>
      </c>
      <c r="H71" s="1">
        <v>20</v>
      </c>
      <c r="I71" s="1"/>
      <c r="J71" s="1" t="s">
        <v>102</v>
      </c>
    </row>
    <row r="72" spans="1:10" x14ac:dyDescent="0.3">
      <c r="A72" s="5">
        <v>45737</v>
      </c>
      <c r="B72" s="1" t="s">
        <v>100</v>
      </c>
      <c r="C72" s="1" t="s">
        <v>96</v>
      </c>
      <c r="D72" s="1" t="s">
        <v>97</v>
      </c>
      <c r="E72" s="1" t="s">
        <v>146</v>
      </c>
      <c r="F72" s="1" t="s">
        <v>148</v>
      </c>
      <c r="G72" s="1">
        <v>79</v>
      </c>
      <c r="H72" s="1">
        <v>20</v>
      </c>
      <c r="I72" s="1"/>
      <c r="J72" s="1" t="s">
        <v>102</v>
      </c>
    </row>
    <row r="73" spans="1:10" x14ac:dyDescent="0.3">
      <c r="A73" s="5">
        <v>45737</v>
      </c>
      <c r="B73" s="1" t="s">
        <v>100</v>
      </c>
      <c r="C73" s="1" t="s">
        <v>96</v>
      </c>
      <c r="D73" s="1" t="s">
        <v>101</v>
      </c>
      <c r="E73" s="1" t="s">
        <v>144</v>
      </c>
      <c r="F73" s="1" t="s">
        <v>148</v>
      </c>
      <c r="G73" s="1">
        <v>82</v>
      </c>
      <c r="H73" s="1">
        <v>23</v>
      </c>
      <c r="I73" s="1"/>
      <c r="J73" s="1" t="s">
        <v>102</v>
      </c>
    </row>
    <row r="74" spans="1:10" x14ac:dyDescent="0.3">
      <c r="A74" s="5">
        <v>45729</v>
      </c>
      <c r="B74" s="1" t="s">
        <v>95</v>
      </c>
      <c r="C74" s="1" t="s">
        <v>104</v>
      </c>
      <c r="D74" s="1" t="s">
        <v>101</v>
      </c>
      <c r="E74" s="1" t="s">
        <v>144</v>
      </c>
      <c r="F74" s="1" t="s">
        <v>148</v>
      </c>
      <c r="G74" s="1">
        <v>70</v>
      </c>
      <c r="H74" s="1">
        <v>20</v>
      </c>
      <c r="I74" s="1"/>
      <c r="J74" s="1" t="s">
        <v>103</v>
      </c>
    </row>
    <row r="75" spans="1:10" x14ac:dyDescent="0.3">
      <c r="A75" s="5">
        <v>45729</v>
      </c>
      <c r="B75" s="1" t="s">
        <v>95</v>
      </c>
      <c r="C75" s="1" t="s">
        <v>104</v>
      </c>
      <c r="D75" s="1" t="s">
        <v>97</v>
      </c>
      <c r="E75" s="1" t="s">
        <v>146</v>
      </c>
      <c r="F75" s="1" t="s">
        <v>148</v>
      </c>
      <c r="G75" s="1">
        <v>90</v>
      </c>
      <c r="H75" s="1">
        <v>19</v>
      </c>
      <c r="I75" s="1"/>
      <c r="J75" s="1" t="s">
        <v>103</v>
      </c>
    </row>
    <row r="76" spans="1:10" x14ac:dyDescent="0.3">
      <c r="A76" s="5">
        <v>45729</v>
      </c>
      <c r="B76" s="1" t="s">
        <v>95</v>
      </c>
      <c r="C76" s="1" t="s">
        <v>104</v>
      </c>
      <c r="D76" s="1" t="s">
        <v>101</v>
      </c>
      <c r="E76" s="1" t="s">
        <v>146</v>
      </c>
      <c r="F76" s="1" t="s">
        <v>148</v>
      </c>
      <c r="G76" s="1">
        <v>90</v>
      </c>
      <c r="H76" s="1">
        <v>21</v>
      </c>
      <c r="I76" s="1"/>
      <c r="J76" s="1" t="s">
        <v>103</v>
      </c>
    </row>
    <row r="77" spans="1:10" x14ac:dyDescent="0.3">
      <c r="A77" s="5">
        <v>45729</v>
      </c>
      <c r="B77" s="1" t="s">
        <v>95</v>
      </c>
      <c r="C77" s="1" t="s">
        <v>104</v>
      </c>
      <c r="D77" s="1" t="s">
        <v>99</v>
      </c>
      <c r="E77" s="1" t="s">
        <v>144</v>
      </c>
      <c r="F77" s="1" t="s">
        <v>148</v>
      </c>
      <c r="G77" s="1">
        <v>80</v>
      </c>
      <c r="H77" s="1">
        <v>21</v>
      </c>
      <c r="I77" s="1"/>
      <c r="J77" s="1" t="s">
        <v>103</v>
      </c>
    </row>
    <row r="78" spans="1:10" x14ac:dyDescent="0.3">
      <c r="A78" s="5">
        <v>45729</v>
      </c>
      <c r="B78" s="1" t="s">
        <v>100</v>
      </c>
      <c r="C78" s="1" t="s">
        <v>104</v>
      </c>
      <c r="D78" s="1" t="s">
        <v>97</v>
      </c>
      <c r="E78" s="1" t="s">
        <v>147</v>
      </c>
      <c r="F78" s="1" t="s">
        <v>148</v>
      </c>
      <c r="G78" s="1">
        <v>92</v>
      </c>
      <c r="H78" s="1">
        <v>33</v>
      </c>
      <c r="I78" s="1"/>
      <c r="J78" s="1" t="s">
        <v>102</v>
      </c>
    </row>
    <row r="79" spans="1:10" x14ac:dyDescent="0.3">
      <c r="A79" s="5">
        <v>45729</v>
      </c>
      <c r="B79" s="1" t="s">
        <v>100</v>
      </c>
      <c r="C79" s="1" t="s">
        <v>104</v>
      </c>
      <c r="D79" s="1" t="s">
        <v>109</v>
      </c>
      <c r="E79" s="1" t="s">
        <v>144</v>
      </c>
      <c r="F79" s="1" t="s">
        <v>148</v>
      </c>
      <c r="G79" s="1">
        <v>73</v>
      </c>
      <c r="H79" s="1">
        <v>20</v>
      </c>
      <c r="I79" s="1"/>
      <c r="J79" s="1" t="s">
        <v>102</v>
      </c>
    </row>
    <row r="80" spans="1:10" x14ac:dyDescent="0.3">
      <c r="A80" s="5">
        <v>45729</v>
      </c>
      <c r="B80" s="1" t="s">
        <v>100</v>
      </c>
      <c r="C80" s="1" t="s">
        <v>104</v>
      </c>
      <c r="D80" s="1" t="s">
        <v>99</v>
      </c>
      <c r="E80" s="1" t="s">
        <v>147</v>
      </c>
      <c r="F80" s="1" t="s">
        <v>148</v>
      </c>
      <c r="G80" s="1">
        <v>77</v>
      </c>
      <c r="H80" s="1">
        <v>23</v>
      </c>
      <c r="I80" s="1"/>
      <c r="J80" s="1" t="s">
        <v>102</v>
      </c>
    </row>
    <row r="81" spans="1:10" x14ac:dyDescent="0.3">
      <c r="A81" s="5">
        <v>45729</v>
      </c>
      <c r="B81" s="1" t="s">
        <v>100</v>
      </c>
      <c r="C81" s="1" t="s">
        <v>104</v>
      </c>
      <c r="D81" s="1" t="s">
        <v>97</v>
      </c>
      <c r="E81" s="1" t="s">
        <v>144</v>
      </c>
      <c r="F81" s="1" t="s">
        <v>148</v>
      </c>
      <c r="G81" s="1">
        <v>95</v>
      </c>
      <c r="H81" s="1">
        <v>34</v>
      </c>
      <c r="I81" s="1"/>
      <c r="J81" s="1" t="s">
        <v>110</v>
      </c>
    </row>
    <row r="82" spans="1:10" x14ac:dyDescent="0.3">
      <c r="A82" s="5">
        <v>45835</v>
      </c>
      <c r="B82" s="1" t="s">
        <v>95</v>
      </c>
      <c r="C82" s="1" t="s">
        <v>96</v>
      </c>
      <c r="D82" s="1" t="s">
        <v>99</v>
      </c>
      <c r="E82" s="1" t="s">
        <v>146</v>
      </c>
      <c r="F82" s="1" t="s">
        <v>148</v>
      </c>
      <c r="G82" s="1">
        <v>180</v>
      </c>
      <c r="H82" s="1">
        <v>33</v>
      </c>
      <c r="I82" s="1">
        <v>5</v>
      </c>
      <c r="J82" s="1"/>
    </row>
    <row r="83" spans="1:10" x14ac:dyDescent="0.3">
      <c r="A83" s="5">
        <v>45835</v>
      </c>
      <c r="B83" s="1" t="s">
        <v>95</v>
      </c>
      <c r="C83" s="1" t="s">
        <v>96</v>
      </c>
      <c r="D83" s="1" t="s">
        <v>97</v>
      </c>
      <c r="E83" s="1" t="s">
        <v>146</v>
      </c>
      <c r="F83" s="1" t="s">
        <v>148</v>
      </c>
      <c r="G83" s="1">
        <v>220</v>
      </c>
      <c r="H83" s="1">
        <v>41</v>
      </c>
      <c r="I83" s="1">
        <v>8</v>
      </c>
      <c r="J83" s="1"/>
    </row>
    <row r="84" spans="1:10" x14ac:dyDescent="0.3">
      <c r="A84" s="5">
        <v>45835</v>
      </c>
      <c r="B84" s="1" t="s">
        <v>95</v>
      </c>
      <c r="C84" s="1" t="s">
        <v>96</v>
      </c>
      <c r="D84" s="1" t="s">
        <v>101</v>
      </c>
      <c r="E84" s="1" t="s">
        <v>146</v>
      </c>
      <c r="F84" s="1" t="s">
        <v>148</v>
      </c>
      <c r="G84" s="1">
        <v>190</v>
      </c>
      <c r="H84" s="1">
        <v>32</v>
      </c>
      <c r="I84" s="1">
        <v>7.8</v>
      </c>
      <c r="J84" s="1"/>
    </row>
    <row r="85" spans="1:10" x14ac:dyDescent="0.3">
      <c r="A85" s="5">
        <v>45835</v>
      </c>
      <c r="B85" s="1" t="s">
        <v>95</v>
      </c>
      <c r="C85" s="1" t="s">
        <v>96</v>
      </c>
      <c r="D85" s="1" t="s">
        <v>109</v>
      </c>
      <c r="E85" s="1" t="s">
        <v>146</v>
      </c>
      <c r="F85" s="1" t="s">
        <v>148</v>
      </c>
      <c r="G85" s="1">
        <v>170</v>
      </c>
      <c r="H85" s="1">
        <v>32</v>
      </c>
      <c r="I85" s="1">
        <v>5</v>
      </c>
      <c r="J85" s="1"/>
    </row>
    <row r="86" spans="1:10" x14ac:dyDescent="0.3">
      <c r="A86" s="5">
        <v>45835</v>
      </c>
      <c r="B86" s="1" t="s">
        <v>95</v>
      </c>
      <c r="C86" s="1" t="s">
        <v>96</v>
      </c>
      <c r="D86" s="1" t="s">
        <v>109</v>
      </c>
      <c r="E86" s="1" t="s">
        <v>144</v>
      </c>
      <c r="F86" s="1" t="s">
        <v>148</v>
      </c>
      <c r="G86" s="1">
        <v>230</v>
      </c>
      <c r="H86" s="1">
        <v>40</v>
      </c>
      <c r="I86" s="1">
        <v>10.4</v>
      </c>
      <c r="J86" s="1"/>
    </row>
    <row r="87" spans="1:10" x14ac:dyDescent="0.3">
      <c r="A87" s="5">
        <v>45835</v>
      </c>
      <c r="B87" s="1" t="s">
        <v>95</v>
      </c>
      <c r="C87" s="1" t="s">
        <v>96</v>
      </c>
      <c r="D87" s="1" t="s">
        <v>101</v>
      </c>
      <c r="E87" s="1" t="s">
        <v>144</v>
      </c>
      <c r="F87" s="1" t="s">
        <v>148</v>
      </c>
      <c r="G87" s="1">
        <v>210</v>
      </c>
      <c r="H87" s="1">
        <v>40</v>
      </c>
      <c r="I87" s="1">
        <v>7</v>
      </c>
      <c r="J87" s="1"/>
    </row>
    <row r="88" spans="1:10" x14ac:dyDescent="0.3">
      <c r="A88" s="5">
        <v>45835</v>
      </c>
      <c r="B88" s="1" t="s">
        <v>100</v>
      </c>
      <c r="C88" s="1" t="s">
        <v>96</v>
      </c>
      <c r="D88" s="1" t="s">
        <v>101</v>
      </c>
      <c r="E88" s="1" t="s">
        <v>147</v>
      </c>
      <c r="F88" s="1" t="s">
        <v>148</v>
      </c>
      <c r="G88" s="1">
        <v>222</v>
      </c>
      <c r="H88" s="1">
        <v>42</v>
      </c>
      <c r="I88" s="1">
        <v>7</v>
      </c>
      <c r="J88" s="1"/>
    </row>
    <row r="89" spans="1:10" x14ac:dyDescent="0.3">
      <c r="A89" s="5">
        <v>45835</v>
      </c>
      <c r="B89" s="1" t="s">
        <v>100</v>
      </c>
      <c r="C89" s="1"/>
      <c r="D89" s="1" t="s">
        <v>109</v>
      </c>
      <c r="E89" s="1" t="s">
        <v>147</v>
      </c>
      <c r="F89" s="1" t="s">
        <v>148</v>
      </c>
      <c r="G89" s="1">
        <v>230</v>
      </c>
      <c r="H89" s="1">
        <v>43</v>
      </c>
      <c r="I89" s="1">
        <v>0.33888888888888891</v>
      </c>
      <c r="J89" s="1"/>
    </row>
    <row r="90" spans="1:10" x14ac:dyDescent="0.3">
      <c r="A90" s="5">
        <v>45835</v>
      </c>
      <c r="B90" s="1" t="s">
        <v>100</v>
      </c>
      <c r="C90" s="1" t="s">
        <v>96</v>
      </c>
      <c r="D90" s="1" t="s">
        <v>99</v>
      </c>
      <c r="E90" s="1" t="s">
        <v>144</v>
      </c>
      <c r="F90" s="1" t="s">
        <v>148</v>
      </c>
      <c r="G90" s="1">
        <v>225</v>
      </c>
      <c r="H90" s="1">
        <v>39</v>
      </c>
      <c r="I90" s="1">
        <v>8</v>
      </c>
      <c r="J90" s="1"/>
    </row>
    <row r="91" spans="1:10" x14ac:dyDescent="0.3">
      <c r="A91" s="5">
        <v>45835</v>
      </c>
      <c r="B91" s="1" t="s">
        <v>100</v>
      </c>
      <c r="C91" s="1" t="s">
        <v>96</v>
      </c>
      <c r="D91" s="1" t="s">
        <v>97</v>
      </c>
      <c r="E91" s="1" t="s">
        <v>144</v>
      </c>
      <c r="F91" s="1" t="s">
        <v>148</v>
      </c>
      <c r="G91" s="1">
        <v>200</v>
      </c>
      <c r="H91" s="1">
        <v>35</v>
      </c>
      <c r="I91" s="1">
        <v>0.21388888888888891</v>
      </c>
      <c r="J91" s="1"/>
    </row>
    <row r="92" spans="1:10" x14ac:dyDescent="0.3">
      <c r="A92" s="5">
        <v>45835</v>
      </c>
      <c r="B92" s="1" t="s">
        <v>100</v>
      </c>
      <c r="C92" s="1" t="s">
        <v>96</v>
      </c>
      <c r="D92" s="1" t="s">
        <v>99</v>
      </c>
      <c r="E92" s="1" t="s">
        <v>147</v>
      </c>
      <c r="F92" s="1" t="s">
        <v>148</v>
      </c>
      <c r="G92" s="1">
        <v>183</v>
      </c>
      <c r="H92" s="1">
        <v>33</v>
      </c>
      <c r="I92" s="1">
        <v>9</v>
      </c>
      <c r="J92" s="1" t="s">
        <v>113</v>
      </c>
    </row>
    <row r="93" spans="1:10" x14ac:dyDescent="0.3">
      <c r="A93" s="5">
        <v>45835</v>
      </c>
      <c r="B93" s="1" t="s">
        <v>100</v>
      </c>
      <c r="C93" s="1" t="s">
        <v>96</v>
      </c>
      <c r="D93" s="1" t="s">
        <v>97</v>
      </c>
      <c r="E93" s="1" t="s">
        <v>147</v>
      </c>
      <c r="F93" s="1" t="s">
        <v>148</v>
      </c>
      <c r="G93" s="1">
        <v>260</v>
      </c>
      <c r="H93" s="1">
        <v>43</v>
      </c>
      <c r="I93" s="1">
        <v>0.41805555555555562</v>
      </c>
      <c r="J93" s="1" t="s">
        <v>113</v>
      </c>
    </row>
    <row r="94" spans="1:10" x14ac:dyDescent="0.3">
      <c r="A94" s="5">
        <v>45834</v>
      </c>
      <c r="B94" s="1" t="s">
        <v>114</v>
      </c>
      <c r="C94" s="1" t="s">
        <v>104</v>
      </c>
      <c r="D94" s="1" t="s">
        <v>101</v>
      </c>
      <c r="E94" s="1" t="s">
        <v>146</v>
      </c>
      <c r="F94" s="1" t="s">
        <v>148</v>
      </c>
      <c r="G94" s="1">
        <v>217</v>
      </c>
      <c r="H94" s="1">
        <v>42</v>
      </c>
      <c r="I94" s="1">
        <v>8</v>
      </c>
      <c r="J94" s="1"/>
    </row>
    <row r="95" spans="1:10" x14ac:dyDescent="0.3">
      <c r="A95" s="5">
        <v>45834</v>
      </c>
      <c r="B95" s="1" t="s">
        <v>114</v>
      </c>
      <c r="C95" s="1" t="s">
        <v>104</v>
      </c>
      <c r="D95" s="1" t="s">
        <v>97</v>
      </c>
      <c r="E95" s="1" t="s">
        <v>146</v>
      </c>
      <c r="F95" s="1" t="s">
        <v>148</v>
      </c>
      <c r="G95" s="1">
        <v>213</v>
      </c>
      <c r="H95" s="1">
        <v>41</v>
      </c>
      <c r="I95" s="1">
        <v>8</v>
      </c>
      <c r="J95" s="1"/>
    </row>
    <row r="96" spans="1:10" x14ac:dyDescent="0.3">
      <c r="A96" s="5">
        <v>45834</v>
      </c>
      <c r="B96" s="1" t="s">
        <v>95</v>
      </c>
      <c r="C96" s="1" t="s">
        <v>104</v>
      </c>
      <c r="D96" s="1" t="s">
        <v>99</v>
      </c>
      <c r="E96" s="1" t="s">
        <v>147</v>
      </c>
      <c r="F96" s="1" t="s">
        <v>148</v>
      </c>
      <c r="G96" s="1">
        <v>240</v>
      </c>
      <c r="H96" s="1">
        <v>44</v>
      </c>
      <c r="I96" s="1">
        <v>9</v>
      </c>
      <c r="J96" s="1"/>
    </row>
    <row r="97" spans="1:10" x14ac:dyDescent="0.3">
      <c r="A97" s="5">
        <v>45834</v>
      </c>
      <c r="B97" s="1" t="s">
        <v>95</v>
      </c>
      <c r="C97" s="1" t="s">
        <v>104</v>
      </c>
      <c r="D97" s="1" t="s">
        <v>97</v>
      </c>
      <c r="E97" s="1" t="s">
        <v>144</v>
      </c>
      <c r="F97" s="1" t="s">
        <v>148</v>
      </c>
      <c r="G97" s="1">
        <v>240</v>
      </c>
      <c r="H97" s="1">
        <v>40</v>
      </c>
      <c r="I97" s="1">
        <v>9</v>
      </c>
      <c r="J97" s="1"/>
    </row>
    <row r="98" spans="1:10" x14ac:dyDescent="0.3">
      <c r="A98" s="5">
        <v>45834</v>
      </c>
      <c r="B98" s="1" t="s">
        <v>95</v>
      </c>
      <c r="C98" s="1" t="s">
        <v>104</v>
      </c>
      <c r="D98" s="1" t="s">
        <v>109</v>
      </c>
      <c r="E98" s="1" t="s">
        <v>146</v>
      </c>
      <c r="F98" s="1" t="s">
        <v>148</v>
      </c>
      <c r="G98" s="1">
        <v>175</v>
      </c>
      <c r="H98" s="1">
        <v>33</v>
      </c>
      <c r="I98" s="1">
        <v>6</v>
      </c>
      <c r="J98" s="1"/>
    </row>
    <row r="99" spans="1:10" x14ac:dyDescent="0.3">
      <c r="A99" s="5">
        <v>45834</v>
      </c>
      <c r="B99" s="1" t="s">
        <v>95</v>
      </c>
      <c r="C99" s="1" t="s">
        <v>104</v>
      </c>
      <c r="D99" s="1" t="s">
        <v>99</v>
      </c>
      <c r="E99" s="1" t="s">
        <v>146</v>
      </c>
      <c r="F99" s="1" t="s">
        <v>148</v>
      </c>
      <c r="G99" s="1">
        <v>230</v>
      </c>
      <c r="H99" s="1">
        <v>46</v>
      </c>
      <c r="I99" s="1">
        <v>9</v>
      </c>
      <c r="J99" s="1"/>
    </row>
    <row r="100" spans="1:10" x14ac:dyDescent="0.3">
      <c r="A100" s="5">
        <v>45834</v>
      </c>
      <c r="B100" s="1" t="s">
        <v>95</v>
      </c>
      <c r="C100" s="1" t="s">
        <v>104</v>
      </c>
      <c r="D100" s="1" t="s">
        <v>101</v>
      </c>
      <c r="E100" s="1" t="s">
        <v>147</v>
      </c>
      <c r="F100" s="1" t="s">
        <v>148</v>
      </c>
      <c r="G100" s="1">
        <v>165</v>
      </c>
      <c r="H100" s="1">
        <v>32</v>
      </c>
      <c r="I100" s="1">
        <v>7</v>
      </c>
      <c r="J100" s="1"/>
    </row>
    <row r="101" spans="1:10" x14ac:dyDescent="0.3">
      <c r="A101" s="5">
        <v>45834</v>
      </c>
      <c r="B101" s="1" t="s">
        <v>100</v>
      </c>
      <c r="C101" s="1" t="s">
        <v>104</v>
      </c>
      <c r="D101" s="1" t="s">
        <v>109</v>
      </c>
      <c r="E101" s="1" t="s">
        <v>144</v>
      </c>
      <c r="F101" s="1" t="s">
        <v>148</v>
      </c>
      <c r="G101" s="1">
        <v>190</v>
      </c>
      <c r="H101" s="1">
        <v>40</v>
      </c>
      <c r="I101" s="1">
        <v>7</v>
      </c>
      <c r="J101" s="1" t="s">
        <v>113</v>
      </c>
    </row>
    <row r="102" spans="1:10" x14ac:dyDescent="0.3">
      <c r="A102" s="5">
        <v>45834</v>
      </c>
      <c r="B102" s="1" t="s">
        <v>100</v>
      </c>
      <c r="C102" s="1" t="s">
        <v>104</v>
      </c>
      <c r="D102" s="1" t="s">
        <v>99</v>
      </c>
      <c r="E102" s="1" t="s">
        <v>144</v>
      </c>
      <c r="F102" s="1" t="s">
        <v>148</v>
      </c>
      <c r="G102" s="1">
        <v>220</v>
      </c>
      <c r="H102" s="1">
        <v>41</v>
      </c>
      <c r="I102" s="1">
        <v>0.3347222222222222</v>
      </c>
      <c r="J102" s="1" t="s">
        <v>113</v>
      </c>
    </row>
    <row r="103" spans="1:10" x14ac:dyDescent="0.3">
      <c r="A103" s="5">
        <v>45834</v>
      </c>
      <c r="B103" s="1" t="s">
        <v>100</v>
      </c>
      <c r="C103" s="1" t="s">
        <v>104</v>
      </c>
      <c r="D103" s="1" t="s">
        <v>101</v>
      </c>
      <c r="E103" s="1" t="s">
        <v>144</v>
      </c>
      <c r="F103" s="1" t="s">
        <v>148</v>
      </c>
      <c r="G103" s="1">
        <v>230</v>
      </c>
      <c r="H103" s="1">
        <v>43</v>
      </c>
      <c r="I103" s="1">
        <v>0.37916666666666671</v>
      </c>
      <c r="J103" s="1" t="s">
        <v>113</v>
      </c>
    </row>
    <row r="104" spans="1:10" x14ac:dyDescent="0.3">
      <c r="A104" s="5">
        <v>45834</v>
      </c>
      <c r="B104" s="1" t="s">
        <v>100</v>
      </c>
      <c r="C104" s="1" t="s">
        <v>104</v>
      </c>
      <c r="D104" s="1" t="s">
        <v>97</v>
      </c>
      <c r="E104" s="1" t="s">
        <v>147</v>
      </c>
      <c r="F104" s="1" t="s">
        <v>148</v>
      </c>
      <c r="G104" s="1">
        <v>202</v>
      </c>
      <c r="H104" s="1">
        <v>39</v>
      </c>
      <c r="I104" s="1">
        <v>0.3347222222222222</v>
      </c>
      <c r="J104" s="1" t="s">
        <v>113</v>
      </c>
    </row>
    <row r="105" spans="1:10" x14ac:dyDescent="0.3">
      <c r="A105" s="5">
        <v>45834</v>
      </c>
      <c r="B105" s="1" t="s">
        <v>100</v>
      </c>
      <c r="C105" s="1" t="s">
        <v>104</v>
      </c>
      <c r="D105" s="1" t="s">
        <v>109</v>
      </c>
      <c r="E105" s="1" t="s">
        <v>147</v>
      </c>
      <c r="F105" s="1" t="s">
        <v>148</v>
      </c>
      <c r="G105" s="1">
        <v>200</v>
      </c>
      <c r="H105" s="1">
        <v>39</v>
      </c>
      <c r="I105" s="1">
        <v>8</v>
      </c>
      <c r="J105" s="1" t="s">
        <v>113</v>
      </c>
    </row>
    <row r="106" spans="1:10" x14ac:dyDescent="0.3">
      <c r="A106" s="5">
        <v>45930</v>
      </c>
      <c r="B106" s="1" t="s">
        <v>100</v>
      </c>
      <c r="C106" s="1" t="s">
        <v>96</v>
      </c>
      <c r="D106" s="1" t="s">
        <v>109</v>
      </c>
      <c r="E106" s="1" t="s">
        <v>144</v>
      </c>
      <c r="F106" s="1" t="s">
        <v>148</v>
      </c>
      <c r="G106" s="1">
        <v>308</v>
      </c>
      <c r="H106" s="1">
        <v>56</v>
      </c>
      <c r="I106" s="1">
        <v>10</v>
      </c>
      <c r="J106" s="1"/>
    </row>
    <row r="107" spans="1:10" x14ac:dyDescent="0.3">
      <c r="A107" s="5">
        <v>45930</v>
      </c>
      <c r="B107" s="1" t="s">
        <v>100</v>
      </c>
      <c r="C107" s="1" t="s">
        <v>96</v>
      </c>
      <c r="D107" s="1" t="s">
        <v>97</v>
      </c>
      <c r="E107" s="1" t="s">
        <v>147</v>
      </c>
      <c r="F107" s="1" t="s">
        <v>148</v>
      </c>
      <c r="G107" s="1">
        <v>350</v>
      </c>
      <c r="H107" s="1">
        <v>68</v>
      </c>
      <c r="I107" s="1">
        <v>14</v>
      </c>
      <c r="J107" s="1"/>
    </row>
    <row r="108" spans="1:10" x14ac:dyDescent="0.3">
      <c r="A108" s="5">
        <v>45925</v>
      </c>
      <c r="B108" s="1" t="s">
        <v>100</v>
      </c>
      <c r="C108" s="1" t="s">
        <v>104</v>
      </c>
      <c r="D108" s="1" t="s">
        <v>101</v>
      </c>
      <c r="E108" s="1" t="s">
        <v>147</v>
      </c>
      <c r="F108" s="1" t="s">
        <v>148</v>
      </c>
      <c r="G108" s="1">
        <v>276</v>
      </c>
      <c r="H108" s="1">
        <v>53</v>
      </c>
      <c r="I108" s="1">
        <v>12</v>
      </c>
      <c r="J108" s="1"/>
    </row>
    <row r="109" spans="1:10" x14ac:dyDescent="0.3">
      <c r="A109" s="5">
        <v>45925</v>
      </c>
      <c r="B109" s="1" t="s">
        <v>100</v>
      </c>
      <c r="C109" s="1" t="s">
        <v>104</v>
      </c>
      <c r="D109" s="1" t="s">
        <v>97</v>
      </c>
      <c r="E109" s="1" t="s">
        <v>146</v>
      </c>
      <c r="F109" s="1" t="s">
        <v>148</v>
      </c>
      <c r="G109" s="1">
        <v>315</v>
      </c>
      <c r="H109" s="1">
        <v>60</v>
      </c>
      <c r="I109" s="1">
        <v>14</v>
      </c>
      <c r="J109" s="1"/>
    </row>
    <row r="110" spans="1:10" x14ac:dyDescent="0.3">
      <c r="A110" s="5">
        <v>45925</v>
      </c>
      <c r="B110" s="1" t="s">
        <v>100</v>
      </c>
      <c r="C110" s="1" t="s">
        <v>104</v>
      </c>
      <c r="D110" s="1" t="s">
        <v>101</v>
      </c>
      <c r="E110" s="1" t="s">
        <v>146</v>
      </c>
      <c r="F110" s="1" t="s">
        <v>148</v>
      </c>
      <c r="G110" s="1">
        <v>310</v>
      </c>
      <c r="H110" s="1">
        <v>59</v>
      </c>
      <c r="I110" s="1">
        <v>13</v>
      </c>
      <c r="J110" s="1"/>
    </row>
    <row r="111" spans="1:10" x14ac:dyDescent="0.3">
      <c r="A111" s="5">
        <v>45925</v>
      </c>
      <c r="B111" s="1" t="s">
        <v>95</v>
      </c>
      <c r="C111" s="1" t="s">
        <v>104</v>
      </c>
      <c r="D111" s="1" t="s">
        <v>99</v>
      </c>
      <c r="E111" s="1" t="s">
        <v>146</v>
      </c>
      <c r="F111" s="1" t="s">
        <v>148</v>
      </c>
      <c r="G111" s="1">
        <v>320</v>
      </c>
      <c r="H111" s="1">
        <v>67</v>
      </c>
      <c r="I111" s="1">
        <v>15</v>
      </c>
      <c r="J111" s="1"/>
    </row>
    <row r="112" spans="1:10" x14ac:dyDescent="0.3">
      <c r="A112" s="5">
        <v>45925</v>
      </c>
      <c r="B112" s="1" t="s">
        <v>95</v>
      </c>
      <c r="C112" s="1" t="s">
        <v>104</v>
      </c>
      <c r="D112" s="1" t="s">
        <v>109</v>
      </c>
      <c r="E112" s="1" t="s">
        <v>147</v>
      </c>
      <c r="F112" s="1" t="s">
        <v>148</v>
      </c>
      <c r="G112" s="1">
        <v>320</v>
      </c>
      <c r="H112" s="1">
        <v>60</v>
      </c>
      <c r="I112" s="1">
        <v>11</v>
      </c>
      <c r="J112" s="1"/>
    </row>
    <row r="113" spans="1:10" x14ac:dyDescent="0.3">
      <c r="A113" s="5">
        <v>45925</v>
      </c>
      <c r="B113" s="1" t="s">
        <v>95</v>
      </c>
      <c r="C113" s="1" t="s">
        <v>104</v>
      </c>
      <c r="D113" s="1" t="s">
        <v>97</v>
      </c>
      <c r="E113" s="1" t="s">
        <v>144</v>
      </c>
      <c r="F113" s="1" t="s">
        <v>148</v>
      </c>
      <c r="G113" s="1">
        <v>340</v>
      </c>
      <c r="H113" s="1">
        <v>61</v>
      </c>
      <c r="I113" s="1">
        <v>12</v>
      </c>
      <c r="J113" s="1"/>
    </row>
    <row r="114" spans="1:10" x14ac:dyDescent="0.3">
      <c r="A114" s="5">
        <v>45923</v>
      </c>
      <c r="B114" s="1" t="s">
        <v>100</v>
      </c>
      <c r="C114" s="1" t="s">
        <v>104</v>
      </c>
      <c r="D114" s="1" t="s">
        <v>101</v>
      </c>
      <c r="E114" s="1" t="s">
        <v>144</v>
      </c>
      <c r="F114" s="1" t="s">
        <v>148</v>
      </c>
      <c r="G114" s="1">
        <v>297</v>
      </c>
      <c r="H114" s="1">
        <v>56</v>
      </c>
      <c r="I114" s="1">
        <v>15</v>
      </c>
      <c r="J114" s="1"/>
    </row>
    <row r="115" spans="1:10" x14ac:dyDescent="0.3">
      <c r="A115" s="5">
        <v>45923</v>
      </c>
      <c r="B115" s="1" t="s">
        <v>100</v>
      </c>
      <c r="C115" s="1" t="s">
        <v>104</v>
      </c>
      <c r="D115" s="1" t="s">
        <v>109</v>
      </c>
      <c r="E115" s="1" t="s">
        <v>144</v>
      </c>
      <c r="F115" s="1" t="s">
        <v>148</v>
      </c>
      <c r="G115" s="1">
        <v>280</v>
      </c>
      <c r="H115" s="1">
        <v>51</v>
      </c>
      <c r="I115" s="1">
        <v>10</v>
      </c>
      <c r="J115" s="1"/>
    </row>
    <row r="116" spans="1:10" x14ac:dyDescent="0.3">
      <c r="A116" s="5">
        <v>45923</v>
      </c>
      <c r="B116" s="1" t="s">
        <v>100</v>
      </c>
      <c r="C116" s="1" t="s">
        <v>104</v>
      </c>
      <c r="D116" s="1" t="s">
        <v>109</v>
      </c>
      <c r="E116" s="1" t="s">
        <v>146</v>
      </c>
      <c r="F116" s="1" t="s">
        <v>148</v>
      </c>
      <c r="G116" s="1">
        <v>313</v>
      </c>
      <c r="H116" s="1">
        <v>54</v>
      </c>
      <c r="I116" s="1">
        <v>12</v>
      </c>
      <c r="J116" s="1" t="s">
        <v>113</v>
      </c>
    </row>
    <row r="117" spans="1:10" x14ac:dyDescent="0.3">
      <c r="A117" s="5">
        <v>45923</v>
      </c>
      <c r="B117" s="1" t="s">
        <v>95</v>
      </c>
      <c r="C117" s="1" t="s">
        <v>104</v>
      </c>
      <c r="D117" s="1" t="s">
        <v>97</v>
      </c>
      <c r="E117" s="1" t="s">
        <v>147</v>
      </c>
      <c r="F117" s="1" t="s">
        <v>148</v>
      </c>
      <c r="G117" s="1">
        <v>270</v>
      </c>
      <c r="H117" s="1">
        <v>46</v>
      </c>
      <c r="I117" s="1">
        <v>9</v>
      </c>
      <c r="J117" s="1"/>
    </row>
    <row r="118" spans="1:10" x14ac:dyDescent="0.3">
      <c r="A118" s="5">
        <v>45923</v>
      </c>
      <c r="B118" s="1" t="s">
        <v>95</v>
      </c>
      <c r="C118" s="1" t="s">
        <v>104</v>
      </c>
      <c r="D118" s="1" t="s">
        <v>99</v>
      </c>
      <c r="E118" s="1" t="s">
        <v>147</v>
      </c>
      <c r="F118" s="1" t="s">
        <v>148</v>
      </c>
      <c r="G118" s="1">
        <v>318</v>
      </c>
      <c r="H118" s="1">
        <v>59</v>
      </c>
      <c r="I118" s="1">
        <v>12</v>
      </c>
      <c r="J118" s="1"/>
    </row>
    <row r="119" spans="1:10" x14ac:dyDescent="0.3">
      <c r="A119" s="5">
        <v>45923</v>
      </c>
      <c r="B119" s="1" t="s">
        <v>95</v>
      </c>
      <c r="C119" s="1" t="s">
        <v>104</v>
      </c>
      <c r="D119" s="1" t="s">
        <v>99</v>
      </c>
      <c r="E119" s="1" t="s">
        <v>144</v>
      </c>
      <c r="F119" s="1" t="s">
        <v>148</v>
      </c>
      <c r="G119" s="1">
        <v>333</v>
      </c>
      <c r="H119" s="1">
        <v>60</v>
      </c>
      <c r="I119" s="1">
        <v>15</v>
      </c>
      <c r="J119" s="1"/>
    </row>
    <row r="120" spans="1:10" x14ac:dyDescent="0.3">
      <c r="A120" s="5">
        <v>45933</v>
      </c>
      <c r="B120" s="1" t="s">
        <v>100</v>
      </c>
      <c r="C120" s="1" t="s">
        <v>96</v>
      </c>
      <c r="D120" s="1" t="s">
        <v>109</v>
      </c>
      <c r="E120" s="1" t="s">
        <v>147</v>
      </c>
      <c r="F120" s="1" t="s">
        <v>148</v>
      </c>
      <c r="G120" s="1">
        <v>302</v>
      </c>
      <c r="H120" s="1">
        <v>59</v>
      </c>
      <c r="I120" s="1">
        <v>11</v>
      </c>
      <c r="J120" s="1"/>
    </row>
    <row r="121" spans="1:10" x14ac:dyDescent="0.3">
      <c r="A121" s="5">
        <v>45933</v>
      </c>
      <c r="B121" s="1" t="s">
        <v>100</v>
      </c>
      <c r="C121" s="1" t="s">
        <v>96</v>
      </c>
      <c r="D121" s="1" t="s">
        <v>97</v>
      </c>
      <c r="E121" s="1" t="s">
        <v>146</v>
      </c>
      <c r="F121" s="1" t="s">
        <v>148</v>
      </c>
      <c r="G121" s="1">
        <v>283</v>
      </c>
      <c r="H121" s="1">
        <v>54</v>
      </c>
      <c r="I121" s="1">
        <v>11</v>
      </c>
      <c r="J121" s="1"/>
    </row>
    <row r="122" spans="1:10" x14ac:dyDescent="0.3">
      <c r="A122" s="5">
        <v>45932</v>
      </c>
      <c r="B122" s="1" t="s">
        <v>100</v>
      </c>
      <c r="C122" s="1" t="s">
        <v>96</v>
      </c>
      <c r="D122" s="1" t="s">
        <v>101</v>
      </c>
      <c r="E122" s="1" t="s">
        <v>147</v>
      </c>
      <c r="F122" s="1" t="s">
        <v>148</v>
      </c>
      <c r="G122" s="1">
        <v>265</v>
      </c>
      <c r="H122" s="1">
        <v>56</v>
      </c>
      <c r="I122" s="1">
        <v>9</v>
      </c>
      <c r="J122" s="1"/>
    </row>
    <row r="123" spans="1:10" x14ac:dyDescent="0.3">
      <c r="A123" s="5">
        <v>45932</v>
      </c>
      <c r="B123" s="1" t="s">
        <v>100</v>
      </c>
      <c r="C123" s="1" t="s">
        <v>96</v>
      </c>
      <c r="D123" s="1" t="s">
        <v>99</v>
      </c>
      <c r="E123" s="1" t="s">
        <v>146</v>
      </c>
      <c r="F123" s="1" t="s">
        <v>148</v>
      </c>
      <c r="G123" s="1">
        <v>310</v>
      </c>
      <c r="H123" s="1">
        <v>57</v>
      </c>
      <c r="I123" s="1">
        <v>10</v>
      </c>
      <c r="J123" s="1"/>
    </row>
    <row r="124" spans="1:10" x14ac:dyDescent="0.3">
      <c r="A124" s="5">
        <v>45931</v>
      </c>
      <c r="B124" s="1" t="s">
        <v>95</v>
      </c>
      <c r="C124" s="1" t="s">
        <v>96</v>
      </c>
      <c r="D124" s="1" t="s">
        <v>97</v>
      </c>
      <c r="E124" s="1" t="s">
        <v>144</v>
      </c>
      <c r="F124" s="1" t="s">
        <v>148</v>
      </c>
      <c r="G124" s="1">
        <v>322</v>
      </c>
      <c r="H124" s="1">
        <v>61</v>
      </c>
      <c r="I124" s="1">
        <v>11</v>
      </c>
      <c r="J124" s="1"/>
    </row>
    <row r="125" spans="1:10" x14ac:dyDescent="0.3">
      <c r="A125" s="5">
        <v>45931</v>
      </c>
      <c r="B125" s="1" t="s">
        <v>95</v>
      </c>
      <c r="C125" s="1" t="s">
        <v>96</v>
      </c>
      <c r="D125" s="1" t="s">
        <v>99</v>
      </c>
      <c r="E125" s="1" t="s">
        <v>144</v>
      </c>
      <c r="F125" s="1" t="s">
        <v>148</v>
      </c>
      <c r="G125" s="1">
        <v>300</v>
      </c>
      <c r="H125" s="1">
        <v>55</v>
      </c>
      <c r="I125" s="1">
        <v>11</v>
      </c>
      <c r="J125" s="1"/>
    </row>
    <row r="126" spans="1:10" x14ac:dyDescent="0.3">
      <c r="A126" s="5">
        <v>45931</v>
      </c>
      <c r="B126" s="1" t="s">
        <v>95</v>
      </c>
      <c r="C126" s="1" t="s">
        <v>96</v>
      </c>
      <c r="D126" s="1" t="s">
        <v>99</v>
      </c>
      <c r="E126" s="1" t="s">
        <v>147</v>
      </c>
      <c r="F126" s="1" t="s">
        <v>148</v>
      </c>
      <c r="G126" s="1">
        <v>308</v>
      </c>
      <c r="H126" s="1">
        <v>60</v>
      </c>
      <c r="I126" s="1">
        <v>11</v>
      </c>
      <c r="J126" s="1"/>
    </row>
    <row r="127" spans="1:10" x14ac:dyDescent="0.3">
      <c r="A127" s="5">
        <v>45931</v>
      </c>
      <c r="B127" s="1" t="s">
        <v>100</v>
      </c>
      <c r="C127" s="1" t="s">
        <v>96</v>
      </c>
      <c r="D127" s="1" t="s">
        <v>101</v>
      </c>
      <c r="E127" s="1" t="s">
        <v>146</v>
      </c>
      <c r="F127" s="1" t="s">
        <v>148</v>
      </c>
      <c r="G127" s="1">
        <v>290</v>
      </c>
      <c r="H127" s="1">
        <v>54</v>
      </c>
      <c r="I127" s="1">
        <v>12</v>
      </c>
      <c r="J127" s="1"/>
    </row>
    <row r="128" spans="1:10" x14ac:dyDescent="0.3">
      <c r="A128" s="5">
        <v>45931</v>
      </c>
      <c r="B128" s="1" t="s">
        <v>100</v>
      </c>
      <c r="C128" s="1" t="s">
        <v>96</v>
      </c>
      <c r="D128" s="1" t="s">
        <v>109</v>
      </c>
      <c r="E128" s="1" t="s">
        <v>146</v>
      </c>
      <c r="F128" s="1" t="s">
        <v>148</v>
      </c>
      <c r="G128" s="1">
        <v>335</v>
      </c>
      <c r="H128" s="1">
        <v>59</v>
      </c>
      <c r="I128" s="1">
        <v>14</v>
      </c>
      <c r="J128" s="1"/>
    </row>
    <row r="129" spans="1:10" x14ac:dyDescent="0.3">
      <c r="A129" s="5">
        <v>45931</v>
      </c>
      <c r="B129" s="1" t="s">
        <v>100</v>
      </c>
      <c r="C129" s="1" t="s">
        <v>96</v>
      </c>
      <c r="D129" s="1" t="s">
        <v>101</v>
      </c>
      <c r="E129" s="1" t="s">
        <v>144</v>
      </c>
      <c r="F129" s="1" t="s">
        <v>148</v>
      </c>
      <c r="G129" s="1">
        <v>320</v>
      </c>
      <c r="H129" s="1">
        <v>62</v>
      </c>
      <c r="I129" s="1">
        <v>13</v>
      </c>
      <c r="J129" s="1"/>
    </row>
    <row r="130" spans="1:10" x14ac:dyDescent="0.3">
      <c r="A130" s="5">
        <v>45737</v>
      </c>
      <c r="B130" s="1" t="s">
        <v>95</v>
      </c>
      <c r="C130" s="1" t="s">
        <v>96</v>
      </c>
      <c r="D130" s="1" t="s">
        <v>97</v>
      </c>
      <c r="E130" s="1" t="s">
        <v>144</v>
      </c>
      <c r="F130" s="1" t="s">
        <v>149</v>
      </c>
      <c r="G130" s="1">
        <v>80</v>
      </c>
      <c r="H130" s="1">
        <v>21</v>
      </c>
      <c r="I130" s="1"/>
      <c r="J130" s="1" t="s">
        <v>98</v>
      </c>
    </row>
    <row r="131" spans="1:10" x14ac:dyDescent="0.3">
      <c r="A131" s="5">
        <v>45737</v>
      </c>
      <c r="B131" s="1" t="s">
        <v>95</v>
      </c>
      <c r="C131" s="1" t="s">
        <v>96</v>
      </c>
      <c r="D131" s="1" t="s">
        <v>97</v>
      </c>
      <c r="E131" s="1" t="s">
        <v>146</v>
      </c>
      <c r="F131" s="1" t="s">
        <v>149</v>
      </c>
      <c r="G131" s="1">
        <v>100</v>
      </c>
      <c r="H131" s="1">
        <v>26</v>
      </c>
      <c r="I131" s="1"/>
      <c r="J131" s="1" t="s">
        <v>98</v>
      </c>
    </row>
    <row r="132" spans="1:10" x14ac:dyDescent="0.3">
      <c r="A132" s="5">
        <v>45737</v>
      </c>
      <c r="B132" s="1" t="s">
        <v>95</v>
      </c>
      <c r="C132" s="1" t="s">
        <v>96</v>
      </c>
      <c r="D132" s="1" t="s">
        <v>99</v>
      </c>
      <c r="E132" s="1" t="s">
        <v>144</v>
      </c>
      <c r="F132" s="1" t="s">
        <v>149</v>
      </c>
      <c r="G132" s="1">
        <v>100</v>
      </c>
      <c r="H132" s="1">
        <v>22</v>
      </c>
      <c r="I132" s="1"/>
      <c r="J132" s="1" t="s">
        <v>98</v>
      </c>
    </row>
    <row r="133" spans="1:10" x14ac:dyDescent="0.3">
      <c r="A133" s="5">
        <v>45737</v>
      </c>
      <c r="B133" s="1" t="s">
        <v>95</v>
      </c>
      <c r="C133" s="1" t="s">
        <v>96</v>
      </c>
      <c r="D133" s="1" t="s">
        <v>97</v>
      </c>
      <c r="E133" s="1" t="s">
        <v>147</v>
      </c>
      <c r="F133" s="1" t="s">
        <v>149</v>
      </c>
      <c r="G133" s="1">
        <v>75</v>
      </c>
      <c r="H133" s="1">
        <v>19</v>
      </c>
      <c r="I133" s="1"/>
      <c r="J133" s="1" t="s">
        <v>98</v>
      </c>
    </row>
    <row r="134" spans="1:10" x14ac:dyDescent="0.3">
      <c r="A134" s="5">
        <v>45737</v>
      </c>
      <c r="B134" s="1" t="s">
        <v>100</v>
      </c>
      <c r="C134" s="1" t="s">
        <v>96</v>
      </c>
      <c r="D134" s="1" t="s">
        <v>101</v>
      </c>
      <c r="E134" s="1" t="s">
        <v>146</v>
      </c>
      <c r="F134" s="1" t="s">
        <v>149</v>
      </c>
      <c r="G134" s="1">
        <v>100</v>
      </c>
      <c r="H134" s="1">
        <v>26</v>
      </c>
      <c r="I134" s="1"/>
      <c r="J134" s="1" t="s">
        <v>102</v>
      </c>
    </row>
    <row r="135" spans="1:10" x14ac:dyDescent="0.3">
      <c r="A135" s="5">
        <v>45737</v>
      </c>
      <c r="B135" s="1" t="s">
        <v>100</v>
      </c>
      <c r="C135" s="1" t="s">
        <v>96</v>
      </c>
      <c r="D135" s="1" t="s">
        <v>99</v>
      </c>
      <c r="E135" s="1" t="s">
        <v>146</v>
      </c>
      <c r="F135" s="1" t="s">
        <v>149</v>
      </c>
      <c r="G135" s="1">
        <v>74</v>
      </c>
      <c r="H135" s="1">
        <v>19</v>
      </c>
      <c r="I135" s="1"/>
      <c r="J135" s="1" t="s">
        <v>102</v>
      </c>
    </row>
    <row r="136" spans="1:10" x14ac:dyDescent="0.3">
      <c r="A136" s="5">
        <v>45737</v>
      </c>
      <c r="B136" s="1" t="s">
        <v>100</v>
      </c>
      <c r="C136" s="1" t="s">
        <v>96</v>
      </c>
      <c r="D136" s="1" t="s">
        <v>97</v>
      </c>
      <c r="E136" s="1" t="s">
        <v>146</v>
      </c>
      <c r="F136" s="1" t="s">
        <v>149</v>
      </c>
      <c r="G136" s="1">
        <v>96</v>
      </c>
      <c r="H136" s="1">
        <v>21</v>
      </c>
      <c r="I136" s="1"/>
      <c r="J136" s="1" t="s">
        <v>102</v>
      </c>
    </row>
    <row r="137" spans="1:10" x14ac:dyDescent="0.3">
      <c r="A137" s="5">
        <v>45737</v>
      </c>
      <c r="B137" s="1" t="s">
        <v>100</v>
      </c>
      <c r="C137" s="1" t="s">
        <v>96</v>
      </c>
      <c r="D137" s="1" t="s">
        <v>101</v>
      </c>
      <c r="E137" s="1" t="s">
        <v>144</v>
      </c>
      <c r="F137" s="1" t="s">
        <v>149</v>
      </c>
      <c r="G137" s="1">
        <v>90</v>
      </c>
      <c r="H137" s="1">
        <v>26</v>
      </c>
      <c r="I137" s="1"/>
      <c r="J137" s="1" t="s">
        <v>102</v>
      </c>
    </row>
    <row r="138" spans="1:10" x14ac:dyDescent="0.3">
      <c r="A138" s="5">
        <v>45729</v>
      </c>
      <c r="B138" s="1" t="s">
        <v>95</v>
      </c>
      <c r="C138" s="1" t="s">
        <v>104</v>
      </c>
      <c r="D138" s="1" t="s">
        <v>101</v>
      </c>
      <c r="E138" s="1" t="s">
        <v>144</v>
      </c>
      <c r="F138" s="1" t="s">
        <v>149</v>
      </c>
      <c r="G138" s="1">
        <v>80</v>
      </c>
      <c r="H138" s="1">
        <v>20</v>
      </c>
      <c r="I138" s="1"/>
      <c r="J138" s="1" t="s">
        <v>103</v>
      </c>
    </row>
    <row r="139" spans="1:10" x14ac:dyDescent="0.3">
      <c r="A139" s="5">
        <v>45729</v>
      </c>
      <c r="B139" s="1" t="s">
        <v>95</v>
      </c>
      <c r="C139" s="1" t="s">
        <v>104</v>
      </c>
      <c r="D139" s="1" t="s">
        <v>97</v>
      </c>
      <c r="E139" s="1" t="s">
        <v>146</v>
      </c>
      <c r="F139" s="1" t="s">
        <v>149</v>
      </c>
      <c r="G139" s="1">
        <v>78</v>
      </c>
      <c r="H139" s="1">
        <v>21</v>
      </c>
      <c r="I139" s="1"/>
      <c r="J139" s="1" t="s">
        <v>103</v>
      </c>
    </row>
    <row r="140" spans="1:10" x14ac:dyDescent="0.3">
      <c r="A140" s="5">
        <v>45729</v>
      </c>
      <c r="B140" s="1" t="s">
        <v>95</v>
      </c>
      <c r="C140" s="1" t="s">
        <v>104</v>
      </c>
      <c r="D140" s="1" t="s">
        <v>101</v>
      </c>
      <c r="E140" s="1" t="s">
        <v>146</v>
      </c>
      <c r="F140" s="1" t="s">
        <v>149</v>
      </c>
      <c r="G140" s="1">
        <v>96</v>
      </c>
      <c r="H140" s="1">
        <v>19</v>
      </c>
      <c r="I140" s="1"/>
      <c r="J140" s="1" t="s">
        <v>103</v>
      </c>
    </row>
    <row r="141" spans="1:10" x14ac:dyDescent="0.3">
      <c r="A141" s="5">
        <v>45729</v>
      </c>
      <c r="B141" s="1" t="s">
        <v>95</v>
      </c>
      <c r="C141" s="1" t="s">
        <v>104</v>
      </c>
      <c r="D141" s="1" t="s">
        <v>99</v>
      </c>
      <c r="E141" s="1" t="s">
        <v>144</v>
      </c>
      <c r="F141" s="1" t="s">
        <v>149</v>
      </c>
      <c r="G141" s="1">
        <v>90</v>
      </c>
      <c r="H141" s="1">
        <v>19</v>
      </c>
      <c r="I141" s="1"/>
      <c r="J141" s="1" t="s">
        <v>103</v>
      </c>
    </row>
    <row r="142" spans="1:10" x14ac:dyDescent="0.3">
      <c r="A142" s="5">
        <v>45729</v>
      </c>
      <c r="B142" s="1" t="s">
        <v>100</v>
      </c>
      <c r="C142" s="1" t="s">
        <v>104</v>
      </c>
      <c r="D142" s="1" t="s">
        <v>97</v>
      </c>
      <c r="E142" s="1" t="s">
        <v>147</v>
      </c>
      <c r="F142" s="1" t="s">
        <v>149</v>
      </c>
      <c r="G142" s="1">
        <v>84</v>
      </c>
      <c r="H142" s="1">
        <v>24</v>
      </c>
      <c r="I142" s="1"/>
      <c r="J142" s="1" t="s">
        <v>102</v>
      </c>
    </row>
    <row r="143" spans="1:10" x14ac:dyDescent="0.3">
      <c r="A143" s="5">
        <v>45729</v>
      </c>
      <c r="B143" s="1" t="s">
        <v>100</v>
      </c>
      <c r="C143" s="1" t="s">
        <v>104</v>
      </c>
      <c r="D143" s="1" t="s">
        <v>109</v>
      </c>
      <c r="E143" s="1" t="s">
        <v>144</v>
      </c>
      <c r="F143" s="1" t="s">
        <v>149</v>
      </c>
      <c r="G143" s="1">
        <v>84</v>
      </c>
      <c r="H143" s="1">
        <v>25</v>
      </c>
      <c r="I143" s="1"/>
      <c r="J143" s="1" t="s">
        <v>102</v>
      </c>
    </row>
    <row r="144" spans="1:10" x14ac:dyDescent="0.3">
      <c r="A144" s="5">
        <v>45729</v>
      </c>
      <c r="B144" s="1" t="s">
        <v>100</v>
      </c>
      <c r="C144" s="1" t="s">
        <v>104</v>
      </c>
      <c r="D144" s="1" t="s">
        <v>99</v>
      </c>
      <c r="E144" s="1" t="s">
        <v>147</v>
      </c>
      <c r="F144" s="1" t="s">
        <v>149</v>
      </c>
      <c r="G144" s="1">
        <v>98</v>
      </c>
      <c r="H144" s="1">
        <v>24</v>
      </c>
      <c r="I144" s="1"/>
      <c r="J144" s="1" t="s">
        <v>102</v>
      </c>
    </row>
    <row r="145" spans="1:10" x14ac:dyDescent="0.3">
      <c r="A145" s="5">
        <v>45729</v>
      </c>
      <c r="B145" s="1" t="s">
        <v>100</v>
      </c>
      <c r="C145" s="1" t="s">
        <v>104</v>
      </c>
      <c r="D145" s="1" t="s">
        <v>97</v>
      </c>
      <c r="E145" s="1" t="s">
        <v>144</v>
      </c>
      <c r="F145" s="1" t="s">
        <v>149</v>
      </c>
      <c r="G145" s="1">
        <v>84</v>
      </c>
      <c r="H145" s="1">
        <v>22</v>
      </c>
      <c r="I145" s="1"/>
      <c r="J145" s="1" t="s">
        <v>102</v>
      </c>
    </row>
    <row r="146" spans="1:10" x14ac:dyDescent="0.3">
      <c r="A146" s="5">
        <v>45835</v>
      </c>
      <c r="B146" s="1" t="s">
        <v>95</v>
      </c>
      <c r="C146" s="1" t="s">
        <v>96</v>
      </c>
      <c r="D146" s="1" t="s">
        <v>99</v>
      </c>
      <c r="E146" s="1" t="s">
        <v>146</v>
      </c>
      <c r="F146" s="1" t="s">
        <v>149</v>
      </c>
      <c r="G146" s="1">
        <v>200</v>
      </c>
      <c r="H146" s="1">
        <v>36</v>
      </c>
      <c r="I146" s="1">
        <v>7.6</v>
      </c>
      <c r="J146" s="1"/>
    </row>
    <row r="147" spans="1:10" x14ac:dyDescent="0.3">
      <c r="A147" s="5">
        <v>45835</v>
      </c>
      <c r="B147" s="1" t="s">
        <v>95</v>
      </c>
      <c r="C147" s="1" t="s">
        <v>96</v>
      </c>
      <c r="D147" s="1" t="s">
        <v>97</v>
      </c>
      <c r="E147" s="1" t="s">
        <v>146</v>
      </c>
      <c r="F147" s="1" t="s">
        <v>149</v>
      </c>
      <c r="G147" s="1">
        <v>240</v>
      </c>
      <c r="H147" s="1">
        <v>44</v>
      </c>
      <c r="I147" s="1">
        <v>9.6</v>
      </c>
      <c r="J147" s="1"/>
    </row>
    <row r="148" spans="1:10" x14ac:dyDescent="0.3">
      <c r="A148" s="5">
        <v>45835</v>
      </c>
      <c r="B148" s="1" t="s">
        <v>95</v>
      </c>
      <c r="C148" s="1" t="s">
        <v>96</v>
      </c>
      <c r="D148" s="1" t="s">
        <v>101</v>
      </c>
      <c r="E148" s="1" t="s">
        <v>146</v>
      </c>
      <c r="F148" s="1" t="s">
        <v>149</v>
      </c>
      <c r="G148" s="1">
        <v>240</v>
      </c>
      <c r="H148" s="1">
        <v>44</v>
      </c>
      <c r="I148" s="1">
        <v>11</v>
      </c>
      <c r="J148" s="1"/>
    </row>
    <row r="149" spans="1:10" x14ac:dyDescent="0.3">
      <c r="A149" s="5">
        <v>45835</v>
      </c>
      <c r="B149" s="1" t="s">
        <v>95</v>
      </c>
      <c r="C149" s="1" t="s">
        <v>96</v>
      </c>
      <c r="D149" s="1" t="s">
        <v>109</v>
      </c>
      <c r="E149" s="1" t="s">
        <v>146</v>
      </c>
      <c r="F149" s="1" t="s">
        <v>149</v>
      </c>
      <c r="G149" s="1">
        <v>255</v>
      </c>
      <c r="H149" s="1">
        <v>44</v>
      </c>
      <c r="I149" s="1">
        <v>8</v>
      </c>
      <c r="J149" s="1"/>
    </row>
    <row r="150" spans="1:10" x14ac:dyDescent="0.3">
      <c r="A150" s="5">
        <v>45835</v>
      </c>
      <c r="B150" s="1" t="s">
        <v>95</v>
      </c>
      <c r="C150" s="1" t="s">
        <v>96</v>
      </c>
      <c r="D150" s="1" t="s">
        <v>109</v>
      </c>
      <c r="E150" s="1" t="s">
        <v>144</v>
      </c>
      <c r="F150" s="1" t="s">
        <v>149</v>
      </c>
      <c r="G150" s="1">
        <v>210</v>
      </c>
      <c r="H150" s="1">
        <v>39</v>
      </c>
      <c r="I150" s="1">
        <v>6.8</v>
      </c>
      <c r="J150" s="1"/>
    </row>
    <row r="151" spans="1:10" x14ac:dyDescent="0.3">
      <c r="A151" s="5">
        <v>45835</v>
      </c>
      <c r="B151" s="1" t="s">
        <v>95</v>
      </c>
      <c r="C151" s="1" t="s">
        <v>96</v>
      </c>
      <c r="D151" s="1" t="s">
        <v>101</v>
      </c>
      <c r="E151" s="1" t="s">
        <v>144</v>
      </c>
      <c r="F151" s="1" t="s">
        <v>149</v>
      </c>
      <c r="G151" s="1">
        <v>190</v>
      </c>
      <c r="H151" s="1">
        <v>36</v>
      </c>
      <c r="I151" s="1">
        <v>7.2</v>
      </c>
      <c r="J151" s="1"/>
    </row>
    <row r="152" spans="1:10" x14ac:dyDescent="0.3">
      <c r="A152" s="5">
        <v>45835</v>
      </c>
      <c r="B152" s="1" t="s">
        <v>100</v>
      </c>
      <c r="C152" s="1" t="s">
        <v>96</v>
      </c>
      <c r="D152" s="1" t="s">
        <v>101</v>
      </c>
      <c r="E152" s="1" t="s">
        <v>147</v>
      </c>
      <c r="F152" s="1" t="s">
        <v>149</v>
      </c>
      <c r="G152" s="1">
        <v>223</v>
      </c>
      <c r="H152" s="1">
        <v>40</v>
      </c>
      <c r="I152" s="1">
        <v>0.3347222222222222</v>
      </c>
      <c r="J152" s="1"/>
    </row>
    <row r="153" spans="1:10" x14ac:dyDescent="0.3">
      <c r="A153" s="5">
        <v>45835</v>
      </c>
      <c r="B153" s="1" t="s">
        <v>100</v>
      </c>
      <c r="C153" s="1"/>
      <c r="D153" s="1" t="s">
        <v>109</v>
      </c>
      <c r="E153" s="1" t="s">
        <v>147</v>
      </c>
      <c r="F153" s="1" t="s">
        <v>149</v>
      </c>
      <c r="G153" s="1">
        <v>233</v>
      </c>
      <c r="H153" s="1">
        <v>45</v>
      </c>
      <c r="I153" s="1">
        <v>8</v>
      </c>
      <c r="J153" s="1"/>
    </row>
    <row r="154" spans="1:10" x14ac:dyDescent="0.3">
      <c r="A154" s="5">
        <v>45835</v>
      </c>
      <c r="B154" s="1" t="s">
        <v>100</v>
      </c>
      <c r="C154" s="1" t="s">
        <v>96</v>
      </c>
      <c r="D154" s="1" t="s">
        <v>99</v>
      </c>
      <c r="E154" s="1" t="s">
        <v>144</v>
      </c>
      <c r="F154" s="1" t="s">
        <v>149</v>
      </c>
      <c r="G154" s="1">
        <v>242</v>
      </c>
      <c r="H154" s="1">
        <v>42</v>
      </c>
      <c r="I154" s="1">
        <v>8</v>
      </c>
      <c r="J154" s="1"/>
    </row>
    <row r="155" spans="1:10" x14ac:dyDescent="0.3">
      <c r="A155" s="5">
        <v>45835</v>
      </c>
      <c r="B155" s="1" t="s">
        <v>100</v>
      </c>
      <c r="C155" s="1" t="s">
        <v>96</v>
      </c>
      <c r="D155" s="1" t="s">
        <v>97</v>
      </c>
      <c r="E155" s="1" t="s">
        <v>144</v>
      </c>
      <c r="F155" s="1" t="s">
        <v>149</v>
      </c>
      <c r="G155" s="1">
        <v>220</v>
      </c>
      <c r="H155" s="1">
        <v>39</v>
      </c>
      <c r="I155" s="1">
        <v>0.29305555555555562</v>
      </c>
      <c r="J155" s="1"/>
    </row>
    <row r="156" spans="1:10" x14ac:dyDescent="0.3">
      <c r="A156" s="5">
        <v>45835</v>
      </c>
      <c r="B156" s="1" t="s">
        <v>100</v>
      </c>
      <c r="C156" s="1" t="s">
        <v>96</v>
      </c>
      <c r="D156" s="1" t="s">
        <v>99</v>
      </c>
      <c r="E156" s="1" t="s">
        <v>147</v>
      </c>
      <c r="F156" s="1" t="s">
        <v>149</v>
      </c>
      <c r="G156" s="1">
        <v>250</v>
      </c>
      <c r="H156" s="1">
        <v>43</v>
      </c>
      <c r="I156" s="1">
        <v>0.33888888888888891</v>
      </c>
      <c r="J156" s="1" t="s">
        <v>113</v>
      </c>
    </row>
    <row r="157" spans="1:10" x14ac:dyDescent="0.3">
      <c r="A157" s="5">
        <v>45835</v>
      </c>
      <c r="B157" s="1" t="s">
        <v>100</v>
      </c>
      <c r="C157" s="1" t="s">
        <v>96</v>
      </c>
      <c r="D157" s="1" t="s">
        <v>97</v>
      </c>
      <c r="E157" s="1" t="s">
        <v>147</v>
      </c>
      <c r="F157" s="1" t="s">
        <v>149</v>
      </c>
      <c r="G157" s="1">
        <v>210</v>
      </c>
      <c r="H157" s="1">
        <v>37</v>
      </c>
      <c r="I157" s="1">
        <v>0.33888888888888891</v>
      </c>
      <c r="J157" s="1" t="s">
        <v>113</v>
      </c>
    </row>
    <row r="158" spans="1:10" x14ac:dyDescent="0.3">
      <c r="A158" s="5">
        <v>45834</v>
      </c>
      <c r="B158" s="1" t="s">
        <v>114</v>
      </c>
      <c r="C158" s="1" t="s">
        <v>104</v>
      </c>
      <c r="D158" s="1" t="s">
        <v>101</v>
      </c>
      <c r="E158" s="1" t="s">
        <v>146</v>
      </c>
      <c r="F158" s="1" t="s">
        <v>149</v>
      </c>
      <c r="G158" s="1">
        <v>222</v>
      </c>
      <c r="H158" s="1">
        <v>37</v>
      </c>
      <c r="I158" s="1">
        <v>8</v>
      </c>
      <c r="J158" s="1"/>
    </row>
    <row r="159" spans="1:10" x14ac:dyDescent="0.3">
      <c r="A159" s="5">
        <v>45834</v>
      </c>
      <c r="B159" s="1" t="s">
        <v>114</v>
      </c>
      <c r="C159" s="1" t="s">
        <v>104</v>
      </c>
      <c r="D159" s="1" t="s">
        <v>97</v>
      </c>
      <c r="E159" s="1" t="s">
        <v>146</v>
      </c>
      <c r="F159" s="1" t="s">
        <v>149</v>
      </c>
      <c r="G159" s="1">
        <v>245</v>
      </c>
      <c r="H159" s="1">
        <v>41</v>
      </c>
      <c r="I159" s="1">
        <v>9</v>
      </c>
      <c r="J159" s="1"/>
    </row>
    <row r="160" spans="1:10" x14ac:dyDescent="0.3">
      <c r="A160" s="5">
        <v>45834</v>
      </c>
      <c r="B160" s="1" t="s">
        <v>95</v>
      </c>
      <c r="C160" s="1" t="s">
        <v>104</v>
      </c>
      <c r="D160" s="1" t="s">
        <v>99</v>
      </c>
      <c r="E160" s="1" t="s">
        <v>147</v>
      </c>
      <c r="F160" s="1" t="s">
        <v>149</v>
      </c>
      <c r="G160" s="1">
        <v>230</v>
      </c>
      <c r="H160" s="1">
        <v>42</v>
      </c>
      <c r="I160" s="1">
        <v>8</v>
      </c>
      <c r="J160" s="1"/>
    </row>
    <row r="161" spans="1:10" x14ac:dyDescent="0.3">
      <c r="A161" s="5">
        <v>45834</v>
      </c>
      <c r="B161" s="1" t="s">
        <v>95</v>
      </c>
      <c r="C161" s="1" t="s">
        <v>104</v>
      </c>
      <c r="D161" s="1" t="s">
        <v>97</v>
      </c>
      <c r="E161" s="1" t="s">
        <v>144</v>
      </c>
      <c r="F161" s="1" t="s">
        <v>149</v>
      </c>
      <c r="G161" s="1">
        <v>210</v>
      </c>
      <c r="H161" s="1">
        <v>34</v>
      </c>
      <c r="I161" s="1">
        <v>8</v>
      </c>
      <c r="J161" s="1"/>
    </row>
    <row r="162" spans="1:10" x14ac:dyDescent="0.3">
      <c r="A162" s="5">
        <v>45834</v>
      </c>
      <c r="B162" s="1" t="s">
        <v>95</v>
      </c>
      <c r="C162" s="1" t="s">
        <v>104</v>
      </c>
      <c r="D162" s="1" t="s">
        <v>109</v>
      </c>
      <c r="E162" s="1" t="s">
        <v>146</v>
      </c>
      <c r="F162" s="1" t="s">
        <v>149</v>
      </c>
      <c r="G162" s="1">
        <v>165</v>
      </c>
      <c r="H162" s="1">
        <v>37</v>
      </c>
      <c r="I162" s="1">
        <v>7</v>
      </c>
      <c r="J162" s="1"/>
    </row>
    <row r="163" spans="1:10" x14ac:dyDescent="0.3">
      <c r="A163" s="5">
        <v>45834</v>
      </c>
      <c r="B163" s="1" t="s">
        <v>95</v>
      </c>
      <c r="C163" s="1" t="s">
        <v>104</v>
      </c>
      <c r="D163" s="1" t="s">
        <v>99</v>
      </c>
      <c r="E163" s="1" t="s">
        <v>146</v>
      </c>
      <c r="F163" s="1" t="s">
        <v>149</v>
      </c>
      <c r="G163" s="1">
        <v>250</v>
      </c>
      <c r="H163" s="1">
        <v>44</v>
      </c>
      <c r="I163" s="1">
        <v>8</v>
      </c>
      <c r="J163" s="1"/>
    </row>
    <row r="164" spans="1:10" x14ac:dyDescent="0.3">
      <c r="A164" s="5">
        <v>45834</v>
      </c>
      <c r="B164" s="1" t="s">
        <v>95</v>
      </c>
      <c r="C164" s="1" t="s">
        <v>104</v>
      </c>
      <c r="D164" s="1" t="s">
        <v>101</v>
      </c>
      <c r="E164" s="1" t="s">
        <v>147</v>
      </c>
      <c r="F164" s="1" t="s">
        <v>149</v>
      </c>
      <c r="G164" s="1">
        <v>260</v>
      </c>
      <c r="H164" s="1">
        <v>45</v>
      </c>
      <c r="I164" s="1">
        <v>7</v>
      </c>
      <c r="J164" s="1"/>
    </row>
    <row r="165" spans="1:10" x14ac:dyDescent="0.3">
      <c r="A165" s="5">
        <v>45834</v>
      </c>
      <c r="B165" s="1" t="s">
        <v>100</v>
      </c>
      <c r="C165" s="1" t="s">
        <v>104</v>
      </c>
      <c r="D165" s="1" t="s">
        <v>109</v>
      </c>
      <c r="E165" s="1" t="s">
        <v>144</v>
      </c>
      <c r="F165" s="1" t="s">
        <v>149</v>
      </c>
      <c r="G165" s="1">
        <v>208</v>
      </c>
      <c r="H165" s="1">
        <v>39</v>
      </c>
      <c r="I165" s="1">
        <v>8</v>
      </c>
      <c r="J165" s="1" t="s">
        <v>113</v>
      </c>
    </row>
    <row r="166" spans="1:10" x14ac:dyDescent="0.3">
      <c r="A166" s="5">
        <v>45834</v>
      </c>
      <c r="B166" s="1" t="s">
        <v>100</v>
      </c>
      <c r="C166" s="1" t="s">
        <v>104</v>
      </c>
      <c r="D166" s="1" t="s">
        <v>99</v>
      </c>
      <c r="E166" s="1" t="s">
        <v>144</v>
      </c>
      <c r="F166" s="1" t="s">
        <v>149</v>
      </c>
      <c r="G166" s="1">
        <v>233</v>
      </c>
      <c r="H166" s="1">
        <v>40</v>
      </c>
      <c r="I166" s="1">
        <v>0.29722222222222222</v>
      </c>
      <c r="J166" s="1" t="s">
        <v>113</v>
      </c>
    </row>
    <row r="167" spans="1:10" x14ac:dyDescent="0.3">
      <c r="A167" s="5">
        <v>45834</v>
      </c>
      <c r="B167" s="1" t="s">
        <v>100</v>
      </c>
      <c r="C167" s="1" t="s">
        <v>104</v>
      </c>
      <c r="D167" s="1" t="s">
        <v>101</v>
      </c>
      <c r="E167" s="1" t="s">
        <v>144</v>
      </c>
      <c r="F167" s="1" t="s">
        <v>149</v>
      </c>
      <c r="G167" s="1">
        <v>230</v>
      </c>
      <c r="H167" s="1">
        <v>44</v>
      </c>
      <c r="I167" s="1">
        <v>9</v>
      </c>
      <c r="J167" s="1" t="s">
        <v>113</v>
      </c>
    </row>
    <row r="168" spans="1:10" x14ac:dyDescent="0.3">
      <c r="A168" s="5">
        <v>45834</v>
      </c>
      <c r="B168" s="1" t="s">
        <v>100</v>
      </c>
      <c r="C168" s="1" t="s">
        <v>104</v>
      </c>
      <c r="D168" s="1" t="s">
        <v>97</v>
      </c>
      <c r="E168" s="1" t="s">
        <v>147</v>
      </c>
      <c r="F168" s="1" t="s">
        <v>149</v>
      </c>
      <c r="G168" s="1">
        <v>225</v>
      </c>
      <c r="H168" s="1">
        <v>44</v>
      </c>
      <c r="I168" s="1">
        <v>0.33888888888888891</v>
      </c>
      <c r="J168" s="1" t="s">
        <v>113</v>
      </c>
    </row>
    <row r="169" spans="1:10" x14ac:dyDescent="0.3">
      <c r="A169" s="5">
        <v>45834</v>
      </c>
      <c r="B169" s="1" t="s">
        <v>100</v>
      </c>
      <c r="C169" s="1" t="s">
        <v>104</v>
      </c>
      <c r="D169" s="1" t="s">
        <v>109</v>
      </c>
      <c r="E169" s="1" t="s">
        <v>147</v>
      </c>
      <c r="F169" s="1" t="s">
        <v>149</v>
      </c>
      <c r="G169" s="1">
        <v>240</v>
      </c>
      <c r="H169" s="1">
        <v>46</v>
      </c>
      <c r="I169" s="1">
        <v>8</v>
      </c>
      <c r="J169" s="1" t="s">
        <v>113</v>
      </c>
    </row>
    <row r="170" spans="1:10" x14ac:dyDescent="0.3">
      <c r="A170" s="5">
        <v>45930</v>
      </c>
      <c r="B170" s="1" t="s">
        <v>100</v>
      </c>
      <c r="C170" s="1" t="s">
        <v>96</v>
      </c>
      <c r="D170" s="1" t="s">
        <v>109</v>
      </c>
      <c r="E170" s="1" t="s">
        <v>144</v>
      </c>
      <c r="F170" s="1" t="s">
        <v>149</v>
      </c>
      <c r="G170" s="1">
        <v>280</v>
      </c>
      <c r="H170" s="1">
        <v>53</v>
      </c>
      <c r="I170" s="1">
        <v>11</v>
      </c>
      <c r="J170" s="1"/>
    </row>
    <row r="171" spans="1:10" x14ac:dyDescent="0.3">
      <c r="A171" s="5">
        <v>45930</v>
      </c>
      <c r="B171" s="1" t="s">
        <v>100</v>
      </c>
      <c r="C171" s="1" t="s">
        <v>96</v>
      </c>
      <c r="D171" s="1" t="s">
        <v>97</v>
      </c>
      <c r="E171" s="1" t="s">
        <v>147</v>
      </c>
      <c r="F171" s="1" t="s">
        <v>149</v>
      </c>
      <c r="G171" s="1">
        <v>280</v>
      </c>
      <c r="H171" s="1">
        <v>54</v>
      </c>
      <c r="I171" s="1">
        <v>11</v>
      </c>
      <c r="J171" s="1"/>
    </row>
    <row r="172" spans="1:10" x14ac:dyDescent="0.3">
      <c r="A172" s="5">
        <v>45925</v>
      </c>
      <c r="B172" s="1" t="s">
        <v>100</v>
      </c>
      <c r="C172" s="1" t="s">
        <v>104</v>
      </c>
      <c r="D172" s="1" t="s">
        <v>101</v>
      </c>
      <c r="E172" s="1" t="s">
        <v>147</v>
      </c>
      <c r="F172" s="1" t="s">
        <v>149</v>
      </c>
      <c r="G172" s="1">
        <v>341</v>
      </c>
      <c r="H172" s="1">
        <v>64</v>
      </c>
      <c r="I172" s="1">
        <v>14</v>
      </c>
      <c r="J172" s="1"/>
    </row>
    <row r="173" spans="1:10" x14ac:dyDescent="0.3">
      <c r="A173" s="5">
        <v>45925</v>
      </c>
      <c r="B173" s="1" t="s">
        <v>100</v>
      </c>
      <c r="C173" s="1" t="s">
        <v>104</v>
      </c>
      <c r="D173" s="1" t="s">
        <v>97</v>
      </c>
      <c r="E173" s="1" t="s">
        <v>146</v>
      </c>
      <c r="F173" s="1" t="s">
        <v>149</v>
      </c>
      <c r="G173" s="1">
        <v>324</v>
      </c>
      <c r="H173" s="1">
        <v>67</v>
      </c>
      <c r="I173" s="1">
        <v>14</v>
      </c>
      <c r="J173" s="1"/>
    </row>
    <row r="174" spans="1:10" x14ac:dyDescent="0.3">
      <c r="A174" s="5">
        <v>45925</v>
      </c>
      <c r="B174" s="1" t="s">
        <v>100</v>
      </c>
      <c r="C174" s="1" t="s">
        <v>104</v>
      </c>
      <c r="D174" s="1" t="s">
        <v>101</v>
      </c>
      <c r="E174" s="1" t="s">
        <v>146</v>
      </c>
      <c r="F174" s="1" t="s">
        <v>149</v>
      </c>
      <c r="G174" s="1">
        <v>305</v>
      </c>
      <c r="H174" s="1">
        <v>58</v>
      </c>
      <c r="I174" s="1">
        <v>13</v>
      </c>
      <c r="J174" s="1"/>
    </row>
    <row r="175" spans="1:10" x14ac:dyDescent="0.3">
      <c r="A175" s="5">
        <v>45925</v>
      </c>
      <c r="B175" s="1" t="s">
        <v>95</v>
      </c>
      <c r="C175" s="1" t="s">
        <v>104</v>
      </c>
      <c r="D175" s="1" t="s">
        <v>99</v>
      </c>
      <c r="E175" s="1" t="s">
        <v>146</v>
      </c>
      <c r="F175" s="1" t="s">
        <v>149</v>
      </c>
      <c r="G175" s="1">
        <v>325</v>
      </c>
      <c r="H175" s="1">
        <v>61</v>
      </c>
      <c r="I175" s="1">
        <v>13</v>
      </c>
      <c r="J175" s="1"/>
    </row>
    <row r="176" spans="1:10" x14ac:dyDescent="0.3">
      <c r="A176" s="5">
        <v>45925</v>
      </c>
      <c r="B176" s="1" t="s">
        <v>95</v>
      </c>
      <c r="C176" s="1" t="s">
        <v>104</v>
      </c>
      <c r="D176" s="1" t="s">
        <v>109</v>
      </c>
      <c r="E176" s="1" t="s">
        <v>147</v>
      </c>
      <c r="F176" s="1" t="s">
        <v>149</v>
      </c>
      <c r="G176" s="1">
        <v>344</v>
      </c>
      <c r="H176" s="1">
        <v>68</v>
      </c>
      <c r="I176" s="1">
        <v>14</v>
      </c>
      <c r="J176" s="1"/>
    </row>
    <row r="177" spans="1:10" x14ac:dyDescent="0.3">
      <c r="A177" s="5">
        <v>45925</v>
      </c>
      <c r="B177" s="1" t="s">
        <v>95</v>
      </c>
      <c r="C177" s="1" t="s">
        <v>104</v>
      </c>
      <c r="D177" s="1" t="s">
        <v>97</v>
      </c>
      <c r="E177" s="1" t="s">
        <v>144</v>
      </c>
      <c r="F177" s="1" t="s">
        <v>149</v>
      </c>
      <c r="G177" s="1">
        <v>288</v>
      </c>
      <c r="H177" s="1">
        <v>52</v>
      </c>
      <c r="I177" s="1">
        <v>10</v>
      </c>
      <c r="J177" s="1"/>
    </row>
    <row r="178" spans="1:10" x14ac:dyDescent="0.3">
      <c r="A178" s="5">
        <v>45923</v>
      </c>
      <c r="B178" s="1" t="s">
        <v>100</v>
      </c>
      <c r="C178" s="1" t="s">
        <v>104</v>
      </c>
      <c r="D178" s="1" t="s">
        <v>101</v>
      </c>
      <c r="E178" s="1" t="s">
        <v>144</v>
      </c>
      <c r="F178" s="1" t="s">
        <v>149</v>
      </c>
      <c r="G178" s="1">
        <v>292</v>
      </c>
      <c r="H178" s="1">
        <v>55</v>
      </c>
      <c r="I178" s="1">
        <v>13</v>
      </c>
      <c r="J178" s="1"/>
    </row>
    <row r="179" spans="1:10" x14ac:dyDescent="0.3">
      <c r="A179" s="5">
        <v>45923</v>
      </c>
      <c r="B179" s="1" t="s">
        <v>100</v>
      </c>
      <c r="C179" s="1" t="s">
        <v>104</v>
      </c>
      <c r="D179" s="1" t="s">
        <v>109</v>
      </c>
      <c r="E179" s="1" t="s">
        <v>144</v>
      </c>
      <c r="F179" s="1" t="s">
        <v>149</v>
      </c>
      <c r="G179" s="1">
        <v>320</v>
      </c>
      <c r="H179" s="1">
        <v>56</v>
      </c>
      <c r="I179" s="1">
        <v>12</v>
      </c>
      <c r="J179" s="1"/>
    </row>
    <row r="180" spans="1:10" x14ac:dyDescent="0.3">
      <c r="A180" s="5">
        <v>45923</v>
      </c>
      <c r="B180" s="1" t="s">
        <v>100</v>
      </c>
      <c r="C180" s="1" t="s">
        <v>104</v>
      </c>
      <c r="D180" s="1" t="s">
        <v>109</v>
      </c>
      <c r="E180" s="1" t="s">
        <v>146</v>
      </c>
      <c r="F180" s="1" t="s">
        <v>149</v>
      </c>
      <c r="G180" s="1">
        <v>286</v>
      </c>
      <c r="H180" s="1">
        <v>57</v>
      </c>
      <c r="I180" s="1">
        <v>12</v>
      </c>
      <c r="J180" s="1" t="s">
        <v>113</v>
      </c>
    </row>
    <row r="181" spans="1:10" x14ac:dyDescent="0.3">
      <c r="A181" s="5">
        <v>45923</v>
      </c>
      <c r="B181" s="1" t="s">
        <v>95</v>
      </c>
      <c r="C181" s="1" t="s">
        <v>104</v>
      </c>
      <c r="D181" s="1" t="s">
        <v>97</v>
      </c>
      <c r="E181" s="1" t="s">
        <v>147</v>
      </c>
      <c r="F181" s="1" t="s">
        <v>149</v>
      </c>
      <c r="G181" s="1">
        <v>290</v>
      </c>
      <c r="H181" s="1">
        <v>54</v>
      </c>
      <c r="I181" s="1">
        <v>12</v>
      </c>
      <c r="J181" s="1"/>
    </row>
    <row r="182" spans="1:10" x14ac:dyDescent="0.3">
      <c r="A182" s="5">
        <v>45923</v>
      </c>
      <c r="B182" s="1" t="s">
        <v>95</v>
      </c>
      <c r="C182" s="1" t="s">
        <v>104</v>
      </c>
      <c r="D182" s="1" t="s">
        <v>99</v>
      </c>
      <c r="E182" s="1" t="s">
        <v>147</v>
      </c>
      <c r="F182" s="1" t="s">
        <v>149</v>
      </c>
      <c r="G182" s="1">
        <v>307</v>
      </c>
      <c r="H182" s="1">
        <v>57</v>
      </c>
      <c r="I182" s="1">
        <v>13</v>
      </c>
      <c r="J182" s="1"/>
    </row>
    <row r="183" spans="1:10" x14ac:dyDescent="0.3">
      <c r="A183" s="5">
        <v>45923</v>
      </c>
      <c r="B183" s="1" t="s">
        <v>95</v>
      </c>
      <c r="C183" s="1" t="s">
        <v>104</v>
      </c>
      <c r="D183" s="1" t="s">
        <v>99</v>
      </c>
      <c r="E183" s="1" t="s">
        <v>144</v>
      </c>
      <c r="F183" s="1" t="s">
        <v>149</v>
      </c>
      <c r="G183" s="1">
        <v>293</v>
      </c>
      <c r="H183" s="1">
        <v>51</v>
      </c>
      <c r="I183" s="1">
        <v>12</v>
      </c>
      <c r="J183" s="1"/>
    </row>
    <row r="184" spans="1:10" x14ac:dyDescent="0.3">
      <c r="A184" s="5">
        <v>45933</v>
      </c>
      <c r="B184" s="1" t="s">
        <v>100</v>
      </c>
      <c r="C184" s="1" t="s">
        <v>96</v>
      </c>
      <c r="D184" s="1" t="s">
        <v>109</v>
      </c>
      <c r="E184" s="1" t="s">
        <v>147</v>
      </c>
      <c r="F184" s="1" t="s">
        <v>149</v>
      </c>
      <c r="G184" s="1">
        <v>310</v>
      </c>
      <c r="H184" s="1">
        <v>61</v>
      </c>
      <c r="I184" s="1">
        <v>12</v>
      </c>
      <c r="J184" s="1"/>
    </row>
    <row r="185" spans="1:10" x14ac:dyDescent="0.3">
      <c r="A185" s="5">
        <v>45933</v>
      </c>
      <c r="B185" s="1" t="s">
        <v>100</v>
      </c>
      <c r="C185" s="1" t="s">
        <v>96</v>
      </c>
      <c r="D185" s="1" t="s">
        <v>97</v>
      </c>
      <c r="E185" s="1" t="s">
        <v>146</v>
      </c>
      <c r="F185" s="1" t="s">
        <v>149</v>
      </c>
      <c r="G185" s="1">
        <v>319</v>
      </c>
      <c r="H185" s="1">
        <v>63</v>
      </c>
      <c r="I185" s="1">
        <v>12</v>
      </c>
      <c r="J185" s="1"/>
    </row>
    <row r="186" spans="1:10" x14ac:dyDescent="0.3">
      <c r="A186" s="5">
        <v>45932</v>
      </c>
      <c r="B186" s="1" t="s">
        <v>100</v>
      </c>
      <c r="C186" s="1" t="s">
        <v>96</v>
      </c>
      <c r="D186" s="1" t="s">
        <v>101</v>
      </c>
      <c r="E186" s="1" t="s">
        <v>147</v>
      </c>
      <c r="F186" s="1" t="s">
        <v>149</v>
      </c>
      <c r="G186" s="1">
        <v>320</v>
      </c>
      <c r="H186" s="1">
        <v>57</v>
      </c>
      <c r="I186" s="1">
        <v>10</v>
      </c>
      <c r="J186" s="1"/>
    </row>
    <row r="187" spans="1:10" x14ac:dyDescent="0.3">
      <c r="A187" s="5">
        <v>45932</v>
      </c>
      <c r="B187" s="1" t="s">
        <v>100</v>
      </c>
      <c r="C187" s="1" t="s">
        <v>96</v>
      </c>
      <c r="D187" s="1" t="s">
        <v>99</v>
      </c>
      <c r="E187" s="1" t="s">
        <v>146</v>
      </c>
      <c r="F187" s="1" t="s">
        <v>149</v>
      </c>
      <c r="G187" s="1">
        <v>275</v>
      </c>
      <c r="H187" s="1">
        <v>55</v>
      </c>
      <c r="I187" s="1">
        <v>11</v>
      </c>
      <c r="J187" s="1"/>
    </row>
    <row r="188" spans="1:10" x14ac:dyDescent="0.3">
      <c r="A188" s="5">
        <v>45931</v>
      </c>
      <c r="B188" s="1" t="s">
        <v>95</v>
      </c>
      <c r="C188" s="1" t="s">
        <v>96</v>
      </c>
      <c r="D188" s="1" t="s">
        <v>97</v>
      </c>
      <c r="E188" s="1" t="s">
        <v>144</v>
      </c>
      <c r="F188" s="1" t="s">
        <v>149</v>
      </c>
      <c r="G188" s="1">
        <v>302</v>
      </c>
      <c r="H188" s="1">
        <v>58</v>
      </c>
      <c r="I188" s="1">
        <v>11</v>
      </c>
      <c r="J188" s="1"/>
    </row>
    <row r="189" spans="1:10" x14ac:dyDescent="0.3">
      <c r="A189" s="5">
        <v>45931</v>
      </c>
      <c r="B189" s="1" t="s">
        <v>95</v>
      </c>
      <c r="C189" s="1" t="s">
        <v>96</v>
      </c>
      <c r="D189" s="1" t="s">
        <v>99</v>
      </c>
      <c r="E189" s="1" t="s">
        <v>144</v>
      </c>
      <c r="F189" s="1" t="s">
        <v>149</v>
      </c>
      <c r="G189" s="1">
        <v>330</v>
      </c>
      <c r="H189" s="1">
        <v>59</v>
      </c>
      <c r="I189" s="1">
        <v>9</v>
      </c>
      <c r="J189" s="1"/>
    </row>
    <row r="190" spans="1:10" x14ac:dyDescent="0.3">
      <c r="A190" s="5">
        <v>45931</v>
      </c>
      <c r="B190" s="1" t="s">
        <v>95</v>
      </c>
      <c r="C190" s="1" t="s">
        <v>96</v>
      </c>
      <c r="D190" s="1" t="s">
        <v>99</v>
      </c>
      <c r="E190" s="1" t="s">
        <v>147</v>
      </c>
      <c r="F190" s="1" t="s">
        <v>149</v>
      </c>
      <c r="G190" s="1">
        <v>355</v>
      </c>
      <c r="H190" s="1">
        <v>69</v>
      </c>
      <c r="I190" s="1">
        <v>12</v>
      </c>
      <c r="J190" s="1"/>
    </row>
    <row r="191" spans="1:10" x14ac:dyDescent="0.3">
      <c r="A191" s="5">
        <v>45931</v>
      </c>
      <c r="B191" s="1" t="s">
        <v>100</v>
      </c>
      <c r="C191" s="1" t="s">
        <v>96</v>
      </c>
      <c r="D191" s="1" t="s">
        <v>101</v>
      </c>
      <c r="E191" s="1" t="s">
        <v>146</v>
      </c>
      <c r="F191" s="1" t="s">
        <v>149</v>
      </c>
      <c r="G191" s="1">
        <v>320</v>
      </c>
      <c r="H191" s="1">
        <v>65</v>
      </c>
      <c r="I191" s="1">
        <v>14</v>
      </c>
      <c r="J191" s="1"/>
    </row>
    <row r="192" spans="1:10" x14ac:dyDescent="0.3">
      <c r="A192" s="5">
        <v>45931</v>
      </c>
      <c r="B192" s="1" t="s">
        <v>100</v>
      </c>
      <c r="C192" s="1" t="s">
        <v>96</v>
      </c>
      <c r="D192" s="1" t="s">
        <v>109</v>
      </c>
      <c r="E192" s="1" t="s">
        <v>146</v>
      </c>
      <c r="F192" s="1" t="s">
        <v>149</v>
      </c>
      <c r="G192" s="1">
        <v>330</v>
      </c>
      <c r="H192" s="1">
        <v>65</v>
      </c>
      <c r="I192" s="1">
        <v>12</v>
      </c>
      <c r="J192" s="1"/>
    </row>
    <row r="193" spans="1:10" x14ac:dyDescent="0.3">
      <c r="A193" s="5">
        <v>45931</v>
      </c>
      <c r="B193" s="1" t="s">
        <v>100</v>
      </c>
      <c r="C193" s="1" t="s">
        <v>96</v>
      </c>
      <c r="D193" s="1" t="s">
        <v>101</v>
      </c>
      <c r="E193" s="1" t="s">
        <v>144</v>
      </c>
      <c r="F193" s="1" t="s">
        <v>149</v>
      </c>
      <c r="G193" s="1">
        <v>270</v>
      </c>
      <c r="H193" s="1">
        <v>49</v>
      </c>
      <c r="I193" s="1">
        <v>11</v>
      </c>
      <c r="J193" s="1"/>
    </row>
    <row r="194" spans="1:10" x14ac:dyDescent="0.3">
      <c r="A194" s="5">
        <v>45737</v>
      </c>
      <c r="B194" s="1" t="s">
        <v>95</v>
      </c>
      <c r="C194" s="1" t="s">
        <v>96</v>
      </c>
      <c r="D194" s="1" t="s">
        <v>97</v>
      </c>
      <c r="E194" s="1" t="s">
        <v>144</v>
      </c>
      <c r="F194" s="1" t="s">
        <v>150</v>
      </c>
      <c r="G194" s="1">
        <v>96</v>
      </c>
      <c r="H194" s="1">
        <v>22</v>
      </c>
      <c r="I194" s="1"/>
      <c r="J194" s="1" t="s">
        <v>98</v>
      </c>
    </row>
    <row r="195" spans="1:10" x14ac:dyDescent="0.3">
      <c r="A195" s="5">
        <v>45737</v>
      </c>
      <c r="B195" s="1" t="s">
        <v>95</v>
      </c>
      <c r="C195" s="1" t="s">
        <v>96</v>
      </c>
      <c r="D195" s="1" t="s">
        <v>97</v>
      </c>
      <c r="E195" s="1" t="s">
        <v>146</v>
      </c>
      <c r="F195" s="1" t="s">
        <v>150</v>
      </c>
      <c r="G195" s="1">
        <v>82</v>
      </c>
      <c r="H195" s="1">
        <v>22</v>
      </c>
      <c r="I195" s="1"/>
      <c r="J195" s="1" t="s">
        <v>98</v>
      </c>
    </row>
    <row r="196" spans="1:10" x14ac:dyDescent="0.3">
      <c r="A196" s="5">
        <v>45737</v>
      </c>
      <c r="B196" s="1" t="s">
        <v>95</v>
      </c>
      <c r="C196" s="1" t="s">
        <v>96</v>
      </c>
      <c r="D196" s="1" t="s">
        <v>99</v>
      </c>
      <c r="E196" s="1" t="s">
        <v>144</v>
      </c>
      <c r="F196" s="1" t="s">
        <v>150</v>
      </c>
      <c r="G196" s="1">
        <v>93</v>
      </c>
      <c r="H196" s="1">
        <v>23</v>
      </c>
      <c r="I196" s="1"/>
      <c r="J196" s="1" t="s">
        <v>98</v>
      </c>
    </row>
    <row r="197" spans="1:10" x14ac:dyDescent="0.3">
      <c r="A197" s="5">
        <v>45737</v>
      </c>
      <c r="B197" s="1" t="s">
        <v>95</v>
      </c>
      <c r="C197" s="1" t="s">
        <v>96</v>
      </c>
      <c r="D197" s="1" t="s">
        <v>97</v>
      </c>
      <c r="E197" s="1" t="s">
        <v>147</v>
      </c>
      <c r="F197" s="1" t="s">
        <v>150</v>
      </c>
      <c r="G197" s="1">
        <v>80</v>
      </c>
      <c r="H197" s="1">
        <v>20</v>
      </c>
      <c r="I197" s="1"/>
      <c r="J197" s="1" t="s">
        <v>98</v>
      </c>
    </row>
    <row r="198" spans="1:10" x14ac:dyDescent="0.3">
      <c r="A198" s="5">
        <v>45737</v>
      </c>
      <c r="B198" s="1" t="s">
        <v>100</v>
      </c>
      <c r="C198" s="1" t="s">
        <v>96</v>
      </c>
      <c r="D198" s="1" t="s">
        <v>101</v>
      </c>
      <c r="E198" s="1" t="s">
        <v>146</v>
      </c>
      <c r="F198" s="1" t="s">
        <v>150</v>
      </c>
      <c r="G198" s="1">
        <v>70</v>
      </c>
      <c r="H198" s="1">
        <v>16</v>
      </c>
      <c r="I198" s="1"/>
      <c r="J198" s="1" t="s">
        <v>102</v>
      </c>
    </row>
    <row r="199" spans="1:10" x14ac:dyDescent="0.3">
      <c r="A199" s="5">
        <v>45737</v>
      </c>
      <c r="B199" s="1" t="s">
        <v>100</v>
      </c>
      <c r="C199" s="1" t="s">
        <v>96</v>
      </c>
      <c r="D199" s="1" t="s">
        <v>99</v>
      </c>
      <c r="E199" s="1" t="s">
        <v>146</v>
      </c>
      <c r="F199" s="1" t="s">
        <v>150</v>
      </c>
      <c r="G199" s="1">
        <v>90</v>
      </c>
      <c r="H199" s="1">
        <v>24</v>
      </c>
      <c r="I199" s="1"/>
      <c r="J199" s="1" t="s">
        <v>102</v>
      </c>
    </row>
    <row r="200" spans="1:10" x14ac:dyDescent="0.3">
      <c r="A200" s="5">
        <v>45737</v>
      </c>
      <c r="B200" s="1" t="s">
        <v>100</v>
      </c>
      <c r="C200" s="1" t="s">
        <v>96</v>
      </c>
      <c r="D200" s="1" t="s">
        <v>97</v>
      </c>
      <c r="E200" s="1" t="s">
        <v>146</v>
      </c>
      <c r="F200" s="1" t="s">
        <v>150</v>
      </c>
      <c r="G200" s="1">
        <v>100</v>
      </c>
      <c r="H200" s="1">
        <v>26</v>
      </c>
      <c r="I200" s="1"/>
      <c r="J200" s="1" t="s">
        <v>102</v>
      </c>
    </row>
    <row r="201" spans="1:10" x14ac:dyDescent="0.3">
      <c r="A201" s="5">
        <v>45737</v>
      </c>
      <c r="B201" s="1" t="s">
        <v>100</v>
      </c>
      <c r="C201" s="1" t="s">
        <v>96</v>
      </c>
      <c r="D201" s="1" t="s">
        <v>101</v>
      </c>
      <c r="E201" s="1" t="s">
        <v>144</v>
      </c>
      <c r="F201" s="1" t="s">
        <v>150</v>
      </c>
      <c r="G201" s="1">
        <v>87</v>
      </c>
      <c r="H201" s="1">
        <v>23</v>
      </c>
      <c r="I201" s="1"/>
      <c r="J201" s="1" t="s">
        <v>102</v>
      </c>
    </row>
    <row r="202" spans="1:10" x14ac:dyDescent="0.3">
      <c r="A202" s="5">
        <v>45729</v>
      </c>
      <c r="B202" s="1" t="s">
        <v>95</v>
      </c>
      <c r="C202" s="1" t="s">
        <v>104</v>
      </c>
      <c r="D202" s="1" t="s">
        <v>101</v>
      </c>
      <c r="E202" s="1" t="s">
        <v>144</v>
      </c>
      <c r="F202" s="1" t="s">
        <v>150</v>
      </c>
      <c r="G202" s="1">
        <v>70</v>
      </c>
      <c r="H202" s="1">
        <v>19</v>
      </c>
      <c r="I202" s="1"/>
      <c r="J202" s="1" t="s">
        <v>103</v>
      </c>
    </row>
    <row r="203" spans="1:10" x14ac:dyDescent="0.3">
      <c r="A203" s="5">
        <v>45729</v>
      </c>
      <c r="B203" s="1" t="s">
        <v>95</v>
      </c>
      <c r="C203" s="1" t="s">
        <v>104</v>
      </c>
      <c r="D203" s="1" t="s">
        <v>97</v>
      </c>
      <c r="E203" s="1" t="s">
        <v>146</v>
      </c>
      <c r="F203" s="1" t="s">
        <v>150</v>
      </c>
      <c r="G203" s="1">
        <v>100</v>
      </c>
      <c r="H203" s="1">
        <v>23</v>
      </c>
      <c r="I203" s="1"/>
      <c r="J203" s="1" t="s">
        <v>103</v>
      </c>
    </row>
    <row r="204" spans="1:10" x14ac:dyDescent="0.3">
      <c r="A204" s="5">
        <v>45729</v>
      </c>
      <c r="B204" s="1" t="s">
        <v>95</v>
      </c>
      <c r="C204" s="1" t="s">
        <v>104</v>
      </c>
      <c r="D204" s="1" t="s">
        <v>101</v>
      </c>
      <c r="E204" s="1" t="s">
        <v>146</v>
      </c>
      <c r="F204" s="1" t="s">
        <v>150</v>
      </c>
      <c r="G204" s="1">
        <v>70</v>
      </c>
      <c r="H204" s="1">
        <v>17</v>
      </c>
      <c r="I204" s="1"/>
      <c r="J204" s="1" t="s">
        <v>103</v>
      </c>
    </row>
    <row r="205" spans="1:10" x14ac:dyDescent="0.3">
      <c r="A205" s="5">
        <v>45729</v>
      </c>
      <c r="B205" s="1" t="s">
        <v>95</v>
      </c>
      <c r="C205" s="1" t="s">
        <v>104</v>
      </c>
      <c r="D205" s="1" t="s">
        <v>99</v>
      </c>
      <c r="E205" s="1" t="s">
        <v>144</v>
      </c>
      <c r="F205" s="1" t="s">
        <v>150</v>
      </c>
      <c r="G205" s="1">
        <v>100</v>
      </c>
      <c r="H205" s="1">
        <v>23</v>
      </c>
      <c r="I205" s="1"/>
      <c r="J205" s="1" t="s">
        <v>103</v>
      </c>
    </row>
    <row r="206" spans="1:10" x14ac:dyDescent="0.3">
      <c r="A206" s="5">
        <v>45729</v>
      </c>
      <c r="B206" s="1" t="s">
        <v>100</v>
      </c>
      <c r="C206" s="1" t="s">
        <v>104</v>
      </c>
      <c r="D206" s="1" t="s">
        <v>97</v>
      </c>
      <c r="E206" s="1" t="s">
        <v>147</v>
      </c>
      <c r="F206" s="1" t="s">
        <v>150</v>
      </c>
      <c r="G206" s="1">
        <v>93</v>
      </c>
      <c r="H206" s="1">
        <v>19</v>
      </c>
      <c r="I206" s="1"/>
      <c r="J206" s="1" t="s">
        <v>102</v>
      </c>
    </row>
    <row r="207" spans="1:10" x14ac:dyDescent="0.3">
      <c r="A207" s="5">
        <v>45729</v>
      </c>
      <c r="B207" s="1" t="s">
        <v>100</v>
      </c>
      <c r="C207" s="1" t="s">
        <v>104</v>
      </c>
      <c r="D207" s="1" t="s">
        <v>109</v>
      </c>
      <c r="E207" s="1" t="s">
        <v>144</v>
      </c>
      <c r="F207" s="1" t="s">
        <v>150</v>
      </c>
      <c r="G207" s="1">
        <v>93</v>
      </c>
      <c r="H207" s="1">
        <v>22</v>
      </c>
      <c r="I207" s="1"/>
      <c r="J207" s="1" t="s">
        <v>102</v>
      </c>
    </row>
    <row r="208" spans="1:10" x14ac:dyDescent="0.3">
      <c r="A208" s="5">
        <v>45729</v>
      </c>
      <c r="B208" s="1" t="s">
        <v>100</v>
      </c>
      <c r="C208" s="1" t="s">
        <v>104</v>
      </c>
      <c r="D208" s="1" t="s">
        <v>99</v>
      </c>
      <c r="E208" s="1" t="s">
        <v>147</v>
      </c>
      <c r="F208" s="1" t="s">
        <v>150</v>
      </c>
      <c r="G208" s="1">
        <v>80</v>
      </c>
      <c r="H208" s="1">
        <v>22</v>
      </c>
      <c r="I208" s="1"/>
      <c r="J208" s="1" t="s">
        <v>102</v>
      </c>
    </row>
    <row r="209" spans="1:10" x14ac:dyDescent="0.3">
      <c r="A209" s="5">
        <v>45729</v>
      </c>
      <c r="B209" s="1" t="s">
        <v>100</v>
      </c>
      <c r="C209" s="1" t="s">
        <v>104</v>
      </c>
      <c r="D209" s="1" t="s">
        <v>97</v>
      </c>
      <c r="E209" s="1" t="s">
        <v>144</v>
      </c>
      <c r="F209" s="1" t="s">
        <v>150</v>
      </c>
      <c r="G209" s="1">
        <v>90</v>
      </c>
      <c r="H209" s="1">
        <v>22</v>
      </c>
      <c r="I209" s="1"/>
      <c r="J209" s="1" t="s">
        <v>102</v>
      </c>
    </row>
    <row r="210" spans="1:10" x14ac:dyDescent="0.3">
      <c r="A210" s="5">
        <v>45835</v>
      </c>
      <c r="B210" s="1" t="s">
        <v>95</v>
      </c>
      <c r="C210" s="1" t="s">
        <v>96</v>
      </c>
      <c r="D210" s="1" t="s">
        <v>99</v>
      </c>
      <c r="E210" s="1" t="s">
        <v>146</v>
      </c>
      <c r="F210" s="1" t="s">
        <v>150</v>
      </c>
      <c r="G210" s="1">
        <v>215</v>
      </c>
      <c r="H210" s="1">
        <v>38</v>
      </c>
      <c r="I210" s="1">
        <v>9</v>
      </c>
      <c r="J210" s="1"/>
    </row>
    <row r="211" spans="1:10" x14ac:dyDescent="0.3">
      <c r="A211" s="5">
        <v>45835</v>
      </c>
      <c r="B211" s="1" t="s">
        <v>95</v>
      </c>
      <c r="C211" s="1" t="s">
        <v>96</v>
      </c>
      <c r="D211" s="1" t="s">
        <v>97</v>
      </c>
      <c r="E211" s="1" t="s">
        <v>146</v>
      </c>
      <c r="F211" s="1" t="s">
        <v>150</v>
      </c>
      <c r="G211" s="1">
        <v>200</v>
      </c>
      <c r="H211" s="1">
        <v>36</v>
      </c>
      <c r="I211" s="1">
        <v>8.8000000000000007</v>
      </c>
      <c r="J211" s="1"/>
    </row>
    <row r="212" spans="1:10" x14ac:dyDescent="0.3">
      <c r="A212" s="5">
        <v>45835</v>
      </c>
      <c r="B212" s="1" t="s">
        <v>95</v>
      </c>
      <c r="C212" s="1" t="s">
        <v>96</v>
      </c>
      <c r="D212" s="1" t="s">
        <v>101</v>
      </c>
      <c r="E212" s="1" t="s">
        <v>146</v>
      </c>
      <c r="F212" s="1" t="s">
        <v>150</v>
      </c>
      <c r="G212" s="1">
        <v>200</v>
      </c>
      <c r="H212" s="1">
        <v>37</v>
      </c>
      <c r="I212" s="1">
        <v>7.8</v>
      </c>
      <c r="J212" s="1"/>
    </row>
    <row r="213" spans="1:10" x14ac:dyDescent="0.3">
      <c r="A213" s="5">
        <v>45835</v>
      </c>
      <c r="B213" s="1" t="s">
        <v>95</v>
      </c>
      <c r="C213" s="1" t="s">
        <v>96</v>
      </c>
      <c r="D213" s="1" t="s">
        <v>109</v>
      </c>
      <c r="E213" s="1" t="s">
        <v>146</v>
      </c>
      <c r="F213" s="1" t="s">
        <v>150</v>
      </c>
      <c r="G213" s="1">
        <v>280</v>
      </c>
      <c r="H213" s="1">
        <v>51</v>
      </c>
      <c r="I213" s="1">
        <v>9.8000000000000007</v>
      </c>
      <c r="J213" s="1"/>
    </row>
    <row r="214" spans="1:10" x14ac:dyDescent="0.3">
      <c r="A214" s="5">
        <v>45835</v>
      </c>
      <c r="B214" s="1" t="s">
        <v>95</v>
      </c>
      <c r="C214" s="1" t="s">
        <v>96</v>
      </c>
      <c r="D214" s="1" t="s">
        <v>109</v>
      </c>
      <c r="E214" s="1" t="s">
        <v>144</v>
      </c>
      <c r="F214" s="1" t="s">
        <v>150</v>
      </c>
      <c r="G214" s="1">
        <v>245</v>
      </c>
      <c r="H214" s="1">
        <v>44</v>
      </c>
      <c r="I214" s="1">
        <v>9.1999999999999993</v>
      </c>
      <c r="J214" s="1"/>
    </row>
    <row r="215" spans="1:10" x14ac:dyDescent="0.3">
      <c r="A215" s="5">
        <v>45835</v>
      </c>
      <c r="B215" s="1" t="s">
        <v>95</v>
      </c>
      <c r="C215" s="1" t="s">
        <v>96</v>
      </c>
      <c r="D215" s="1" t="s">
        <v>101</v>
      </c>
      <c r="E215" s="1" t="s">
        <v>144</v>
      </c>
      <c r="F215" s="1" t="s">
        <v>150</v>
      </c>
      <c r="G215" s="1">
        <v>220</v>
      </c>
      <c r="H215" s="1">
        <v>41</v>
      </c>
      <c r="I215" s="1">
        <v>9</v>
      </c>
      <c r="J215" s="1"/>
    </row>
    <row r="216" spans="1:10" x14ac:dyDescent="0.3">
      <c r="A216" s="5">
        <v>45835</v>
      </c>
      <c r="B216" s="1" t="s">
        <v>100</v>
      </c>
      <c r="C216" s="1" t="s">
        <v>96</v>
      </c>
      <c r="D216" s="1" t="s">
        <v>101</v>
      </c>
      <c r="E216" s="1" t="s">
        <v>147</v>
      </c>
      <c r="F216" s="1" t="s">
        <v>150</v>
      </c>
      <c r="G216" s="1">
        <v>190</v>
      </c>
      <c r="H216" s="1">
        <v>39</v>
      </c>
      <c r="I216" s="1">
        <v>7</v>
      </c>
      <c r="J216" s="1"/>
    </row>
    <row r="217" spans="1:10" x14ac:dyDescent="0.3">
      <c r="A217" s="5">
        <v>45835</v>
      </c>
      <c r="B217" s="1" t="s">
        <v>100</v>
      </c>
      <c r="C217" s="1"/>
      <c r="D217" s="1" t="s">
        <v>109</v>
      </c>
      <c r="E217" s="1" t="s">
        <v>147</v>
      </c>
      <c r="F217" s="1" t="s">
        <v>150</v>
      </c>
      <c r="G217" s="1">
        <v>203</v>
      </c>
      <c r="H217" s="1">
        <v>37</v>
      </c>
      <c r="I217" s="1">
        <v>5</v>
      </c>
      <c r="J217" s="1"/>
    </row>
    <row r="218" spans="1:10" x14ac:dyDescent="0.3">
      <c r="A218" s="5">
        <v>45835</v>
      </c>
      <c r="B218" s="1" t="s">
        <v>100</v>
      </c>
      <c r="C218" s="1" t="s">
        <v>96</v>
      </c>
      <c r="D218" s="1" t="s">
        <v>99</v>
      </c>
      <c r="E218" s="1" t="s">
        <v>144</v>
      </c>
      <c r="F218" s="1" t="s">
        <v>150</v>
      </c>
      <c r="G218" s="1">
        <v>240</v>
      </c>
      <c r="H218" s="1">
        <v>45</v>
      </c>
      <c r="I218" s="1">
        <v>10</v>
      </c>
      <c r="J218" s="1"/>
    </row>
    <row r="219" spans="1:10" x14ac:dyDescent="0.3">
      <c r="A219" s="5">
        <v>45835</v>
      </c>
      <c r="B219" s="1" t="s">
        <v>100</v>
      </c>
      <c r="C219" s="1" t="s">
        <v>96</v>
      </c>
      <c r="D219" s="1" t="s">
        <v>97</v>
      </c>
      <c r="E219" s="1" t="s">
        <v>144</v>
      </c>
      <c r="F219" s="1" t="s">
        <v>150</v>
      </c>
      <c r="G219" s="1">
        <v>260</v>
      </c>
      <c r="H219" s="1">
        <v>42</v>
      </c>
      <c r="I219" s="1">
        <v>0.37916666666666671</v>
      </c>
      <c r="J219" s="1"/>
    </row>
    <row r="220" spans="1:10" x14ac:dyDescent="0.3">
      <c r="A220" s="5">
        <v>45835</v>
      </c>
      <c r="B220" s="1" t="s">
        <v>100</v>
      </c>
      <c r="C220" s="1" t="s">
        <v>96</v>
      </c>
      <c r="D220" s="1" t="s">
        <v>99</v>
      </c>
      <c r="E220" s="1" t="s">
        <v>147</v>
      </c>
      <c r="F220" s="1" t="s">
        <v>150</v>
      </c>
      <c r="G220" s="1">
        <v>265</v>
      </c>
      <c r="H220" s="1">
        <v>45</v>
      </c>
      <c r="I220" s="1">
        <v>0.29722222222222222</v>
      </c>
      <c r="J220" s="1" t="s">
        <v>113</v>
      </c>
    </row>
    <row r="221" spans="1:10" x14ac:dyDescent="0.3">
      <c r="A221" s="5">
        <v>45835</v>
      </c>
      <c r="B221" s="1" t="s">
        <v>100</v>
      </c>
      <c r="C221" s="1" t="s">
        <v>96</v>
      </c>
      <c r="D221" s="1" t="s">
        <v>97</v>
      </c>
      <c r="E221" s="1" t="s">
        <v>147</v>
      </c>
      <c r="F221" s="1" t="s">
        <v>150</v>
      </c>
      <c r="G221" s="1">
        <v>202</v>
      </c>
      <c r="H221" s="1">
        <v>35</v>
      </c>
      <c r="I221" s="1">
        <v>0.37638888888888888</v>
      </c>
      <c r="J221" s="1" t="s">
        <v>113</v>
      </c>
    </row>
    <row r="222" spans="1:10" x14ac:dyDescent="0.3">
      <c r="A222" s="5">
        <v>45834</v>
      </c>
      <c r="B222" s="1" t="s">
        <v>114</v>
      </c>
      <c r="C222" s="1" t="s">
        <v>104</v>
      </c>
      <c r="D222" s="1" t="s">
        <v>101</v>
      </c>
      <c r="E222" s="1" t="s">
        <v>146</v>
      </c>
      <c r="F222" s="1" t="s">
        <v>150</v>
      </c>
      <c r="G222" s="1">
        <v>207</v>
      </c>
      <c r="H222" s="1">
        <v>36</v>
      </c>
      <c r="I222" s="1">
        <v>7</v>
      </c>
      <c r="J222" s="1"/>
    </row>
    <row r="223" spans="1:10" x14ac:dyDescent="0.3">
      <c r="A223" s="5">
        <v>45834</v>
      </c>
      <c r="B223" s="1" t="s">
        <v>114</v>
      </c>
      <c r="C223" s="1" t="s">
        <v>104</v>
      </c>
      <c r="D223" s="1" t="s">
        <v>97</v>
      </c>
      <c r="E223" s="1" t="s">
        <v>146</v>
      </c>
      <c r="F223" s="1" t="s">
        <v>150</v>
      </c>
      <c r="G223" s="1">
        <v>247</v>
      </c>
      <c r="H223" s="1">
        <v>47</v>
      </c>
      <c r="I223" s="1">
        <v>8</v>
      </c>
      <c r="J223" s="1"/>
    </row>
    <row r="224" spans="1:10" x14ac:dyDescent="0.3">
      <c r="A224" s="5">
        <v>45834</v>
      </c>
      <c r="B224" s="1" t="s">
        <v>95</v>
      </c>
      <c r="C224" s="1" t="s">
        <v>104</v>
      </c>
      <c r="D224" s="1" t="s">
        <v>99</v>
      </c>
      <c r="E224" s="1" t="s">
        <v>147</v>
      </c>
      <c r="F224" s="1" t="s">
        <v>150</v>
      </c>
      <c r="G224" s="1">
        <v>215</v>
      </c>
      <c r="H224" s="1">
        <v>35</v>
      </c>
      <c r="I224" s="1">
        <v>9</v>
      </c>
      <c r="J224" s="1"/>
    </row>
    <row r="225" spans="1:10" x14ac:dyDescent="0.3">
      <c r="A225" s="5">
        <v>45834</v>
      </c>
      <c r="B225" s="1" t="s">
        <v>95</v>
      </c>
      <c r="C225" s="1" t="s">
        <v>104</v>
      </c>
      <c r="D225" s="1" t="s">
        <v>97</v>
      </c>
      <c r="E225" s="1" t="s">
        <v>144</v>
      </c>
      <c r="F225" s="1" t="s">
        <v>150</v>
      </c>
      <c r="G225" s="1">
        <v>250</v>
      </c>
      <c r="H225" s="1">
        <v>45</v>
      </c>
      <c r="I225" s="1">
        <v>9</v>
      </c>
      <c r="J225" s="1"/>
    </row>
    <row r="226" spans="1:10" x14ac:dyDescent="0.3">
      <c r="A226" s="5">
        <v>45834</v>
      </c>
      <c r="B226" s="1" t="s">
        <v>95</v>
      </c>
      <c r="C226" s="1" t="s">
        <v>104</v>
      </c>
      <c r="D226" s="1" t="s">
        <v>109</v>
      </c>
      <c r="E226" s="1" t="s">
        <v>146</v>
      </c>
      <c r="F226" s="1" t="s">
        <v>150</v>
      </c>
      <c r="G226" s="1">
        <v>177</v>
      </c>
      <c r="H226" s="1">
        <v>34</v>
      </c>
      <c r="I226" s="1">
        <v>6</v>
      </c>
      <c r="J226" s="1"/>
    </row>
    <row r="227" spans="1:10" x14ac:dyDescent="0.3">
      <c r="A227" s="5">
        <v>45834</v>
      </c>
      <c r="B227" s="1" t="s">
        <v>95</v>
      </c>
      <c r="C227" s="1" t="s">
        <v>104</v>
      </c>
      <c r="D227" s="1" t="s">
        <v>99</v>
      </c>
      <c r="E227" s="1" t="s">
        <v>146</v>
      </c>
      <c r="F227" s="1" t="s">
        <v>150</v>
      </c>
      <c r="G227" s="1">
        <v>215</v>
      </c>
      <c r="H227" s="1">
        <v>37</v>
      </c>
      <c r="I227" s="1">
        <v>7</v>
      </c>
      <c r="J227" s="1"/>
    </row>
    <row r="228" spans="1:10" x14ac:dyDescent="0.3">
      <c r="A228" s="5">
        <v>45834</v>
      </c>
      <c r="B228" s="1" t="s">
        <v>95</v>
      </c>
      <c r="C228" s="1" t="s">
        <v>104</v>
      </c>
      <c r="D228" s="1" t="s">
        <v>101</v>
      </c>
      <c r="E228" s="1" t="s">
        <v>147</v>
      </c>
      <c r="F228" s="1" t="s">
        <v>150</v>
      </c>
      <c r="G228" s="1">
        <v>250</v>
      </c>
      <c r="H228" s="1">
        <v>44</v>
      </c>
      <c r="I228" s="1">
        <v>8</v>
      </c>
      <c r="J228" s="1"/>
    </row>
    <row r="229" spans="1:10" x14ac:dyDescent="0.3">
      <c r="A229" s="5">
        <v>45834</v>
      </c>
      <c r="B229" s="1" t="s">
        <v>100</v>
      </c>
      <c r="C229" s="1" t="s">
        <v>104</v>
      </c>
      <c r="D229" s="1" t="s">
        <v>109</v>
      </c>
      <c r="E229" s="1" t="s">
        <v>144</v>
      </c>
      <c r="F229" s="1" t="s">
        <v>150</v>
      </c>
      <c r="G229" s="1">
        <v>240</v>
      </c>
      <c r="H229" s="1">
        <v>47</v>
      </c>
      <c r="I229" s="1">
        <v>8</v>
      </c>
      <c r="J229" s="1" t="s">
        <v>113</v>
      </c>
    </row>
    <row r="230" spans="1:10" x14ac:dyDescent="0.3">
      <c r="A230" s="5">
        <v>45834</v>
      </c>
      <c r="B230" s="1" t="s">
        <v>100</v>
      </c>
      <c r="C230" s="1" t="s">
        <v>104</v>
      </c>
      <c r="D230" s="1" t="s">
        <v>99</v>
      </c>
      <c r="E230" s="1" t="s">
        <v>144</v>
      </c>
      <c r="F230" s="1" t="s">
        <v>150</v>
      </c>
      <c r="G230" s="1">
        <v>252</v>
      </c>
      <c r="H230" s="1">
        <v>46</v>
      </c>
      <c r="I230" s="1">
        <v>0.41805555555555562</v>
      </c>
      <c r="J230" s="1" t="s">
        <v>113</v>
      </c>
    </row>
    <row r="231" spans="1:10" x14ac:dyDescent="0.3">
      <c r="A231" s="5">
        <v>45834</v>
      </c>
      <c r="B231" s="1" t="s">
        <v>100</v>
      </c>
      <c r="C231" s="1" t="s">
        <v>104</v>
      </c>
      <c r="D231" s="1" t="s">
        <v>101</v>
      </c>
      <c r="E231" s="1" t="s">
        <v>144</v>
      </c>
      <c r="F231" s="1" t="s">
        <v>150</v>
      </c>
      <c r="G231" s="1">
        <v>237</v>
      </c>
      <c r="H231" s="1">
        <v>44</v>
      </c>
      <c r="I231" s="1">
        <v>0.29305555555555562</v>
      </c>
      <c r="J231" s="1" t="s">
        <v>113</v>
      </c>
    </row>
    <row r="232" spans="1:10" x14ac:dyDescent="0.3">
      <c r="A232" s="5">
        <v>45834</v>
      </c>
      <c r="B232" s="1" t="s">
        <v>100</v>
      </c>
      <c r="C232" s="1" t="s">
        <v>104</v>
      </c>
      <c r="D232" s="1" t="s">
        <v>97</v>
      </c>
      <c r="E232" s="1" t="s">
        <v>147</v>
      </c>
      <c r="F232" s="1" t="s">
        <v>150</v>
      </c>
      <c r="G232" s="1">
        <v>230</v>
      </c>
      <c r="H232" s="1">
        <v>47</v>
      </c>
      <c r="I232" s="1">
        <v>0.29722222222222222</v>
      </c>
      <c r="J232" s="1" t="s">
        <v>113</v>
      </c>
    </row>
    <row r="233" spans="1:10" x14ac:dyDescent="0.3">
      <c r="A233" s="5">
        <v>45834</v>
      </c>
      <c r="B233" s="1" t="s">
        <v>100</v>
      </c>
      <c r="C233" s="1" t="s">
        <v>104</v>
      </c>
      <c r="D233" s="1" t="s">
        <v>109</v>
      </c>
      <c r="E233" s="1" t="s">
        <v>147</v>
      </c>
      <c r="F233" s="1" t="s">
        <v>150</v>
      </c>
      <c r="G233" s="1">
        <v>250</v>
      </c>
      <c r="H233" s="1">
        <v>52</v>
      </c>
      <c r="I233" s="1">
        <v>9</v>
      </c>
      <c r="J233" s="1" t="s">
        <v>113</v>
      </c>
    </row>
    <row r="234" spans="1:10" x14ac:dyDescent="0.3">
      <c r="A234" s="5">
        <v>45930</v>
      </c>
      <c r="B234" s="1" t="s">
        <v>100</v>
      </c>
      <c r="C234" s="1" t="s">
        <v>96</v>
      </c>
      <c r="D234" s="1" t="s">
        <v>109</v>
      </c>
      <c r="E234" s="1" t="s">
        <v>144</v>
      </c>
      <c r="F234" s="1" t="s">
        <v>150</v>
      </c>
      <c r="G234" s="1">
        <v>344</v>
      </c>
      <c r="H234" s="1">
        <v>69</v>
      </c>
      <c r="I234" s="1">
        <v>14</v>
      </c>
      <c r="J234" s="1"/>
    </row>
    <row r="235" spans="1:10" x14ac:dyDescent="0.3">
      <c r="A235" s="5">
        <v>45930</v>
      </c>
      <c r="B235" s="1" t="s">
        <v>100</v>
      </c>
      <c r="C235" s="1" t="s">
        <v>96</v>
      </c>
      <c r="D235" s="1" t="s">
        <v>97</v>
      </c>
      <c r="E235" s="1" t="s">
        <v>147</v>
      </c>
      <c r="F235" s="1" t="s">
        <v>150</v>
      </c>
      <c r="G235" s="1">
        <v>302</v>
      </c>
      <c r="H235" s="1">
        <v>53</v>
      </c>
      <c r="I235" s="1">
        <v>12</v>
      </c>
      <c r="J235" s="1"/>
    </row>
    <row r="236" spans="1:10" x14ac:dyDescent="0.3">
      <c r="A236" s="5">
        <v>45925</v>
      </c>
      <c r="B236" s="1" t="s">
        <v>100</v>
      </c>
      <c r="C236" s="1" t="s">
        <v>104</v>
      </c>
      <c r="D236" s="1" t="s">
        <v>101</v>
      </c>
      <c r="E236" s="1" t="s">
        <v>147</v>
      </c>
      <c r="F236" s="1" t="s">
        <v>150</v>
      </c>
      <c r="G236" s="1">
        <v>320</v>
      </c>
      <c r="H236" s="1">
        <v>63</v>
      </c>
      <c r="I236" s="1">
        <v>13</v>
      </c>
      <c r="J236" s="1"/>
    </row>
    <row r="237" spans="1:10" x14ac:dyDescent="0.3">
      <c r="A237" s="5">
        <v>45925</v>
      </c>
      <c r="B237" s="1" t="s">
        <v>100</v>
      </c>
      <c r="C237" s="1" t="s">
        <v>104</v>
      </c>
      <c r="D237" s="1" t="s">
        <v>97</v>
      </c>
      <c r="E237" s="1" t="s">
        <v>146</v>
      </c>
      <c r="F237" s="1" t="s">
        <v>150</v>
      </c>
      <c r="G237" s="1">
        <v>325</v>
      </c>
      <c r="H237" s="1">
        <v>63</v>
      </c>
      <c r="I237" s="1">
        <v>15</v>
      </c>
      <c r="J237" s="1"/>
    </row>
    <row r="238" spans="1:10" x14ac:dyDescent="0.3">
      <c r="A238" s="5">
        <v>45925</v>
      </c>
      <c r="B238" s="1" t="s">
        <v>100</v>
      </c>
      <c r="C238" s="1" t="s">
        <v>104</v>
      </c>
      <c r="D238" s="1" t="s">
        <v>101</v>
      </c>
      <c r="E238" s="1" t="s">
        <v>146</v>
      </c>
      <c r="F238" s="1" t="s">
        <v>150</v>
      </c>
      <c r="G238" s="1">
        <v>309</v>
      </c>
      <c r="H238" s="1">
        <v>59</v>
      </c>
      <c r="I238" s="1">
        <v>14</v>
      </c>
      <c r="J238" s="1"/>
    </row>
    <row r="239" spans="1:10" x14ac:dyDescent="0.3">
      <c r="A239" s="5">
        <v>45925</v>
      </c>
      <c r="B239" s="1" t="s">
        <v>95</v>
      </c>
      <c r="C239" s="1" t="s">
        <v>104</v>
      </c>
      <c r="D239" s="1" t="s">
        <v>99</v>
      </c>
      <c r="E239" s="1" t="s">
        <v>146</v>
      </c>
      <c r="F239" s="1" t="s">
        <v>150</v>
      </c>
      <c r="G239" s="1">
        <v>300</v>
      </c>
      <c r="H239" s="1">
        <v>62</v>
      </c>
      <c r="I239" s="1">
        <v>13</v>
      </c>
      <c r="J239" s="1"/>
    </row>
    <row r="240" spans="1:10" x14ac:dyDescent="0.3">
      <c r="A240" s="5">
        <v>45925</v>
      </c>
      <c r="B240" s="1" t="s">
        <v>95</v>
      </c>
      <c r="C240" s="1" t="s">
        <v>104</v>
      </c>
      <c r="D240" s="1" t="s">
        <v>109</v>
      </c>
      <c r="E240" s="1" t="s">
        <v>147</v>
      </c>
      <c r="F240" s="1" t="s">
        <v>150</v>
      </c>
      <c r="G240" s="1">
        <v>330</v>
      </c>
      <c r="H240" s="1">
        <v>65</v>
      </c>
      <c r="I240" s="1">
        <v>15</v>
      </c>
      <c r="J240" s="1" t="s">
        <v>120</v>
      </c>
    </row>
    <row r="241" spans="1:10" x14ac:dyDescent="0.3">
      <c r="A241" s="5">
        <v>45925</v>
      </c>
      <c r="B241" s="1" t="s">
        <v>95</v>
      </c>
      <c r="C241" s="1" t="s">
        <v>104</v>
      </c>
      <c r="D241" s="1" t="s">
        <v>97</v>
      </c>
      <c r="E241" s="1" t="s">
        <v>144</v>
      </c>
      <c r="F241" s="1" t="s">
        <v>150</v>
      </c>
      <c r="G241" s="1">
        <v>304</v>
      </c>
      <c r="H241" s="1">
        <v>60</v>
      </c>
      <c r="I241" s="1">
        <v>13</v>
      </c>
      <c r="J241" s="1"/>
    </row>
    <row r="242" spans="1:10" x14ac:dyDescent="0.3">
      <c r="A242" s="5">
        <v>45923</v>
      </c>
      <c r="B242" s="1" t="s">
        <v>100</v>
      </c>
      <c r="C242" s="1" t="s">
        <v>104</v>
      </c>
      <c r="D242" s="1" t="s">
        <v>101</v>
      </c>
      <c r="E242" s="1" t="s">
        <v>144</v>
      </c>
      <c r="F242" s="1" t="s">
        <v>150</v>
      </c>
      <c r="G242" s="1">
        <v>301</v>
      </c>
      <c r="H242" s="1">
        <v>59</v>
      </c>
      <c r="I242" s="1">
        <v>14</v>
      </c>
      <c r="J242" s="1"/>
    </row>
    <row r="243" spans="1:10" x14ac:dyDescent="0.3">
      <c r="A243" s="5">
        <v>45923</v>
      </c>
      <c r="B243" s="1" t="s">
        <v>100</v>
      </c>
      <c r="C243" s="1" t="s">
        <v>104</v>
      </c>
      <c r="D243" s="1" t="s">
        <v>109</v>
      </c>
      <c r="E243" s="1" t="s">
        <v>144</v>
      </c>
      <c r="F243" s="1" t="s">
        <v>150</v>
      </c>
      <c r="G243" s="1">
        <v>294</v>
      </c>
      <c r="H243" s="1">
        <v>57</v>
      </c>
      <c r="I243" s="1">
        <v>12</v>
      </c>
      <c r="J243" s="1"/>
    </row>
    <row r="244" spans="1:10" x14ac:dyDescent="0.3">
      <c r="A244" s="5">
        <v>45923</v>
      </c>
      <c r="B244" s="1" t="s">
        <v>100</v>
      </c>
      <c r="C244" s="1" t="s">
        <v>104</v>
      </c>
      <c r="D244" s="1" t="s">
        <v>109</v>
      </c>
      <c r="E244" s="1" t="s">
        <v>146</v>
      </c>
      <c r="F244" s="1" t="s">
        <v>150</v>
      </c>
      <c r="G244" s="1">
        <v>323</v>
      </c>
      <c r="H244" s="1">
        <v>60</v>
      </c>
      <c r="I244" s="1">
        <v>14</v>
      </c>
      <c r="J244" s="1" t="s">
        <v>113</v>
      </c>
    </row>
    <row r="245" spans="1:10" x14ac:dyDescent="0.3">
      <c r="A245" s="5">
        <v>45923</v>
      </c>
      <c r="B245" s="1" t="s">
        <v>95</v>
      </c>
      <c r="C245" s="1" t="s">
        <v>104</v>
      </c>
      <c r="D245" s="1" t="s">
        <v>97</v>
      </c>
      <c r="E245" s="1" t="s">
        <v>147</v>
      </c>
      <c r="F245" s="1" t="s">
        <v>150</v>
      </c>
      <c r="G245" s="1">
        <v>325</v>
      </c>
      <c r="H245" s="1">
        <v>63</v>
      </c>
      <c r="I245" s="1">
        <v>13</v>
      </c>
      <c r="J245" s="1"/>
    </row>
    <row r="246" spans="1:10" x14ac:dyDescent="0.3">
      <c r="A246" s="5">
        <v>45923</v>
      </c>
      <c r="B246" s="1" t="s">
        <v>95</v>
      </c>
      <c r="C246" s="1" t="s">
        <v>104</v>
      </c>
      <c r="D246" s="1" t="s">
        <v>99</v>
      </c>
      <c r="E246" s="1" t="s">
        <v>147</v>
      </c>
      <c r="F246" s="1" t="s">
        <v>150</v>
      </c>
      <c r="G246" s="1">
        <v>303</v>
      </c>
      <c r="H246" s="1">
        <v>50</v>
      </c>
      <c r="I246" s="1">
        <v>11</v>
      </c>
      <c r="J246" s="1"/>
    </row>
    <row r="247" spans="1:10" x14ac:dyDescent="0.3">
      <c r="A247" s="5">
        <v>45923</v>
      </c>
      <c r="B247" s="1" t="s">
        <v>95</v>
      </c>
      <c r="C247" s="1" t="s">
        <v>104</v>
      </c>
      <c r="D247" s="1" t="s">
        <v>99</v>
      </c>
      <c r="E247" s="1" t="s">
        <v>144</v>
      </c>
      <c r="F247" s="1" t="s">
        <v>150</v>
      </c>
      <c r="G247" s="1">
        <v>320</v>
      </c>
      <c r="H247" s="1">
        <v>60</v>
      </c>
      <c r="I247" s="1">
        <v>12</v>
      </c>
      <c r="J247" s="1"/>
    </row>
    <row r="248" spans="1:10" x14ac:dyDescent="0.3">
      <c r="A248" s="5">
        <v>45933</v>
      </c>
      <c r="B248" s="1" t="s">
        <v>100</v>
      </c>
      <c r="C248" s="1" t="s">
        <v>96</v>
      </c>
      <c r="D248" s="1" t="s">
        <v>109</v>
      </c>
      <c r="E248" s="1" t="s">
        <v>147</v>
      </c>
      <c r="F248" s="1" t="s">
        <v>150</v>
      </c>
      <c r="G248" s="1">
        <v>300</v>
      </c>
      <c r="H248" s="1">
        <v>56</v>
      </c>
      <c r="I248" s="1">
        <v>11</v>
      </c>
      <c r="J248" s="1"/>
    </row>
    <row r="249" spans="1:10" x14ac:dyDescent="0.3">
      <c r="A249" s="5">
        <v>45933</v>
      </c>
      <c r="B249" s="1" t="s">
        <v>100</v>
      </c>
      <c r="C249" s="1" t="s">
        <v>96</v>
      </c>
      <c r="D249" s="1" t="s">
        <v>97</v>
      </c>
      <c r="E249" s="1" t="s">
        <v>146</v>
      </c>
      <c r="F249" s="1" t="s">
        <v>150</v>
      </c>
      <c r="G249" s="1">
        <v>286</v>
      </c>
      <c r="H249" s="1">
        <v>56</v>
      </c>
      <c r="I249" s="1">
        <v>10</v>
      </c>
      <c r="J249" s="1"/>
    </row>
    <row r="250" spans="1:10" x14ac:dyDescent="0.3">
      <c r="A250" s="5">
        <v>45932</v>
      </c>
      <c r="B250" s="1" t="s">
        <v>100</v>
      </c>
      <c r="C250" s="1" t="s">
        <v>96</v>
      </c>
      <c r="D250" s="1" t="s">
        <v>101</v>
      </c>
      <c r="E250" s="1" t="s">
        <v>147</v>
      </c>
      <c r="F250" s="1" t="s">
        <v>150</v>
      </c>
      <c r="G250" s="1">
        <v>270</v>
      </c>
      <c r="H250" s="1">
        <v>56</v>
      </c>
      <c r="I250" s="1">
        <v>9</v>
      </c>
      <c r="J250" s="1"/>
    </row>
    <row r="251" spans="1:10" x14ac:dyDescent="0.3">
      <c r="A251" s="5">
        <v>45932</v>
      </c>
      <c r="B251" s="1" t="s">
        <v>100</v>
      </c>
      <c r="C251" s="1" t="s">
        <v>96</v>
      </c>
      <c r="D251" s="1" t="s">
        <v>99</v>
      </c>
      <c r="E251" s="1" t="s">
        <v>146</v>
      </c>
      <c r="F251" s="1" t="s">
        <v>150</v>
      </c>
      <c r="G251" s="1">
        <v>276</v>
      </c>
      <c r="H251" s="1">
        <v>54</v>
      </c>
      <c r="I251" s="1">
        <v>10</v>
      </c>
      <c r="J251" s="1"/>
    </row>
    <row r="252" spans="1:10" x14ac:dyDescent="0.3">
      <c r="A252" s="5">
        <v>45931</v>
      </c>
      <c r="B252" s="1" t="s">
        <v>95</v>
      </c>
      <c r="C252" s="1" t="s">
        <v>96</v>
      </c>
      <c r="D252" s="1" t="s">
        <v>97</v>
      </c>
      <c r="E252" s="1" t="s">
        <v>144</v>
      </c>
      <c r="F252" s="1" t="s">
        <v>150</v>
      </c>
      <c r="G252" s="1">
        <v>320</v>
      </c>
      <c r="H252" s="1">
        <v>62</v>
      </c>
      <c r="I252" s="1">
        <v>10</v>
      </c>
      <c r="J252" s="1"/>
    </row>
    <row r="253" spans="1:10" x14ac:dyDescent="0.3">
      <c r="A253" s="5">
        <v>45931</v>
      </c>
      <c r="B253" s="1" t="s">
        <v>95</v>
      </c>
      <c r="C253" s="1" t="s">
        <v>96</v>
      </c>
      <c r="D253" s="1" t="s">
        <v>99</v>
      </c>
      <c r="E253" s="1" t="s">
        <v>144</v>
      </c>
      <c r="F253" s="1" t="s">
        <v>150</v>
      </c>
      <c r="G253" s="1">
        <v>335</v>
      </c>
      <c r="H253" s="1">
        <v>59</v>
      </c>
      <c r="I253" s="1">
        <v>9</v>
      </c>
      <c r="J253" s="1"/>
    </row>
    <row r="254" spans="1:10" x14ac:dyDescent="0.3">
      <c r="A254" s="5">
        <v>45931</v>
      </c>
      <c r="B254" s="1" t="s">
        <v>95</v>
      </c>
      <c r="C254" s="1" t="s">
        <v>96</v>
      </c>
      <c r="D254" s="1" t="s">
        <v>99</v>
      </c>
      <c r="E254" s="1" t="s">
        <v>147</v>
      </c>
      <c r="F254" s="1" t="s">
        <v>150</v>
      </c>
      <c r="G254" s="1">
        <v>320</v>
      </c>
      <c r="H254" s="1">
        <v>62</v>
      </c>
      <c r="I254" s="1">
        <v>11</v>
      </c>
      <c r="J254" s="1"/>
    </row>
    <row r="255" spans="1:10" x14ac:dyDescent="0.3">
      <c r="A255" s="5">
        <v>45931</v>
      </c>
      <c r="B255" s="1" t="s">
        <v>100</v>
      </c>
      <c r="C255" s="1" t="s">
        <v>96</v>
      </c>
      <c r="D255" s="1" t="s">
        <v>101</v>
      </c>
      <c r="E255" s="1" t="s">
        <v>146</v>
      </c>
      <c r="F255" s="1" t="s">
        <v>150</v>
      </c>
      <c r="G255" s="1">
        <v>280</v>
      </c>
      <c r="H255" s="1">
        <v>56</v>
      </c>
      <c r="I255" s="1">
        <v>11</v>
      </c>
      <c r="J255" s="1"/>
    </row>
    <row r="256" spans="1:10" x14ac:dyDescent="0.3">
      <c r="A256" s="5">
        <v>45931</v>
      </c>
      <c r="B256" s="1" t="s">
        <v>100</v>
      </c>
      <c r="C256" s="1" t="s">
        <v>96</v>
      </c>
      <c r="D256" s="1" t="s">
        <v>109</v>
      </c>
      <c r="E256" s="1" t="s">
        <v>146</v>
      </c>
      <c r="F256" s="1" t="s">
        <v>150</v>
      </c>
      <c r="G256" s="1">
        <v>340</v>
      </c>
      <c r="H256" s="1">
        <v>70</v>
      </c>
      <c r="I256" s="1">
        <v>14</v>
      </c>
      <c r="J256" s="1" t="s">
        <v>122</v>
      </c>
    </row>
    <row r="257" spans="1:10" x14ac:dyDescent="0.3">
      <c r="A257" s="5">
        <v>45931</v>
      </c>
      <c r="B257" s="1" t="s">
        <v>100</v>
      </c>
      <c r="C257" s="1" t="s">
        <v>96</v>
      </c>
      <c r="D257" s="1" t="s">
        <v>101</v>
      </c>
      <c r="E257" s="1" t="s">
        <v>144</v>
      </c>
      <c r="F257" s="1" t="s">
        <v>150</v>
      </c>
      <c r="G257" s="1">
        <v>260</v>
      </c>
      <c r="H257" s="1">
        <v>54</v>
      </c>
      <c r="I257" s="1">
        <v>9</v>
      </c>
      <c r="J257" s="1"/>
    </row>
    <row r="258" spans="1:10" x14ac:dyDescent="0.3">
      <c r="A258" s="5">
        <v>45737</v>
      </c>
      <c r="B258" s="1" t="s">
        <v>95</v>
      </c>
      <c r="C258" s="1" t="s">
        <v>96</v>
      </c>
      <c r="D258" s="1" t="s">
        <v>97</v>
      </c>
      <c r="E258" s="1" t="s">
        <v>144</v>
      </c>
      <c r="F258" s="1" t="s">
        <v>151</v>
      </c>
      <c r="G258" s="1">
        <v>100</v>
      </c>
      <c r="H258" s="1">
        <v>22</v>
      </c>
      <c r="I258" s="1"/>
      <c r="J258" s="1" t="s">
        <v>98</v>
      </c>
    </row>
    <row r="259" spans="1:10" x14ac:dyDescent="0.3">
      <c r="A259" s="5">
        <v>45737</v>
      </c>
      <c r="B259" s="1" t="s">
        <v>95</v>
      </c>
      <c r="C259" s="1" t="s">
        <v>96</v>
      </c>
      <c r="D259" s="1" t="s">
        <v>97</v>
      </c>
      <c r="E259" s="1" t="s">
        <v>146</v>
      </c>
      <c r="F259" s="1" t="s">
        <v>151</v>
      </c>
      <c r="G259" s="1">
        <v>85</v>
      </c>
      <c r="H259" s="1">
        <v>27</v>
      </c>
      <c r="I259" s="1"/>
      <c r="J259" s="1" t="s">
        <v>98</v>
      </c>
    </row>
    <row r="260" spans="1:10" x14ac:dyDescent="0.3">
      <c r="A260" s="5">
        <v>45737</v>
      </c>
      <c r="B260" s="1" t="s">
        <v>95</v>
      </c>
      <c r="C260" s="1" t="s">
        <v>96</v>
      </c>
      <c r="D260" s="1" t="s">
        <v>99</v>
      </c>
      <c r="E260" s="1" t="s">
        <v>144</v>
      </c>
      <c r="F260" s="1" t="s">
        <v>151</v>
      </c>
      <c r="G260" s="1">
        <v>85</v>
      </c>
      <c r="H260" s="1">
        <v>21</v>
      </c>
      <c r="I260" s="1"/>
      <c r="J260" s="1" t="s">
        <v>98</v>
      </c>
    </row>
    <row r="261" spans="1:10" x14ac:dyDescent="0.3">
      <c r="A261" s="5">
        <v>45737</v>
      </c>
      <c r="B261" s="1" t="s">
        <v>95</v>
      </c>
      <c r="C261" s="1" t="s">
        <v>96</v>
      </c>
      <c r="D261" s="1" t="s">
        <v>97</v>
      </c>
      <c r="E261" s="1" t="s">
        <v>147</v>
      </c>
      <c r="F261" s="1" t="s">
        <v>151</v>
      </c>
      <c r="G261" s="1">
        <v>90</v>
      </c>
      <c r="H261" s="1">
        <v>21</v>
      </c>
      <c r="I261" s="1"/>
      <c r="J261" s="1" t="s">
        <v>98</v>
      </c>
    </row>
    <row r="262" spans="1:10" x14ac:dyDescent="0.3">
      <c r="A262" s="5">
        <v>45737</v>
      </c>
      <c r="B262" s="1" t="s">
        <v>100</v>
      </c>
      <c r="C262" s="1" t="s">
        <v>96</v>
      </c>
      <c r="D262" s="1" t="s">
        <v>101</v>
      </c>
      <c r="E262" s="1" t="s">
        <v>146</v>
      </c>
      <c r="F262" s="1" t="s">
        <v>151</v>
      </c>
      <c r="G262" s="1">
        <v>73</v>
      </c>
      <c r="H262" s="1">
        <v>21</v>
      </c>
      <c r="I262" s="1"/>
      <c r="J262" s="1" t="s">
        <v>102</v>
      </c>
    </row>
    <row r="263" spans="1:10" x14ac:dyDescent="0.3">
      <c r="A263" s="5">
        <v>45737</v>
      </c>
      <c r="B263" s="1" t="s">
        <v>100</v>
      </c>
      <c r="C263" s="1" t="s">
        <v>96</v>
      </c>
      <c r="D263" s="1" t="s">
        <v>99</v>
      </c>
      <c r="E263" s="1" t="s">
        <v>146</v>
      </c>
      <c r="F263" s="1" t="s">
        <v>151</v>
      </c>
      <c r="G263" s="1">
        <v>94</v>
      </c>
      <c r="H263" s="1">
        <v>30</v>
      </c>
      <c r="I263" s="1"/>
      <c r="J263" s="1" t="s">
        <v>102</v>
      </c>
    </row>
    <row r="264" spans="1:10" x14ac:dyDescent="0.3">
      <c r="A264" s="5">
        <v>45737</v>
      </c>
      <c r="B264" s="1" t="s">
        <v>100</v>
      </c>
      <c r="C264" s="1" t="s">
        <v>96</v>
      </c>
      <c r="D264" s="1" t="s">
        <v>97</v>
      </c>
      <c r="E264" s="1" t="s">
        <v>146</v>
      </c>
      <c r="F264" s="1" t="s">
        <v>151</v>
      </c>
      <c r="G264" s="1">
        <v>105</v>
      </c>
      <c r="H264" s="1">
        <v>25</v>
      </c>
      <c r="I264" s="1"/>
      <c r="J264" s="1" t="s">
        <v>102</v>
      </c>
    </row>
    <row r="265" spans="1:10" x14ac:dyDescent="0.3">
      <c r="A265" s="5">
        <v>45737</v>
      </c>
      <c r="B265" s="1" t="s">
        <v>100</v>
      </c>
      <c r="C265" s="1" t="s">
        <v>96</v>
      </c>
      <c r="D265" s="1" t="s">
        <v>101</v>
      </c>
      <c r="E265" s="1" t="s">
        <v>144</v>
      </c>
      <c r="F265" s="1" t="s">
        <v>151</v>
      </c>
      <c r="G265" s="1">
        <v>100</v>
      </c>
      <c r="H265" s="1">
        <v>24</v>
      </c>
      <c r="I265" s="1"/>
      <c r="J265" s="1" t="s">
        <v>102</v>
      </c>
    </row>
    <row r="266" spans="1:10" x14ac:dyDescent="0.3">
      <c r="A266" s="5">
        <v>45729</v>
      </c>
      <c r="B266" s="1" t="s">
        <v>95</v>
      </c>
      <c r="C266" s="1" t="s">
        <v>104</v>
      </c>
      <c r="D266" s="1" t="s">
        <v>101</v>
      </c>
      <c r="E266" s="1" t="s">
        <v>144</v>
      </c>
      <c r="F266" s="1" t="s">
        <v>151</v>
      </c>
      <c r="G266" s="1">
        <v>80</v>
      </c>
      <c r="H266" s="1">
        <v>23</v>
      </c>
      <c r="I266" s="1"/>
      <c r="J266" s="1" t="s">
        <v>103</v>
      </c>
    </row>
    <row r="267" spans="1:10" x14ac:dyDescent="0.3">
      <c r="A267" s="5">
        <v>45729</v>
      </c>
      <c r="B267" s="1" t="s">
        <v>95</v>
      </c>
      <c r="C267" s="1" t="s">
        <v>104</v>
      </c>
      <c r="D267" s="1" t="s">
        <v>97</v>
      </c>
      <c r="E267" s="1" t="s">
        <v>146</v>
      </c>
      <c r="F267" s="1" t="s">
        <v>151</v>
      </c>
      <c r="G267" s="1">
        <v>70</v>
      </c>
      <c r="H267" s="1">
        <v>18</v>
      </c>
      <c r="I267" s="1"/>
      <c r="J267" s="1" t="s">
        <v>103</v>
      </c>
    </row>
    <row r="268" spans="1:10" x14ac:dyDescent="0.3">
      <c r="A268" s="5">
        <v>45729</v>
      </c>
      <c r="B268" s="1" t="s">
        <v>95</v>
      </c>
      <c r="C268" s="1" t="s">
        <v>104</v>
      </c>
      <c r="D268" s="1" t="s">
        <v>101</v>
      </c>
      <c r="E268" s="1" t="s">
        <v>146</v>
      </c>
      <c r="F268" s="1" t="s">
        <v>151</v>
      </c>
      <c r="G268" s="1">
        <v>86</v>
      </c>
      <c r="H268" s="1">
        <v>21</v>
      </c>
      <c r="I268" s="1"/>
      <c r="J268" s="1" t="s">
        <v>107</v>
      </c>
    </row>
    <row r="269" spans="1:10" x14ac:dyDescent="0.3">
      <c r="A269" s="5">
        <v>45729</v>
      </c>
      <c r="B269" s="1" t="s">
        <v>95</v>
      </c>
      <c r="C269" s="1" t="s">
        <v>104</v>
      </c>
      <c r="D269" s="1" t="s">
        <v>99</v>
      </c>
      <c r="E269" s="1" t="s">
        <v>144</v>
      </c>
      <c r="F269" s="1" t="s">
        <v>151</v>
      </c>
      <c r="G269" s="1">
        <v>82</v>
      </c>
      <c r="H269" s="1">
        <v>17</v>
      </c>
      <c r="I269" s="1"/>
      <c r="J269" s="1" t="s">
        <v>103</v>
      </c>
    </row>
    <row r="270" spans="1:10" x14ac:dyDescent="0.3">
      <c r="A270" s="5">
        <v>45729</v>
      </c>
      <c r="B270" s="1" t="s">
        <v>100</v>
      </c>
      <c r="C270" s="1" t="s">
        <v>104</v>
      </c>
      <c r="D270" s="1" t="s">
        <v>97</v>
      </c>
      <c r="E270" s="1" t="s">
        <v>147</v>
      </c>
      <c r="F270" s="1" t="s">
        <v>151</v>
      </c>
      <c r="G270" s="1">
        <v>98</v>
      </c>
      <c r="H270" s="1">
        <v>23</v>
      </c>
      <c r="I270" s="1"/>
      <c r="J270" s="1" t="s">
        <v>102</v>
      </c>
    </row>
    <row r="271" spans="1:10" x14ac:dyDescent="0.3">
      <c r="A271" s="5">
        <v>45729</v>
      </c>
      <c r="B271" s="1" t="s">
        <v>100</v>
      </c>
      <c r="C271" s="1" t="s">
        <v>104</v>
      </c>
      <c r="D271" s="1" t="s">
        <v>109</v>
      </c>
      <c r="E271" s="1" t="s">
        <v>144</v>
      </c>
      <c r="F271" s="1" t="s">
        <v>151</v>
      </c>
      <c r="G271" s="1">
        <v>91</v>
      </c>
      <c r="H271" s="1">
        <v>20</v>
      </c>
      <c r="I271" s="1"/>
      <c r="J271" s="1" t="s">
        <v>102</v>
      </c>
    </row>
    <row r="272" spans="1:10" x14ac:dyDescent="0.3">
      <c r="A272" s="5">
        <v>45729</v>
      </c>
      <c r="B272" s="1" t="s">
        <v>100</v>
      </c>
      <c r="C272" s="1" t="s">
        <v>104</v>
      </c>
      <c r="D272" s="1" t="s">
        <v>99</v>
      </c>
      <c r="E272" s="1" t="s">
        <v>147</v>
      </c>
      <c r="F272" s="1" t="s">
        <v>151</v>
      </c>
      <c r="G272" s="1">
        <v>99</v>
      </c>
      <c r="H272" s="1">
        <v>20</v>
      </c>
      <c r="I272" s="1"/>
      <c r="J272" s="1" t="s">
        <v>102</v>
      </c>
    </row>
    <row r="273" spans="1:10" x14ac:dyDescent="0.3">
      <c r="A273" s="5">
        <v>45729</v>
      </c>
      <c r="B273" s="1" t="s">
        <v>100</v>
      </c>
      <c r="C273" s="1" t="s">
        <v>104</v>
      </c>
      <c r="D273" s="1" t="s">
        <v>97</v>
      </c>
      <c r="E273" s="1" t="s">
        <v>144</v>
      </c>
      <c r="F273" s="1" t="s">
        <v>151</v>
      </c>
      <c r="G273" s="1">
        <v>70</v>
      </c>
      <c r="H273" s="1">
        <v>20</v>
      </c>
      <c r="I273" s="1"/>
      <c r="J273" s="1" t="s">
        <v>102</v>
      </c>
    </row>
    <row r="274" spans="1:10" x14ac:dyDescent="0.3">
      <c r="A274" s="5">
        <v>45835</v>
      </c>
      <c r="B274" s="1" t="s">
        <v>95</v>
      </c>
      <c r="C274" s="1" t="s">
        <v>96</v>
      </c>
      <c r="D274" s="1" t="s">
        <v>99</v>
      </c>
      <c r="E274" s="1" t="s">
        <v>146</v>
      </c>
      <c r="F274" s="1" t="s">
        <v>151</v>
      </c>
      <c r="G274" s="1">
        <v>220</v>
      </c>
      <c r="H274" s="1">
        <v>39</v>
      </c>
      <c r="I274" s="1">
        <v>9</v>
      </c>
      <c r="J274" s="1"/>
    </row>
    <row r="275" spans="1:10" x14ac:dyDescent="0.3">
      <c r="A275" s="5">
        <v>45835</v>
      </c>
      <c r="B275" s="1" t="s">
        <v>95</v>
      </c>
      <c r="C275" s="1" t="s">
        <v>96</v>
      </c>
      <c r="D275" s="1" t="s">
        <v>97</v>
      </c>
      <c r="E275" s="1" t="s">
        <v>146</v>
      </c>
      <c r="F275" s="1" t="s">
        <v>151</v>
      </c>
      <c r="G275" s="1">
        <v>233</v>
      </c>
      <c r="H275" s="1">
        <v>43</v>
      </c>
      <c r="I275" s="1">
        <v>9.1999999999999993</v>
      </c>
      <c r="J275" s="1"/>
    </row>
    <row r="276" spans="1:10" x14ac:dyDescent="0.3">
      <c r="A276" s="5">
        <v>45835</v>
      </c>
      <c r="B276" s="1" t="s">
        <v>95</v>
      </c>
      <c r="C276" s="1" t="s">
        <v>96</v>
      </c>
      <c r="D276" s="1" t="s">
        <v>101</v>
      </c>
      <c r="E276" s="1" t="s">
        <v>146</v>
      </c>
      <c r="F276" s="1" t="s">
        <v>151</v>
      </c>
      <c r="G276" s="1">
        <v>228</v>
      </c>
      <c r="H276" s="1">
        <v>40</v>
      </c>
      <c r="I276" s="1">
        <v>5.8</v>
      </c>
      <c r="J276" s="1"/>
    </row>
    <row r="277" spans="1:10" x14ac:dyDescent="0.3">
      <c r="A277" s="5">
        <v>45835</v>
      </c>
      <c r="B277" s="1" t="s">
        <v>95</v>
      </c>
      <c r="C277" s="1" t="s">
        <v>96</v>
      </c>
      <c r="D277" s="1" t="s">
        <v>109</v>
      </c>
      <c r="E277" s="1" t="s">
        <v>146</v>
      </c>
      <c r="F277" s="1" t="s">
        <v>151</v>
      </c>
      <c r="G277" s="1">
        <v>225</v>
      </c>
      <c r="H277" s="1">
        <v>46</v>
      </c>
      <c r="I277" s="1">
        <v>8.8000000000000007</v>
      </c>
      <c r="J277" s="1"/>
    </row>
    <row r="278" spans="1:10" x14ac:dyDescent="0.3">
      <c r="A278" s="5">
        <v>45835</v>
      </c>
      <c r="B278" s="1" t="s">
        <v>95</v>
      </c>
      <c r="C278" s="1" t="s">
        <v>96</v>
      </c>
      <c r="D278" s="1" t="s">
        <v>109</v>
      </c>
      <c r="E278" s="1" t="s">
        <v>144</v>
      </c>
      <c r="F278" s="1" t="s">
        <v>151</v>
      </c>
      <c r="G278" s="1">
        <v>260</v>
      </c>
      <c r="H278" s="1">
        <v>49</v>
      </c>
      <c r="I278" s="1">
        <v>8.8000000000000007</v>
      </c>
      <c r="J278" s="1"/>
    </row>
    <row r="279" spans="1:10" x14ac:dyDescent="0.3">
      <c r="A279" s="5">
        <v>45835</v>
      </c>
      <c r="B279" s="1" t="s">
        <v>95</v>
      </c>
      <c r="C279" s="1" t="s">
        <v>96</v>
      </c>
      <c r="D279" s="1" t="s">
        <v>101</v>
      </c>
      <c r="E279" s="1" t="s">
        <v>144</v>
      </c>
      <c r="F279" s="1" t="s">
        <v>151</v>
      </c>
      <c r="G279" s="1">
        <v>215</v>
      </c>
      <c r="H279" s="1">
        <v>40</v>
      </c>
      <c r="I279" s="1">
        <v>7</v>
      </c>
      <c r="J279" s="1"/>
    </row>
    <row r="280" spans="1:10" x14ac:dyDescent="0.3">
      <c r="A280" s="5">
        <v>45835</v>
      </c>
      <c r="B280" s="1" t="s">
        <v>100</v>
      </c>
      <c r="C280" s="1" t="s">
        <v>96</v>
      </c>
      <c r="D280" s="1" t="s">
        <v>101</v>
      </c>
      <c r="E280" s="1" t="s">
        <v>147</v>
      </c>
      <c r="F280" s="1" t="s">
        <v>151</v>
      </c>
      <c r="G280" s="1">
        <v>272</v>
      </c>
      <c r="H280" s="1">
        <v>48</v>
      </c>
      <c r="I280" s="1">
        <v>0.38055555555555548</v>
      </c>
      <c r="J280" s="1"/>
    </row>
    <row r="281" spans="1:10" x14ac:dyDescent="0.3">
      <c r="A281" s="5">
        <v>45835</v>
      </c>
      <c r="B281" s="1" t="s">
        <v>100</v>
      </c>
      <c r="C281" s="1"/>
      <c r="D281" s="1" t="s">
        <v>109</v>
      </c>
      <c r="E281" s="1" t="s">
        <v>147</v>
      </c>
      <c r="F281" s="1" t="s">
        <v>151</v>
      </c>
      <c r="G281" s="1">
        <v>232</v>
      </c>
      <c r="H281" s="1">
        <v>44</v>
      </c>
      <c r="I281" s="1">
        <v>9</v>
      </c>
      <c r="J281" s="1"/>
    </row>
    <row r="282" spans="1:10" x14ac:dyDescent="0.3">
      <c r="A282" s="5">
        <v>45835</v>
      </c>
      <c r="B282" s="1" t="s">
        <v>100</v>
      </c>
      <c r="C282" s="1" t="s">
        <v>96</v>
      </c>
      <c r="D282" s="1" t="s">
        <v>99</v>
      </c>
      <c r="E282" s="1" t="s">
        <v>144</v>
      </c>
      <c r="F282" s="1" t="s">
        <v>151</v>
      </c>
      <c r="G282" s="1">
        <v>242</v>
      </c>
      <c r="H282" s="1">
        <v>46</v>
      </c>
      <c r="I282" s="1">
        <v>8</v>
      </c>
      <c r="J282" s="1"/>
    </row>
    <row r="283" spans="1:10" x14ac:dyDescent="0.3">
      <c r="A283" s="5">
        <v>45835</v>
      </c>
      <c r="B283" s="1" t="s">
        <v>100</v>
      </c>
      <c r="C283" s="1" t="s">
        <v>96</v>
      </c>
      <c r="D283" s="1" t="s">
        <v>97</v>
      </c>
      <c r="E283" s="1" t="s">
        <v>144</v>
      </c>
      <c r="F283" s="1" t="s">
        <v>151</v>
      </c>
      <c r="G283" s="1">
        <v>270</v>
      </c>
      <c r="H283" s="1">
        <v>52</v>
      </c>
      <c r="I283" s="1">
        <v>0.38055555555555548</v>
      </c>
      <c r="J283" s="1"/>
    </row>
    <row r="284" spans="1:10" x14ac:dyDescent="0.3">
      <c r="A284" s="5">
        <v>45835</v>
      </c>
      <c r="B284" s="1" t="s">
        <v>100</v>
      </c>
      <c r="C284" s="1" t="s">
        <v>96</v>
      </c>
      <c r="D284" s="1" t="s">
        <v>99</v>
      </c>
      <c r="E284" s="1" t="s">
        <v>147</v>
      </c>
      <c r="F284" s="1" t="s">
        <v>151</v>
      </c>
      <c r="G284" s="1">
        <v>262</v>
      </c>
      <c r="H284" s="1">
        <v>44</v>
      </c>
      <c r="I284" s="1">
        <v>9</v>
      </c>
      <c r="J284" s="1"/>
    </row>
    <row r="285" spans="1:10" x14ac:dyDescent="0.3">
      <c r="A285" s="5">
        <v>45835</v>
      </c>
      <c r="B285" s="1" t="s">
        <v>100</v>
      </c>
      <c r="C285" s="1" t="s">
        <v>96</v>
      </c>
      <c r="D285" s="1" t="s">
        <v>97</v>
      </c>
      <c r="E285" s="1" t="s">
        <v>147</v>
      </c>
      <c r="F285" s="1" t="s">
        <v>151</v>
      </c>
      <c r="G285" s="1">
        <v>193</v>
      </c>
      <c r="H285" s="1">
        <v>35</v>
      </c>
      <c r="I285" s="1">
        <v>9</v>
      </c>
      <c r="J285" s="1" t="s">
        <v>113</v>
      </c>
    </row>
    <row r="286" spans="1:10" x14ac:dyDescent="0.3">
      <c r="A286" s="5">
        <v>45834</v>
      </c>
      <c r="B286" s="1" t="s">
        <v>114</v>
      </c>
      <c r="C286" s="1" t="s">
        <v>104</v>
      </c>
      <c r="D286" s="1" t="s">
        <v>101</v>
      </c>
      <c r="E286" s="1" t="s">
        <v>146</v>
      </c>
      <c r="F286" s="1" t="s">
        <v>151</v>
      </c>
      <c r="G286" s="1">
        <v>197</v>
      </c>
      <c r="H286" s="1">
        <v>36</v>
      </c>
      <c r="I286" s="1">
        <v>8</v>
      </c>
      <c r="J286" s="1"/>
    </row>
    <row r="287" spans="1:10" x14ac:dyDescent="0.3">
      <c r="A287" s="5">
        <v>45834</v>
      </c>
      <c r="B287" s="1" t="s">
        <v>114</v>
      </c>
      <c r="C287" s="1" t="s">
        <v>104</v>
      </c>
      <c r="D287" s="1" t="s">
        <v>97</v>
      </c>
      <c r="E287" s="1" t="s">
        <v>146</v>
      </c>
      <c r="F287" s="1" t="s">
        <v>151</v>
      </c>
      <c r="G287" s="1">
        <v>206</v>
      </c>
      <c r="H287" s="1">
        <v>35</v>
      </c>
      <c r="I287" s="1">
        <v>7</v>
      </c>
      <c r="J287" s="1"/>
    </row>
    <row r="288" spans="1:10" x14ac:dyDescent="0.3">
      <c r="A288" s="5">
        <v>45834</v>
      </c>
      <c r="B288" s="1" t="s">
        <v>95</v>
      </c>
      <c r="C288" s="1" t="s">
        <v>104</v>
      </c>
      <c r="D288" s="1" t="s">
        <v>99</v>
      </c>
      <c r="E288" s="1" t="s">
        <v>147</v>
      </c>
      <c r="F288" s="1" t="s">
        <v>151</v>
      </c>
      <c r="G288" s="1">
        <v>200</v>
      </c>
      <c r="H288" s="1">
        <v>33</v>
      </c>
      <c r="I288" s="1">
        <v>5</v>
      </c>
      <c r="J288" s="1"/>
    </row>
    <row r="289" spans="1:10" x14ac:dyDescent="0.3">
      <c r="A289" s="5">
        <v>45834</v>
      </c>
      <c r="B289" s="1" t="s">
        <v>95</v>
      </c>
      <c r="C289" s="1" t="s">
        <v>104</v>
      </c>
      <c r="D289" s="1" t="s">
        <v>97</v>
      </c>
      <c r="E289" s="1" t="s">
        <v>144</v>
      </c>
      <c r="F289" s="1" t="s">
        <v>151</v>
      </c>
      <c r="G289" s="1">
        <v>230</v>
      </c>
      <c r="H289" s="1">
        <v>38</v>
      </c>
      <c r="I289" s="1">
        <v>9</v>
      </c>
      <c r="J289" s="1"/>
    </row>
    <row r="290" spans="1:10" x14ac:dyDescent="0.3">
      <c r="A290" s="5">
        <v>45834</v>
      </c>
      <c r="B290" s="1" t="s">
        <v>95</v>
      </c>
      <c r="C290" s="1" t="s">
        <v>104</v>
      </c>
      <c r="D290" s="1" t="s">
        <v>109</v>
      </c>
      <c r="E290" s="1" t="s">
        <v>146</v>
      </c>
      <c r="F290" s="1" t="s">
        <v>151</v>
      </c>
      <c r="G290" s="1">
        <v>220</v>
      </c>
      <c r="H290" s="1">
        <v>41</v>
      </c>
      <c r="I290" s="1">
        <v>8</v>
      </c>
      <c r="J290" s="1"/>
    </row>
    <row r="291" spans="1:10" x14ac:dyDescent="0.3">
      <c r="A291" s="5">
        <v>45834</v>
      </c>
      <c r="B291" s="1" t="s">
        <v>95</v>
      </c>
      <c r="C291" s="1" t="s">
        <v>104</v>
      </c>
      <c r="D291" s="1" t="s">
        <v>99</v>
      </c>
      <c r="E291" s="1" t="s">
        <v>146</v>
      </c>
      <c r="F291" s="1" t="s">
        <v>151</v>
      </c>
      <c r="G291" s="1">
        <v>240</v>
      </c>
      <c r="H291" s="1">
        <v>40</v>
      </c>
      <c r="I291" s="1">
        <v>8</v>
      </c>
      <c r="J291" s="1"/>
    </row>
    <row r="292" spans="1:10" x14ac:dyDescent="0.3">
      <c r="A292" s="5">
        <v>45834</v>
      </c>
      <c r="B292" s="1" t="s">
        <v>95</v>
      </c>
      <c r="C292" s="1" t="s">
        <v>104</v>
      </c>
      <c r="D292" s="1" t="s">
        <v>101</v>
      </c>
      <c r="E292" s="1" t="s">
        <v>147</v>
      </c>
      <c r="F292" s="1" t="s">
        <v>151</v>
      </c>
      <c r="G292" s="1">
        <v>260</v>
      </c>
      <c r="H292" s="1">
        <v>45</v>
      </c>
      <c r="I292" s="1">
        <v>9</v>
      </c>
      <c r="J292" s="1"/>
    </row>
    <row r="293" spans="1:10" x14ac:dyDescent="0.3">
      <c r="A293" s="5">
        <v>45834</v>
      </c>
      <c r="B293" s="1" t="s">
        <v>100</v>
      </c>
      <c r="C293" s="1" t="s">
        <v>104</v>
      </c>
      <c r="D293" s="1" t="s">
        <v>109</v>
      </c>
      <c r="E293" s="1" t="s">
        <v>144</v>
      </c>
      <c r="F293" s="1" t="s">
        <v>151</v>
      </c>
      <c r="G293" s="1">
        <v>112</v>
      </c>
      <c r="H293" s="1">
        <v>36</v>
      </c>
      <c r="I293" s="1">
        <v>9</v>
      </c>
      <c r="J293" s="1" t="s">
        <v>113</v>
      </c>
    </row>
    <row r="294" spans="1:10" x14ac:dyDescent="0.3">
      <c r="A294" s="5">
        <v>45834</v>
      </c>
      <c r="B294" s="1" t="s">
        <v>100</v>
      </c>
      <c r="C294" s="1" t="s">
        <v>104</v>
      </c>
      <c r="D294" s="1" t="s">
        <v>99</v>
      </c>
      <c r="E294" s="1" t="s">
        <v>144</v>
      </c>
      <c r="F294" s="1" t="s">
        <v>151</v>
      </c>
      <c r="G294" s="1">
        <v>260</v>
      </c>
      <c r="H294" s="1">
        <v>44</v>
      </c>
      <c r="I294" s="1">
        <v>7</v>
      </c>
      <c r="J294" s="1" t="s">
        <v>113</v>
      </c>
    </row>
    <row r="295" spans="1:10" x14ac:dyDescent="0.3">
      <c r="A295" s="5">
        <v>45834</v>
      </c>
      <c r="B295" s="1" t="s">
        <v>100</v>
      </c>
      <c r="C295" s="1" t="s">
        <v>104</v>
      </c>
      <c r="D295" s="1" t="s">
        <v>101</v>
      </c>
      <c r="E295" s="1" t="s">
        <v>144</v>
      </c>
      <c r="F295" s="1" t="s">
        <v>151</v>
      </c>
      <c r="G295" s="1">
        <v>245</v>
      </c>
      <c r="H295" s="1">
        <v>41</v>
      </c>
      <c r="I295" s="1">
        <v>0.3347222222222222</v>
      </c>
      <c r="J295" s="1" t="s">
        <v>113</v>
      </c>
    </row>
    <row r="296" spans="1:10" x14ac:dyDescent="0.3">
      <c r="A296" s="5">
        <v>45834</v>
      </c>
      <c r="B296" s="1" t="s">
        <v>100</v>
      </c>
      <c r="C296" s="1" t="s">
        <v>104</v>
      </c>
      <c r="D296" s="1" t="s">
        <v>97</v>
      </c>
      <c r="E296" s="1" t="s">
        <v>147</v>
      </c>
      <c r="F296" s="1" t="s">
        <v>151</v>
      </c>
      <c r="G296" s="1">
        <v>210</v>
      </c>
      <c r="H296" s="1">
        <v>42</v>
      </c>
      <c r="I296" s="1">
        <v>9</v>
      </c>
      <c r="J296" s="1" t="s">
        <v>113</v>
      </c>
    </row>
    <row r="297" spans="1:10" x14ac:dyDescent="0.3">
      <c r="A297" s="5">
        <v>45834</v>
      </c>
      <c r="B297" s="1" t="s">
        <v>100</v>
      </c>
      <c r="C297" s="1" t="s">
        <v>104</v>
      </c>
      <c r="D297" s="1" t="s">
        <v>109</v>
      </c>
      <c r="E297" s="1" t="s">
        <v>147</v>
      </c>
      <c r="F297" s="1" t="s">
        <v>151</v>
      </c>
      <c r="G297" s="1">
        <v>240</v>
      </c>
      <c r="H297" s="1">
        <v>45</v>
      </c>
      <c r="I297" s="1">
        <v>9</v>
      </c>
      <c r="J297" s="1" t="s">
        <v>113</v>
      </c>
    </row>
    <row r="298" spans="1:10" x14ac:dyDescent="0.3">
      <c r="A298" s="5">
        <v>45930</v>
      </c>
      <c r="B298" s="1" t="s">
        <v>100</v>
      </c>
      <c r="C298" s="1" t="s">
        <v>96</v>
      </c>
      <c r="D298" s="1" t="s">
        <v>109</v>
      </c>
      <c r="E298" s="1" t="s">
        <v>144</v>
      </c>
      <c r="F298" s="1" t="s">
        <v>151</v>
      </c>
      <c r="G298" s="1">
        <v>340</v>
      </c>
      <c r="H298" s="1">
        <v>66</v>
      </c>
      <c r="I298" s="1">
        <v>12</v>
      </c>
      <c r="J298" s="1"/>
    </row>
    <row r="299" spans="1:10" x14ac:dyDescent="0.3">
      <c r="A299" s="5">
        <v>45930</v>
      </c>
      <c r="B299" s="1" t="s">
        <v>100</v>
      </c>
      <c r="C299" s="1" t="s">
        <v>96</v>
      </c>
      <c r="D299" s="1" t="s">
        <v>97</v>
      </c>
      <c r="E299" s="1" t="s">
        <v>147</v>
      </c>
      <c r="F299" s="1" t="s">
        <v>151</v>
      </c>
      <c r="G299" s="1">
        <v>264</v>
      </c>
      <c r="H299" s="1">
        <v>47</v>
      </c>
      <c r="I299" s="1">
        <v>8</v>
      </c>
      <c r="J299" s="1"/>
    </row>
    <row r="300" spans="1:10" x14ac:dyDescent="0.3">
      <c r="A300" s="5">
        <v>45925</v>
      </c>
      <c r="B300" s="1" t="s">
        <v>100</v>
      </c>
      <c r="C300" s="1" t="s">
        <v>104</v>
      </c>
      <c r="D300" s="1" t="s">
        <v>101</v>
      </c>
      <c r="E300" s="1" t="s">
        <v>147</v>
      </c>
      <c r="F300" s="1" t="s">
        <v>151</v>
      </c>
      <c r="G300" s="1">
        <v>334</v>
      </c>
      <c r="H300" s="1">
        <v>69</v>
      </c>
      <c r="I300" s="1">
        <v>14</v>
      </c>
      <c r="J300" s="1"/>
    </row>
    <row r="301" spans="1:10" x14ac:dyDescent="0.3">
      <c r="A301" s="5">
        <v>45925</v>
      </c>
      <c r="B301" s="1" t="s">
        <v>100</v>
      </c>
      <c r="C301" s="1" t="s">
        <v>104</v>
      </c>
      <c r="D301" s="1" t="s">
        <v>97</v>
      </c>
      <c r="E301" s="1" t="s">
        <v>146</v>
      </c>
      <c r="F301" s="1" t="s">
        <v>151</v>
      </c>
      <c r="G301" s="1">
        <v>280</v>
      </c>
      <c r="H301" s="1">
        <v>56</v>
      </c>
      <c r="I301" s="1">
        <v>14</v>
      </c>
      <c r="J301" s="1"/>
    </row>
    <row r="302" spans="1:10" x14ac:dyDescent="0.3">
      <c r="A302" s="5">
        <v>45925</v>
      </c>
      <c r="B302" s="1" t="s">
        <v>100</v>
      </c>
      <c r="C302" s="1" t="s">
        <v>104</v>
      </c>
      <c r="D302" s="1" t="s">
        <v>101</v>
      </c>
      <c r="E302" s="1" t="s">
        <v>146</v>
      </c>
      <c r="F302" s="1" t="s">
        <v>151</v>
      </c>
      <c r="G302" s="1">
        <v>323</v>
      </c>
      <c r="H302" s="1">
        <v>56</v>
      </c>
      <c r="I302" s="1">
        <v>14</v>
      </c>
      <c r="J302" s="1"/>
    </row>
    <row r="303" spans="1:10" x14ac:dyDescent="0.3">
      <c r="A303" s="5">
        <v>45925</v>
      </c>
      <c r="B303" s="1" t="s">
        <v>95</v>
      </c>
      <c r="C303" s="1" t="s">
        <v>104</v>
      </c>
      <c r="D303" s="1" t="s">
        <v>99</v>
      </c>
      <c r="E303" s="1" t="s">
        <v>146</v>
      </c>
      <c r="F303" s="1" t="s">
        <v>151</v>
      </c>
      <c r="G303" s="1">
        <v>304</v>
      </c>
      <c r="H303" s="1">
        <v>58</v>
      </c>
      <c r="I303" s="1">
        <v>11</v>
      </c>
      <c r="J303" s="1"/>
    </row>
    <row r="304" spans="1:10" x14ac:dyDescent="0.3">
      <c r="A304" s="5">
        <v>45925</v>
      </c>
      <c r="B304" s="1" t="s">
        <v>95</v>
      </c>
      <c r="C304" s="1" t="s">
        <v>104</v>
      </c>
      <c r="D304" s="1" t="s">
        <v>109</v>
      </c>
      <c r="E304" s="1" t="s">
        <v>147</v>
      </c>
      <c r="F304" s="1" t="s">
        <v>151</v>
      </c>
      <c r="G304" s="1">
        <v>313</v>
      </c>
      <c r="H304" s="1">
        <v>57</v>
      </c>
      <c r="I304" s="1">
        <v>13</v>
      </c>
      <c r="J304" s="1"/>
    </row>
    <row r="305" spans="1:10" x14ac:dyDescent="0.3">
      <c r="A305" s="5">
        <v>45925</v>
      </c>
      <c r="B305" s="1" t="s">
        <v>95</v>
      </c>
      <c r="C305" s="1" t="s">
        <v>104</v>
      </c>
      <c r="D305" s="1" t="s">
        <v>97</v>
      </c>
      <c r="E305" s="1" t="s">
        <v>144</v>
      </c>
      <c r="F305" s="1" t="s">
        <v>151</v>
      </c>
      <c r="G305" s="1">
        <v>290</v>
      </c>
      <c r="H305" s="1">
        <v>53</v>
      </c>
      <c r="I305" s="1">
        <v>12</v>
      </c>
      <c r="J305" s="1"/>
    </row>
    <row r="306" spans="1:10" x14ac:dyDescent="0.3">
      <c r="A306" s="5">
        <v>45923</v>
      </c>
      <c r="B306" s="1" t="s">
        <v>100</v>
      </c>
      <c r="C306" s="1" t="s">
        <v>104</v>
      </c>
      <c r="D306" s="1" t="s">
        <v>101</v>
      </c>
      <c r="E306" s="1" t="s">
        <v>144</v>
      </c>
      <c r="F306" s="1" t="s">
        <v>151</v>
      </c>
      <c r="G306" s="1">
        <v>308</v>
      </c>
      <c r="H306" s="1">
        <v>52</v>
      </c>
      <c r="I306" s="1">
        <v>14</v>
      </c>
      <c r="J306" s="1"/>
    </row>
    <row r="307" spans="1:10" x14ac:dyDescent="0.3">
      <c r="A307" s="5">
        <v>45923</v>
      </c>
      <c r="B307" s="1" t="s">
        <v>100</v>
      </c>
      <c r="C307" s="1" t="s">
        <v>104</v>
      </c>
      <c r="D307" s="1" t="s">
        <v>109</v>
      </c>
      <c r="E307" s="1" t="s">
        <v>144</v>
      </c>
      <c r="F307" s="1" t="s">
        <v>151</v>
      </c>
      <c r="G307" s="1">
        <v>303</v>
      </c>
      <c r="H307" s="1">
        <v>52</v>
      </c>
      <c r="I307" s="1">
        <v>13</v>
      </c>
      <c r="J307" s="1"/>
    </row>
    <row r="308" spans="1:10" x14ac:dyDescent="0.3">
      <c r="A308" s="5">
        <v>45923</v>
      </c>
      <c r="B308" s="1" t="s">
        <v>100</v>
      </c>
      <c r="C308" s="1" t="s">
        <v>104</v>
      </c>
      <c r="D308" s="1" t="s">
        <v>109</v>
      </c>
      <c r="E308" s="1" t="s">
        <v>146</v>
      </c>
      <c r="F308" s="1" t="s">
        <v>151</v>
      </c>
      <c r="G308" s="1">
        <v>318</v>
      </c>
      <c r="H308" s="1">
        <v>64</v>
      </c>
      <c r="I308" s="1">
        <v>12</v>
      </c>
      <c r="J308" s="1" t="s">
        <v>113</v>
      </c>
    </row>
    <row r="309" spans="1:10" x14ac:dyDescent="0.3">
      <c r="A309" s="5">
        <v>45923</v>
      </c>
      <c r="B309" s="1" t="s">
        <v>95</v>
      </c>
      <c r="C309" s="1" t="s">
        <v>104</v>
      </c>
      <c r="D309" s="1" t="s">
        <v>97</v>
      </c>
      <c r="E309" s="1" t="s">
        <v>147</v>
      </c>
      <c r="F309" s="1" t="s">
        <v>151</v>
      </c>
      <c r="G309" s="1">
        <v>337</v>
      </c>
      <c r="H309" s="1">
        <v>60</v>
      </c>
      <c r="I309" s="1">
        <v>13</v>
      </c>
      <c r="J309" s="1"/>
    </row>
    <row r="310" spans="1:10" x14ac:dyDescent="0.3">
      <c r="A310" s="5">
        <v>45923</v>
      </c>
      <c r="B310" s="1" t="s">
        <v>95</v>
      </c>
      <c r="C310" s="1" t="s">
        <v>104</v>
      </c>
      <c r="D310" s="1" t="s">
        <v>99</v>
      </c>
      <c r="E310" s="1" t="s">
        <v>147</v>
      </c>
      <c r="F310" s="1" t="s">
        <v>151</v>
      </c>
      <c r="G310" s="1">
        <v>360</v>
      </c>
      <c r="H310" s="1">
        <v>58</v>
      </c>
      <c r="I310" s="1">
        <v>11</v>
      </c>
      <c r="J310" s="1"/>
    </row>
    <row r="311" spans="1:10" x14ac:dyDescent="0.3">
      <c r="A311" s="5">
        <v>45923</v>
      </c>
      <c r="B311" s="1" t="s">
        <v>95</v>
      </c>
      <c r="C311" s="1" t="s">
        <v>104</v>
      </c>
      <c r="D311" s="1" t="s">
        <v>99</v>
      </c>
      <c r="E311" s="1" t="s">
        <v>144</v>
      </c>
      <c r="F311" s="1" t="s">
        <v>151</v>
      </c>
      <c r="G311" s="1">
        <v>320</v>
      </c>
      <c r="H311" s="1">
        <v>57</v>
      </c>
      <c r="I311" s="1">
        <v>10</v>
      </c>
      <c r="J311" s="1"/>
    </row>
    <row r="312" spans="1:10" x14ac:dyDescent="0.3">
      <c r="A312" s="5">
        <v>45933</v>
      </c>
      <c r="B312" s="1" t="s">
        <v>100</v>
      </c>
      <c r="C312" s="1" t="s">
        <v>96</v>
      </c>
      <c r="D312" s="1" t="s">
        <v>109</v>
      </c>
      <c r="E312" s="1" t="s">
        <v>147</v>
      </c>
      <c r="F312" s="1" t="s">
        <v>151</v>
      </c>
      <c r="G312" s="1">
        <v>305</v>
      </c>
      <c r="H312" s="1">
        <v>58</v>
      </c>
      <c r="I312" s="1">
        <v>12</v>
      </c>
      <c r="J312" s="1"/>
    </row>
    <row r="313" spans="1:10" x14ac:dyDescent="0.3">
      <c r="A313" s="5">
        <v>45933</v>
      </c>
      <c r="B313" s="1" t="s">
        <v>100</v>
      </c>
      <c r="C313" s="1" t="s">
        <v>96</v>
      </c>
      <c r="D313" s="1" t="s">
        <v>97</v>
      </c>
      <c r="E313" s="1" t="s">
        <v>146</v>
      </c>
      <c r="F313" s="1" t="s">
        <v>151</v>
      </c>
      <c r="G313" s="1">
        <v>313</v>
      </c>
      <c r="H313" s="1">
        <v>58</v>
      </c>
      <c r="I313" s="1">
        <v>13</v>
      </c>
      <c r="J313" s="1"/>
    </row>
    <row r="314" spans="1:10" x14ac:dyDescent="0.3">
      <c r="A314" s="5">
        <v>45932</v>
      </c>
      <c r="B314" s="1" t="s">
        <v>100</v>
      </c>
      <c r="C314" s="1" t="s">
        <v>96</v>
      </c>
      <c r="D314" s="1" t="s">
        <v>101</v>
      </c>
      <c r="E314" s="1" t="s">
        <v>147</v>
      </c>
      <c r="F314" s="1" t="s">
        <v>151</v>
      </c>
      <c r="G314" s="1">
        <v>302</v>
      </c>
      <c r="H314" s="1">
        <v>62</v>
      </c>
      <c r="I314" s="1">
        <v>11</v>
      </c>
      <c r="J314" s="1"/>
    </row>
    <row r="315" spans="1:10" x14ac:dyDescent="0.3">
      <c r="A315" s="5">
        <v>45932</v>
      </c>
      <c r="B315" s="1" t="s">
        <v>100</v>
      </c>
      <c r="C315" s="1" t="s">
        <v>96</v>
      </c>
      <c r="D315" s="1" t="s">
        <v>99</v>
      </c>
      <c r="E315" s="1" t="s">
        <v>146</v>
      </c>
      <c r="F315" s="1" t="s">
        <v>151</v>
      </c>
      <c r="G315" s="1">
        <v>270</v>
      </c>
      <c r="H315" s="1">
        <v>54</v>
      </c>
      <c r="I315" s="1">
        <v>9</v>
      </c>
      <c r="J315" s="1"/>
    </row>
    <row r="316" spans="1:10" x14ac:dyDescent="0.3">
      <c r="A316" s="5">
        <v>45931</v>
      </c>
      <c r="B316" s="1" t="s">
        <v>95</v>
      </c>
      <c r="C316" s="1" t="s">
        <v>96</v>
      </c>
      <c r="D316" s="1" t="s">
        <v>97</v>
      </c>
      <c r="E316" s="1" t="s">
        <v>144</v>
      </c>
      <c r="F316" s="1" t="s">
        <v>151</v>
      </c>
      <c r="G316" s="1">
        <v>285</v>
      </c>
      <c r="H316" s="1">
        <v>55</v>
      </c>
      <c r="I316" s="1">
        <v>9</v>
      </c>
      <c r="J316" s="1"/>
    </row>
    <row r="317" spans="1:10" x14ac:dyDescent="0.3">
      <c r="A317" s="5">
        <v>45931</v>
      </c>
      <c r="B317" s="1" t="s">
        <v>95</v>
      </c>
      <c r="C317" s="1" t="s">
        <v>96</v>
      </c>
      <c r="D317" s="1" t="s">
        <v>99</v>
      </c>
      <c r="E317" s="1" t="s">
        <v>144</v>
      </c>
      <c r="F317" s="1" t="s">
        <v>151</v>
      </c>
      <c r="G317" s="1">
        <v>330</v>
      </c>
      <c r="H317" s="1">
        <v>60</v>
      </c>
      <c r="I317" s="1">
        <v>10</v>
      </c>
      <c r="J317" s="1"/>
    </row>
    <row r="318" spans="1:10" x14ac:dyDescent="0.3">
      <c r="A318" s="5">
        <v>45931</v>
      </c>
      <c r="B318" s="1" t="s">
        <v>95</v>
      </c>
      <c r="C318" s="1" t="s">
        <v>96</v>
      </c>
      <c r="D318" s="1" t="s">
        <v>99</v>
      </c>
      <c r="E318" s="1" t="s">
        <v>147</v>
      </c>
      <c r="F318" s="1" t="s">
        <v>151</v>
      </c>
      <c r="G318" s="1">
        <v>370</v>
      </c>
      <c r="H318" s="1">
        <v>68</v>
      </c>
      <c r="I318" s="1">
        <v>12</v>
      </c>
      <c r="J318" s="1"/>
    </row>
    <row r="319" spans="1:10" x14ac:dyDescent="0.3">
      <c r="A319" s="5">
        <v>45931</v>
      </c>
      <c r="B319" s="1" t="s">
        <v>100</v>
      </c>
      <c r="C319" s="1" t="s">
        <v>96</v>
      </c>
      <c r="D319" s="1" t="s">
        <v>101</v>
      </c>
      <c r="E319" s="1" t="s">
        <v>146</v>
      </c>
      <c r="F319" s="1" t="s">
        <v>151</v>
      </c>
      <c r="G319" s="1">
        <v>325</v>
      </c>
      <c r="H319" s="1">
        <v>63</v>
      </c>
      <c r="I319" s="1">
        <v>10</v>
      </c>
      <c r="J319" s="1"/>
    </row>
    <row r="320" spans="1:10" x14ac:dyDescent="0.3">
      <c r="A320" s="5">
        <v>45931</v>
      </c>
      <c r="B320" s="1" t="s">
        <v>100</v>
      </c>
      <c r="C320" s="1" t="s">
        <v>96</v>
      </c>
      <c r="D320" s="1" t="s">
        <v>109</v>
      </c>
      <c r="E320" s="1" t="s">
        <v>146</v>
      </c>
      <c r="F320" s="1" t="s">
        <v>151</v>
      </c>
      <c r="G320" s="1">
        <v>340</v>
      </c>
      <c r="H320" s="1">
        <v>64</v>
      </c>
      <c r="I320" s="1">
        <v>12</v>
      </c>
      <c r="J320" s="1" t="s">
        <v>122</v>
      </c>
    </row>
    <row r="321" spans="1:10" x14ac:dyDescent="0.3">
      <c r="A321" s="5">
        <v>45931</v>
      </c>
      <c r="B321" s="1" t="s">
        <v>100</v>
      </c>
      <c r="C321" s="1" t="s">
        <v>96</v>
      </c>
      <c r="D321" s="1" t="s">
        <v>101</v>
      </c>
      <c r="E321" s="1" t="s">
        <v>144</v>
      </c>
      <c r="F321" s="1" t="s">
        <v>151</v>
      </c>
      <c r="G321" s="1">
        <v>270</v>
      </c>
      <c r="H321" s="1">
        <v>51</v>
      </c>
      <c r="I321" s="1">
        <v>12</v>
      </c>
      <c r="J321" s="1"/>
    </row>
    <row r="322" spans="1:10" x14ac:dyDescent="0.3">
      <c r="A322" s="5">
        <v>45737</v>
      </c>
      <c r="B322" s="1" t="s">
        <v>95</v>
      </c>
      <c r="C322" s="1" t="s">
        <v>96</v>
      </c>
      <c r="D322" s="1" t="s">
        <v>97</v>
      </c>
      <c r="E322" s="1" t="s">
        <v>144</v>
      </c>
      <c r="F322" s="1" t="s">
        <v>152</v>
      </c>
      <c r="G322" s="1">
        <v>80</v>
      </c>
      <c r="H322" s="1">
        <v>20</v>
      </c>
      <c r="I322" s="1"/>
      <c r="J322" s="1" t="s">
        <v>98</v>
      </c>
    </row>
    <row r="323" spans="1:10" x14ac:dyDescent="0.3">
      <c r="A323" s="5">
        <v>45737</v>
      </c>
      <c r="B323" s="1" t="s">
        <v>95</v>
      </c>
      <c r="C323" s="1" t="s">
        <v>96</v>
      </c>
      <c r="D323" s="1" t="s">
        <v>97</v>
      </c>
      <c r="E323" s="1" t="s">
        <v>146</v>
      </c>
      <c r="F323" s="1" t="s">
        <v>152</v>
      </c>
      <c r="G323" s="1">
        <v>80</v>
      </c>
      <c r="H323" s="1">
        <v>22</v>
      </c>
      <c r="I323" s="1"/>
      <c r="J323" s="1" t="s">
        <v>98</v>
      </c>
    </row>
    <row r="324" spans="1:10" x14ac:dyDescent="0.3">
      <c r="A324" s="5">
        <v>45737</v>
      </c>
      <c r="B324" s="1" t="s">
        <v>95</v>
      </c>
      <c r="C324" s="1" t="s">
        <v>96</v>
      </c>
      <c r="D324" s="1" t="s">
        <v>99</v>
      </c>
      <c r="E324" s="1" t="s">
        <v>144</v>
      </c>
      <c r="F324" s="1" t="s">
        <v>152</v>
      </c>
      <c r="G324" s="1">
        <v>70</v>
      </c>
      <c r="H324" s="1">
        <v>17</v>
      </c>
      <c r="I324" s="1"/>
      <c r="J324" s="1" t="s">
        <v>98</v>
      </c>
    </row>
    <row r="325" spans="1:10" x14ac:dyDescent="0.3">
      <c r="A325" s="5">
        <v>45737</v>
      </c>
      <c r="B325" s="1" t="s">
        <v>95</v>
      </c>
      <c r="C325" s="1" t="s">
        <v>96</v>
      </c>
      <c r="D325" s="1" t="s">
        <v>97</v>
      </c>
      <c r="E325" s="1" t="s">
        <v>147</v>
      </c>
      <c r="F325" s="1" t="s">
        <v>152</v>
      </c>
      <c r="G325" s="1">
        <v>76</v>
      </c>
      <c r="H325" s="1">
        <v>19</v>
      </c>
      <c r="I325" s="1"/>
      <c r="J325" s="1" t="s">
        <v>98</v>
      </c>
    </row>
    <row r="326" spans="1:10" x14ac:dyDescent="0.3">
      <c r="A326" s="5">
        <v>45737</v>
      </c>
      <c r="B326" s="1" t="s">
        <v>100</v>
      </c>
      <c r="C326" s="1" t="s">
        <v>96</v>
      </c>
      <c r="D326" s="1" t="s">
        <v>101</v>
      </c>
      <c r="E326" s="1" t="s">
        <v>146</v>
      </c>
      <c r="F326" s="1" t="s">
        <v>152</v>
      </c>
      <c r="G326" s="1">
        <v>83</v>
      </c>
      <c r="H326" s="1">
        <v>22</v>
      </c>
      <c r="I326" s="1"/>
      <c r="J326" s="1" t="s">
        <v>102</v>
      </c>
    </row>
    <row r="327" spans="1:10" x14ac:dyDescent="0.3">
      <c r="A327" s="5">
        <v>45737</v>
      </c>
      <c r="B327" s="1" t="s">
        <v>100</v>
      </c>
      <c r="C327" s="1" t="s">
        <v>96</v>
      </c>
      <c r="D327" s="1" t="s">
        <v>99</v>
      </c>
      <c r="E327" s="1" t="s">
        <v>146</v>
      </c>
      <c r="F327" s="1" t="s">
        <v>152</v>
      </c>
      <c r="G327" s="1">
        <v>80</v>
      </c>
      <c r="H327" s="1">
        <v>23</v>
      </c>
      <c r="I327" s="1"/>
      <c r="J327" s="1" t="s">
        <v>102</v>
      </c>
    </row>
    <row r="328" spans="1:10" x14ac:dyDescent="0.3">
      <c r="A328" s="5">
        <v>45737</v>
      </c>
      <c r="B328" s="1" t="s">
        <v>100</v>
      </c>
      <c r="C328" s="1" t="s">
        <v>96</v>
      </c>
      <c r="D328" s="1" t="s">
        <v>97</v>
      </c>
      <c r="E328" s="1" t="s">
        <v>146</v>
      </c>
      <c r="F328" s="1" t="s">
        <v>152</v>
      </c>
      <c r="G328" s="1">
        <v>70</v>
      </c>
      <c r="H328" s="1">
        <v>20</v>
      </c>
      <c r="I328" s="1"/>
      <c r="J328" s="1" t="s">
        <v>102</v>
      </c>
    </row>
    <row r="329" spans="1:10" x14ac:dyDescent="0.3">
      <c r="A329" s="5">
        <v>45737</v>
      </c>
      <c r="B329" s="1" t="s">
        <v>100</v>
      </c>
      <c r="C329" s="1" t="s">
        <v>96</v>
      </c>
      <c r="D329" s="1" t="s">
        <v>101</v>
      </c>
      <c r="E329" s="1" t="s">
        <v>144</v>
      </c>
      <c r="F329" s="1" t="s">
        <v>152</v>
      </c>
      <c r="G329" s="1">
        <v>80</v>
      </c>
      <c r="H329" s="1">
        <v>25</v>
      </c>
      <c r="I329" s="1"/>
      <c r="J329" s="1" t="s">
        <v>102</v>
      </c>
    </row>
    <row r="330" spans="1:10" x14ac:dyDescent="0.3">
      <c r="A330" s="5">
        <v>45729</v>
      </c>
      <c r="B330" s="1" t="s">
        <v>95</v>
      </c>
      <c r="C330" s="1" t="s">
        <v>104</v>
      </c>
      <c r="D330" s="1" t="s">
        <v>101</v>
      </c>
      <c r="E330" s="1" t="s">
        <v>144</v>
      </c>
      <c r="F330" s="1" t="s">
        <v>152</v>
      </c>
      <c r="G330" s="1">
        <v>80</v>
      </c>
      <c r="H330" s="1">
        <v>23</v>
      </c>
      <c r="I330" s="1"/>
      <c r="J330" s="1" t="s">
        <v>103</v>
      </c>
    </row>
    <row r="331" spans="1:10" x14ac:dyDescent="0.3">
      <c r="A331" s="5">
        <v>45729</v>
      </c>
      <c r="B331" s="1" t="s">
        <v>95</v>
      </c>
      <c r="C331" s="1" t="s">
        <v>104</v>
      </c>
      <c r="D331" s="1" t="s">
        <v>97</v>
      </c>
      <c r="E331" s="1" t="s">
        <v>146</v>
      </c>
      <c r="F331" s="1" t="s">
        <v>152</v>
      </c>
      <c r="G331" s="1">
        <v>72</v>
      </c>
      <c r="H331" s="1">
        <v>21</v>
      </c>
      <c r="I331" s="1"/>
      <c r="J331" s="1" t="s">
        <v>103</v>
      </c>
    </row>
    <row r="332" spans="1:10" x14ac:dyDescent="0.3">
      <c r="A332" s="5">
        <v>45729</v>
      </c>
      <c r="B332" s="1" t="s">
        <v>95</v>
      </c>
      <c r="C332" s="1" t="s">
        <v>104</v>
      </c>
      <c r="D332" s="1" t="s">
        <v>101</v>
      </c>
      <c r="E332" s="1" t="s">
        <v>146</v>
      </c>
      <c r="F332" s="1" t="s">
        <v>152</v>
      </c>
      <c r="G332" s="1">
        <v>100</v>
      </c>
      <c r="H332" s="1">
        <v>23</v>
      </c>
      <c r="I332" s="1"/>
      <c r="J332" s="1" t="s">
        <v>103</v>
      </c>
    </row>
    <row r="333" spans="1:10" x14ac:dyDescent="0.3">
      <c r="A333" s="5">
        <v>45729</v>
      </c>
      <c r="B333" s="1" t="s">
        <v>95</v>
      </c>
      <c r="C333" s="1" t="s">
        <v>104</v>
      </c>
      <c r="D333" s="1" t="s">
        <v>99</v>
      </c>
      <c r="E333" s="1" t="s">
        <v>144</v>
      </c>
      <c r="F333" s="1" t="s">
        <v>152</v>
      </c>
      <c r="G333" s="1">
        <v>88</v>
      </c>
      <c r="H333" s="1">
        <v>18</v>
      </c>
      <c r="I333" s="1"/>
      <c r="J333" s="1" t="s">
        <v>103</v>
      </c>
    </row>
    <row r="334" spans="1:10" x14ac:dyDescent="0.3">
      <c r="A334" s="5">
        <v>45729</v>
      </c>
      <c r="B334" s="1" t="s">
        <v>100</v>
      </c>
      <c r="C334" s="1" t="s">
        <v>104</v>
      </c>
      <c r="D334" s="1" t="s">
        <v>97</v>
      </c>
      <c r="E334" s="1" t="s">
        <v>147</v>
      </c>
      <c r="F334" s="1" t="s">
        <v>152</v>
      </c>
      <c r="G334" s="1">
        <v>97</v>
      </c>
      <c r="H334" s="1">
        <v>22</v>
      </c>
      <c r="I334" s="1"/>
      <c r="J334" s="1" t="s">
        <v>102</v>
      </c>
    </row>
    <row r="335" spans="1:10" x14ac:dyDescent="0.3">
      <c r="A335" s="5">
        <v>45729</v>
      </c>
      <c r="B335" s="1" t="s">
        <v>100</v>
      </c>
      <c r="C335" s="1" t="s">
        <v>104</v>
      </c>
      <c r="D335" s="1" t="s">
        <v>109</v>
      </c>
      <c r="E335" s="1" t="s">
        <v>144</v>
      </c>
      <c r="F335" s="1" t="s">
        <v>152</v>
      </c>
      <c r="G335" s="1">
        <v>76</v>
      </c>
      <c r="H335" s="1">
        <v>20</v>
      </c>
      <c r="I335" s="1"/>
      <c r="J335" s="1" t="s">
        <v>102</v>
      </c>
    </row>
    <row r="336" spans="1:10" x14ac:dyDescent="0.3">
      <c r="A336" s="5">
        <v>45729</v>
      </c>
      <c r="B336" s="1" t="s">
        <v>100</v>
      </c>
      <c r="C336" s="1" t="s">
        <v>104</v>
      </c>
      <c r="D336" s="1" t="s">
        <v>99</v>
      </c>
      <c r="E336" s="1" t="s">
        <v>147</v>
      </c>
      <c r="F336" s="1" t="s">
        <v>152</v>
      </c>
      <c r="G336" s="1">
        <v>84</v>
      </c>
      <c r="H336" s="1">
        <v>23</v>
      </c>
      <c r="I336" s="1"/>
      <c r="J336" s="1" t="s">
        <v>102</v>
      </c>
    </row>
    <row r="337" spans="1:10" x14ac:dyDescent="0.3">
      <c r="A337" s="5">
        <v>45729</v>
      </c>
      <c r="B337" s="1" t="s">
        <v>100</v>
      </c>
      <c r="C337" s="1" t="s">
        <v>104</v>
      </c>
      <c r="D337" s="1" t="s">
        <v>97</v>
      </c>
      <c r="E337" s="1" t="s">
        <v>144</v>
      </c>
      <c r="F337" s="1" t="s">
        <v>152</v>
      </c>
      <c r="G337" s="1">
        <v>100</v>
      </c>
      <c r="H337" s="1">
        <v>24</v>
      </c>
      <c r="I337" s="1"/>
      <c r="J337" s="1" t="s">
        <v>102</v>
      </c>
    </row>
    <row r="338" spans="1:10" x14ac:dyDescent="0.3">
      <c r="A338" s="5">
        <v>45835</v>
      </c>
      <c r="B338" s="1" t="s">
        <v>95</v>
      </c>
      <c r="C338" s="1" t="s">
        <v>96</v>
      </c>
      <c r="D338" s="1" t="s">
        <v>99</v>
      </c>
      <c r="E338" s="1" t="s">
        <v>146</v>
      </c>
      <c r="F338" s="1" t="s">
        <v>152</v>
      </c>
      <c r="G338" s="1">
        <v>222</v>
      </c>
      <c r="H338" s="1">
        <v>39</v>
      </c>
      <c r="I338" s="1">
        <v>6.2</v>
      </c>
      <c r="J338" s="1"/>
    </row>
    <row r="339" spans="1:10" x14ac:dyDescent="0.3">
      <c r="A339" s="5">
        <v>45835</v>
      </c>
      <c r="B339" s="1" t="s">
        <v>95</v>
      </c>
      <c r="C339" s="1" t="s">
        <v>96</v>
      </c>
      <c r="D339" s="1" t="s">
        <v>97</v>
      </c>
      <c r="E339" s="1" t="s">
        <v>146</v>
      </c>
      <c r="F339" s="1" t="s">
        <v>152</v>
      </c>
      <c r="G339" s="1">
        <v>213</v>
      </c>
      <c r="H339" s="1">
        <v>39</v>
      </c>
      <c r="I339" s="1">
        <v>8.8000000000000007</v>
      </c>
      <c r="J339" s="1"/>
    </row>
    <row r="340" spans="1:10" x14ac:dyDescent="0.3">
      <c r="A340" s="5">
        <v>45835</v>
      </c>
      <c r="B340" s="1" t="s">
        <v>95</v>
      </c>
      <c r="C340" s="1" t="s">
        <v>96</v>
      </c>
      <c r="D340" s="1" t="s">
        <v>101</v>
      </c>
      <c r="E340" s="1" t="s">
        <v>146</v>
      </c>
      <c r="F340" s="1" t="s">
        <v>152</v>
      </c>
      <c r="G340" s="1">
        <v>213</v>
      </c>
      <c r="H340" s="1">
        <v>38</v>
      </c>
      <c r="I340" s="1">
        <v>7.2</v>
      </c>
      <c r="J340" s="1"/>
    </row>
    <row r="341" spans="1:10" x14ac:dyDescent="0.3">
      <c r="A341" s="5">
        <v>45835</v>
      </c>
      <c r="B341" s="1" t="s">
        <v>95</v>
      </c>
      <c r="C341" s="1" t="s">
        <v>96</v>
      </c>
      <c r="D341" s="1" t="s">
        <v>109</v>
      </c>
      <c r="E341" s="1" t="s">
        <v>146</v>
      </c>
      <c r="F341" s="1" t="s">
        <v>152</v>
      </c>
      <c r="G341" s="1">
        <v>200</v>
      </c>
      <c r="H341" s="1">
        <v>39</v>
      </c>
      <c r="I341" s="1">
        <v>8.4</v>
      </c>
      <c r="J341" s="1"/>
    </row>
    <row r="342" spans="1:10" x14ac:dyDescent="0.3">
      <c r="A342" s="5">
        <v>45835</v>
      </c>
      <c r="B342" s="1" t="s">
        <v>95</v>
      </c>
      <c r="C342" s="1" t="s">
        <v>96</v>
      </c>
      <c r="D342" s="1" t="s">
        <v>109</v>
      </c>
      <c r="E342" s="1" t="s">
        <v>144</v>
      </c>
      <c r="F342" s="1" t="s">
        <v>152</v>
      </c>
      <c r="G342" s="1">
        <v>256</v>
      </c>
      <c r="H342" s="1">
        <v>46</v>
      </c>
      <c r="I342" s="1">
        <v>8</v>
      </c>
      <c r="J342" s="1"/>
    </row>
    <row r="343" spans="1:10" x14ac:dyDescent="0.3">
      <c r="A343" s="5">
        <v>45835</v>
      </c>
      <c r="B343" s="1" t="s">
        <v>95</v>
      </c>
      <c r="C343" s="1" t="s">
        <v>96</v>
      </c>
      <c r="D343" s="1" t="s">
        <v>101</v>
      </c>
      <c r="E343" s="1" t="s">
        <v>144</v>
      </c>
      <c r="F343" s="1" t="s">
        <v>152</v>
      </c>
      <c r="G343" s="1">
        <v>215</v>
      </c>
      <c r="H343" s="1">
        <v>37</v>
      </c>
      <c r="I343" s="1">
        <v>7</v>
      </c>
      <c r="J343" s="1"/>
    </row>
    <row r="344" spans="1:10" x14ac:dyDescent="0.3">
      <c r="A344" s="5">
        <v>45835</v>
      </c>
      <c r="B344" s="1" t="s">
        <v>100</v>
      </c>
      <c r="C344" s="1" t="s">
        <v>96</v>
      </c>
      <c r="D344" s="1" t="s">
        <v>101</v>
      </c>
      <c r="E344" s="1" t="s">
        <v>147</v>
      </c>
      <c r="F344" s="1" t="s">
        <v>152</v>
      </c>
      <c r="G344" s="1">
        <v>250</v>
      </c>
      <c r="H344" s="1">
        <v>42</v>
      </c>
      <c r="I344" s="1">
        <v>0.37638888888888888</v>
      </c>
      <c r="J344" s="1"/>
    </row>
    <row r="345" spans="1:10" x14ac:dyDescent="0.3">
      <c r="A345" s="5">
        <v>45835</v>
      </c>
      <c r="B345" s="1" t="s">
        <v>100</v>
      </c>
      <c r="C345" s="1"/>
      <c r="D345" s="1" t="s">
        <v>109</v>
      </c>
      <c r="E345" s="1" t="s">
        <v>147</v>
      </c>
      <c r="F345" s="1" t="s">
        <v>152</v>
      </c>
      <c r="G345" s="1">
        <v>275</v>
      </c>
      <c r="H345" s="1">
        <v>48</v>
      </c>
      <c r="I345" s="1">
        <v>0.29722222222222222</v>
      </c>
      <c r="J345" s="1"/>
    </row>
    <row r="346" spans="1:10" x14ac:dyDescent="0.3">
      <c r="A346" s="5">
        <v>45835</v>
      </c>
      <c r="B346" s="1" t="s">
        <v>100</v>
      </c>
      <c r="C346" s="1" t="s">
        <v>96</v>
      </c>
      <c r="D346" s="1" t="s">
        <v>99</v>
      </c>
      <c r="E346" s="1" t="s">
        <v>144</v>
      </c>
      <c r="F346" s="1" t="s">
        <v>152</v>
      </c>
      <c r="G346" s="1">
        <v>220</v>
      </c>
      <c r="H346" s="1">
        <v>36</v>
      </c>
      <c r="I346" s="1">
        <v>0.17083333333333331</v>
      </c>
      <c r="J346" s="1"/>
    </row>
    <row r="347" spans="1:10" x14ac:dyDescent="0.3">
      <c r="A347" s="5">
        <v>45835</v>
      </c>
      <c r="B347" s="1" t="s">
        <v>100</v>
      </c>
      <c r="C347" s="1" t="s">
        <v>96</v>
      </c>
      <c r="D347" s="1" t="s">
        <v>97</v>
      </c>
      <c r="E347" s="1" t="s">
        <v>144</v>
      </c>
      <c r="F347" s="1" t="s">
        <v>152</v>
      </c>
      <c r="G347" s="1">
        <v>197</v>
      </c>
      <c r="H347" s="1">
        <v>38</v>
      </c>
      <c r="I347" s="1">
        <v>6</v>
      </c>
      <c r="J347" s="1"/>
    </row>
    <row r="348" spans="1:10" x14ac:dyDescent="0.3">
      <c r="A348" s="5">
        <v>45835</v>
      </c>
      <c r="B348" s="1" t="s">
        <v>100</v>
      </c>
      <c r="C348" s="1" t="s">
        <v>96</v>
      </c>
      <c r="D348" s="1" t="s">
        <v>99</v>
      </c>
      <c r="E348" s="1" t="s">
        <v>147</v>
      </c>
      <c r="F348" s="1" t="s">
        <v>152</v>
      </c>
      <c r="G348" s="1">
        <v>260</v>
      </c>
      <c r="H348" s="1">
        <v>43</v>
      </c>
      <c r="I348" s="1">
        <v>11</v>
      </c>
      <c r="J348" s="1"/>
    </row>
    <row r="349" spans="1:10" x14ac:dyDescent="0.3">
      <c r="A349" s="5">
        <v>45835</v>
      </c>
      <c r="B349" s="1" t="s">
        <v>100</v>
      </c>
      <c r="C349" s="1" t="s">
        <v>96</v>
      </c>
      <c r="D349" s="1" t="s">
        <v>97</v>
      </c>
      <c r="E349" s="1" t="s">
        <v>147</v>
      </c>
      <c r="F349" s="1" t="s">
        <v>152</v>
      </c>
      <c r="G349" s="1">
        <v>188</v>
      </c>
      <c r="H349" s="1">
        <v>36</v>
      </c>
      <c r="I349" s="1">
        <v>9</v>
      </c>
      <c r="J349" s="1"/>
    </row>
    <row r="350" spans="1:10" x14ac:dyDescent="0.3">
      <c r="A350" s="5">
        <v>45834</v>
      </c>
      <c r="B350" s="1" t="s">
        <v>114</v>
      </c>
      <c r="C350" s="1" t="s">
        <v>104</v>
      </c>
      <c r="D350" s="1" t="s">
        <v>101</v>
      </c>
      <c r="E350" s="1" t="s">
        <v>146</v>
      </c>
      <c r="F350" s="1" t="s">
        <v>152</v>
      </c>
      <c r="G350" s="1">
        <v>203</v>
      </c>
      <c r="H350" s="1">
        <v>41</v>
      </c>
      <c r="I350" s="1">
        <v>7</v>
      </c>
      <c r="J350" s="1"/>
    </row>
    <row r="351" spans="1:10" x14ac:dyDescent="0.3">
      <c r="A351" s="5">
        <v>45834</v>
      </c>
      <c r="B351" s="1" t="s">
        <v>114</v>
      </c>
      <c r="C351" s="1" t="s">
        <v>104</v>
      </c>
      <c r="D351" s="1" t="s">
        <v>97</v>
      </c>
      <c r="E351" s="1" t="s">
        <v>146</v>
      </c>
      <c r="F351" s="1" t="s">
        <v>152</v>
      </c>
      <c r="G351" s="1">
        <v>179</v>
      </c>
      <c r="H351" s="1">
        <v>34</v>
      </c>
      <c r="I351" s="1">
        <v>6</v>
      </c>
      <c r="J351" s="1"/>
    </row>
    <row r="352" spans="1:10" x14ac:dyDescent="0.3">
      <c r="A352" s="5">
        <v>45834</v>
      </c>
      <c r="B352" s="1" t="s">
        <v>95</v>
      </c>
      <c r="C352" s="1" t="s">
        <v>104</v>
      </c>
      <c r="D352" s="1" t="s">
        <v>99</v>
      </c>
      <c r="E352" s="1" t="s">
        <v>147</v>
      </c>
      <c r="F352" s="1" t="s">
        <v>152</v>
      </c>
      <c r="G352" s="1">
        <v>230</v>
      </c>
      <c r="H352" s="1">
        <v>42</v>
      </c>
      <c r="I352" s="1">
        <v>9</v>
      </c>
      <c r="J352" s="1"/>
    </row>
    <row r="353" spans="1:10" x14ac:dyDescent="0.3">
      <c r="A353" s="5">
        <v>45834</v>
      </c>
      <c r="B353" s="1" t="s">
        <v>95</v>
      </c>
      <c r="C353" s="1" t="s">
        <v>104</v>
      </c>
      <c r="D353" s="1" t="s">
        <v>97</v>
      </c>
      <c r="E353" s="1" t="s">
        <v>144</v>
      </c>
      <c r="F353" s="1" t="s">
        <v>152</v>
      </c>
      <c r="G353" s="1">
        <v>240</v>
      </c>
      <c r="H353" s="1">
        <v>50</v>
      </c>
      <c r="I353" s="1">
        <v>10</v>
      </c>
      <c r="J353" s="1"/>
    </row>
    <row r="354" spans="1:10" x14ac:dyDescent="0.3">
      <c r="A354" s="5">
        <v>45834</v>
      </c>
      <c r="B354" s="1" t="s">
        <v>95</v>
      </c>
      <c r="C354" s="1" t="s">
        <v>104</v>
      </c>
      <c r="D354" s="1" t="s">
        <v>109</v>
      </c>
      <c r="E354" s="1" t="s">
        <v>146</v>
      </c>
      <c r="F354" s="1" t="s">
        <v>152</v>
      </c>
      <c r="G354" s="1">
        <v>215</v>
      </c>
      <c r="H354" s="1">
        <v>42</v>
      </c>
      <c r="I354" s="1">
        <v>8</v>
      </c>
      <c r="J354" s="1"/>
    </row>
    <row r="355" spans="1:10" x14ac:dyDescent="0.3">
      <c r="A355" s="5">
        <v>45834</v>
      </c>
      <c r="B355" s="1" t="s">
        <v>95</v>
      </c>
      <c r="C355" s="1" t="s">
        <v>104</v>
      </c>
      <c r="D355" s="1" t="s">
        <v>99</v>
      </c>
      <c r="E355" s="1" t="s">
        <v>146</v>
      </c>
      <c r="F355" s="1" t="s">
        <v>152</v>
      </c>
      <c r="G355" s="1">
        <v>180</v>
      </c>
      <c r="H355" s="1">
        <v>30</v>
      </c>
      <c r="I355" s="1">
        <v>6</v>
      </c>
      <c r="J355" s="1"/>
    </row>
    <row r="356" spans="1:10" x14ac:dyDescent="0.3">
      <c r="A356" s="5">
        <v>45834</v>
      </c>
      <c r="B356" s="1" t="s">
        <v>95</v>
      </c>
      <c r="C356" s="1" t="s">
        <v>104</v>
      </c>
      <c r="D356" s="1" t="s">
        <v>101</v>
      </c>
      <c r="E356" s="1" t="s">
        <v>147</v>
      </c>
      <c r="F356" s="1" t="s">
        <v>152</v>
      </c>
      <c r="G356" s="1">
        <v>252</v>
      </c>
      <c r="H356" s="1">
        <v>45</v>
      </c>
      <c r="I356" s="1">
        <v>8</v>
      </c>
      <c r="J356" s="1"/>
    </row>
    <row r="357" spans="1:10" x14ac:dyDescent="0.3">
      <c r="A357" s="5">
        <v>45834</v>
      </c>
      <c r="B357" s="1" t="s">
        <v>100</v>
      </c>
      <c r="C357" s="1" t="s">
        <v>104</v>
      </c>
      <c r="D357" s="1" t="s">
        <v>109</v>
      </c>
      <c r="E357" s="1" t="s">
        <v>144</v>
      </c>
      <c r="F357" s="1" t="s">
        <v>152</v>
      </c>
      <c r="G357" s="1">
        <v>255</v>
      </c>
      <c r="H357" s="1">
        <v>47</v>
      </c>
      <c r="I357" s="1">
        <v>9</v>
      </c>
      <c r="J357" s="1"/>
    </row>
    <row r="358" spans="1:10" x14ac:dyDescent="0.3">
      <c r="A358" s="5">
        <v>45834</v>
      </c>
      <c r="B358" s="1" t="s">
        <v>100</v>
      </c>
      <c r="C358" s="1" t="s">
        <v>104</v>
      </c>
      <c r="D358" s="1" t="s">
        <v>99</v>
      </c>
      <c r="E358" s="1" t="s">
        <v>144</v>
      </c>
      <c r="F358" s="1" t="s">
        <v>152</v>
      </c>
      <c r="G358" s="1">
        <v>230</v>
      </c>
      <c r="H358" s="1">
        <v>45</v>
      </c>
      <c r="I358" s="1">
        <v>0.33888888888888891</v>
      </c>
      <c r="J358" s="1" t="s">
        <v>113</v>
      </c>
    </row>
    <row r="359" spans="1:10" x14ac:dyDescent="0.3">
      <c r="A359" s="5">
        <v>45834</v>
      </c>
      <c r="B359" s="1" t="s">
        <v>100</v>
      </c>
      <c r="C359" s="1" t="s">
        <v>104</v>
      </c>
      <c r="D359" s="1" t="s">
        <v>101</v>
      </c>
      <c r="E359" s="1" t="s">
        <v>144</v>
      </c>
      <c r="F359" s="1" t="s">
        <v>152</v>
      </c>
      <c r="G359" s="1">
        <v>244</v>
      </c>
      <c r="H359" s="1">
        <v>44</v>
      </c>
      <c r="I359" s="1">
        <v>0.3347222222222222</v>
      </c>
      <c r="J359" s="1" t="s">
        <v>113</v>
      </c>
    </row>
    <row r="360" spans="1:10" x14ac:dyDescent="0.3">
      <c r="A360" s="5">
        <v>45834</v>
      </c>
      <c r="B360" s="1" t="s">
        <v>100</v>
      </c>
      <c r="C360" s="1" t="s">
        <v>104</v>
      </c>
      <c r="D360" s="1" t="s">
        <v>97</v>
      </c>
      <c r="E360" s="1" t="s">
        <v>147</v>
      </c>
      <c r="F360" s="1" t="s">
        <v>152</v>
      </c>
      <c r="G360" s="1">
        <v>250</v>
      </c>
      <c r="H360" s="1">
        <v>49</v>
      </c>
      <c r="I360" s="1">
        <v>9</v>
      </c>
      <c r="J360" s="1" t="s">
        <v>113</v>
      </c>
    </row>
    <row r="361" spans="1:10" x14ac:dyDescent="0.3">
      <c r="A361" s="5">
        <v>45834</v>
      </c>
      <c r="B361" s="1" t="s">
        <v>100</v>
      </c>
      <c r="C361" s="1" t="s">
        <v>104</v>
      </c>
      <c r="D361" s="1" t="s">
        <v>109</v>
      </c>
      <c r="E361" s="1" t="s">
        <v>147</v>
      </c>
      <c r="F361" s="1" t="s">
        <v>152</v>
      </c>
      <c r="G361" s="1">
        <v>250</v>
      </c>
      <c r="H361" s="1">
        <v>52</v>
      </c>
      <c r="I361" s="1">
        <v>7</v>
      </c>
      <c r="J361" s="1" t="s">
        <v>113</v>
      </c>
    </row>
    <row r="362" spans="1:10" x14ac:dyDescent="0.3">
      <c r="A362" s="5">
        <v>45930</v>
      </c>
      <c r="B362" s="1" t="s">
        <v>100</v>
      </c>
      <c r="C362" s="1" t="s">
        <v>96</v>
      </c>
      <c r="D362" s="1" t="s">
        <v>109</v>
      </c>
      <c r="E362" s="1" t="s">
        <v>144</v>
      </c>
      <c r="F362" s="1" t="s">
        <v>152</v>
      </c>
      <c r="G362" s="1">
        <v>330</v>
      </c>
      <c r="H362" s="1">
        <v>65</v>
      </c>
      <c r="I362" s="1">
        <v>13</v>
      </c>
      <c r="J362" s="1"/>
    </row>
    <row r="363" spans="1:10" x14ac:dyDescent="0.3">
      <c r="A363" s="5">
        <v>45930</v>
      </c>
      <c r="B363" s="1" t="s">
        <v>100</v>
      </c>
      <c r="C363" s="1" t="s">
        <v>96</v>
      </c>
      <c r="D363" s="1" t="s">
        <v>97</v>
      </c>
      <c r="E363" s="1" t="s">
        <v>147</v>
      </c>
      <c r="F363" s="1" t="s">
        <v>152</v>
      </c>
      <c r="G363" s="1">
        <v>270</v>
      </c>
      <c r="H363" s="1">
        <v>51</v>
      </c>
      <c r="I363" s="1">
        <v>12</v>
      </c>
      <c r="J363" s="1"/>
    </row>
    <row r="364" spans="1:10" x14ac:dyDescent="0.3">
      <c r="A364" s="5">
        <v>45925</v>
      </c>
      <c r="B364" s="1" t="s">
        <v>100</v>
      </c>
      <c r="C364" s="1" t="s">
        <v>104</v>
      </c>
      <c r="D364" s="1" t="s">
        <v>101</v>
      </c>
      <c r="E364" s="1" t="s">
        <v>147</v>
      </c>
      <c r="F364" s="1" t="s">
        <v>152</v>
      </c>
      <c r="G364" s="1">
        <v>329</v>
      </c>
      <c r="H364" s="1">
        <v>60</v>
      </c>
      <c r="I364" s="1">
        <v>12</v>
      </c>
      <c r="J364" s="1"/>
    </row>
    <row r="365" spans="1:10" x14ac:dyDescent="0.3">
      <c r="A365" s="5">
        <v>45925</v>
      </c>
      <c r="B365" s="1" t="s">
        <v>100</v>
      </c>
      <c r="C365" s="1" t="s">
        <v>104</v>
      </c>
      <c r="D365" s="1" t="s">
        <v>97</v>
      </c>
      <c r="E365" s="1" t="s">
        <v>146</v>
      </c>
      <c r="F365" s="1" t="s">
        <v>152</v>
      </c>
      <c r="G365" s="1">
        <v>305</v>
      </c>
      <c r="H365" s="1">
        <v>57</v>
      </c>
      <c r="I365" s="1">
        <v>12</v>
      </c>
      <c r="J365" s="1"/>
    </row>
    <row r="366" spans="1:10" x14ac:dyDescent="0.3">
      <c r="A366" s="5">
        <v>45925</v>
      </c>
      <c r="B366" s="1" t="s">
        <v>100</v>
      </c>
      <c r="C366" s="1" t="s">
        <v>104</v>
      </c>
      <c r="D366" s="1" t="s">
        <v>101</v>
      </c>
      <c r="E366" s="1" t="s">
        <v>146</v>
      </c>
      <c r="F366" s="1" t="s">
        <v>152</v>
      </c>
      <c r="G366" s="1">
        <v>303</v>
      </c>
      <c r="H366" s="1">
        <v>53</v>
      </c>
      <c r="I366" s="1">
        <v>13</v>
      </c>
      <c r="J366" s="1"/>
    </row>
    <row r="367" spans="1:10" x14ac:dyDescent="0.3">
      <c r="A367" s="5">
        <v>45925</v>
      </c>
      <c r="B367" s="1" t="s">
        <v>95</v>
      </c>
      <c r="C367" s="1" t="s">
        <v>104</v>
      </c>
      <c r="D367" s="1" t="s">
        <v>99</v>
      </c>
      <c r="E367" s="1" t="s">
        <v>146</v>
      </c>
      <c r="F367" s="1" t="s">
        <v>152</v>
      </c>
      <c r="G367" s="1">
        <v>280</v>
      </c>
      <c r="H367" s="1">
        <v>55</v>
      </c>
      <c r="I367" s="1">
        <v>11</v>
      </c>
      <c r="J367" s="1"/>
    </row>
    <row r="368" spans="1:10" x14ac:dyDescent="0.3">
      <c r="A368" s="5">
        <v>45925</v>
      </c>
      <c r="B368" s="1" t="s">
        <v>95</v>
      </c>
      <c r="C368" s="1" t="s">
        <v>104</v>
      </c>
      <c r="D368" s="1" t="s">
        <v>109</v>
      </c>
      <c r="E368" s="1" t="s">
        <v>147</v>
      </c>
      <c r="F368" s="1" t="s">
        <v>152</v>
      </c>
      <c r="G368" s="1">
        <v>313</v>
      </c>
      <c r="H368" s="1">
        <v>62</v>
      </c>
      <c r="I368" s="1">
        <v>15</v>
      </c>
      <c r="J368" s="1"/>
    </row>
    <row r="369" spans="1:10" x14ac:dyDescent="0.3">
      <c r="A369" s="5">
        <v>45925</v>
      </c>
      <c r="B369" s="1" t="s">
        <v>95</v>
      </c>
      <c r="C369" s="1" t="s">
        <v>104</v>
      </c>
      <c r="D369" s="1" t="s">
        <v>97</v>
      </c>
      <c r="E369" s="1" t="s">
        <v>144</v>
      </c>
      <c r="F369" s="1" t="s">
        <v>152</v>
      </c>
      <c r="G369" s="1">
        <v>286</v>
      </c>
      <c r="H369" s="1">
        <v>60</v>
      </c>
      <c r="I369" s="1">
        <v>12</v>
      </c>
      <c r="J369" s="1"/>
    </row>
    <row r="370" spans="1:10" x14ac:dyDescent="0.3">
      <c r="A370" s="5">
        <v>45923</v>
      </c>
      <c r="B370" s="1" t="s">
        <v>100</v>
      </c>
      <c r="C370" s="1" t="s">
        <v>104</v>
      </c>
      <c r="D370" s="1" t="s">
        <v>101</v>
      </c>
      <c r="E370" s="1" t="s">
        <v>144</v>
      </c>
      <c r="F370" s="1" t="s">
        <v>152</v>
      </c>
      <c r="G370" s="1">
        <v>332</v>
      </c>
      <c r="H370" s="1">
        <v>63</v>
      </c>
      <c r="I370" s="1">
        <v>13</v>
      </c>
      <c r="J370" s="1"/>
    </row>
    <row r="371" spans="1:10" x14ac:dyDescent="0.3">
      <c r="A371" s="5">
        <v>45923</v>
      </c>
      <c r="B371" s="1" t="s">
        <v>100</v>
      </c>
      <c r="C371" s="1" t="s">
        <v>104</v>
      </c>
      <c r="D371" s="1" t="s">
        <v>109</v>
      </c>
      <c r="E371" s="1" t="s">
        <v>144</v>
      </c>
      <c r="F371" s="1" t="s">
        <v>152</v>
      </c>
      <c r="G371" s="1">
        <v>322</v>
      </c>
      <c r="H371" s="1">
        <v>62</v>
      </c>
      <c r="I371" s="1">
        <v>14</v>
      </c>
      <c r="J371" s="1"/>
    </row>
    <row r="372" spans="1:10" x14ac:dyDescent="0.3">
      <c r="A372" s="5">
        <v>45923</v>
      </c>
      <c r="B372" s="1" t="s">
        <v>100</v>
      </c>
      <c r="C372" s="1" t="s">
        <v>104</v>
      </c>
      <c r="D372" s="1" t="s">
        <v>109</v>
      </c>
      <c r="E372" s="1" t="s">
        <v>146</v>
      </c>
      <c r="F372" s="1" t="s">
        <v>152</v>
      </c>
      <c r="G372" s="1">
        <v>317</v>
      </c>
      <c r="H372" s="1">
        <v>64</v>
      </c>
      <c r="I372" s="1">
        <v>12</v>
      </c>
      <c r="J372" s="1" t="s">
        <v>113</v>
      </c>
    </row>
    <row r="373" spans="1:10" x14ac:dyDescent="0.3">
      <c r="A373" s="5">
        <v>45923</v>
      </c>
      <c r="B373" s="1" t="s">
        <v>95</v>
      </c>
      <c r="C373" s="1" t="s">
        <v>104</v>
      </c>
      <c r="D373" s="1" t="s">
        <v>97</v>
      </c>
      <c r="E373" s="1" t="s">
        <v>147</v>
      </c>
      <c r="F373" s="1" t="s">
        <v>152</v>
      </c>
      <c r="G373" s="1">
        <v>330</v>
      </c>
      <c r="H373" s="1">
        <v>64</v>
      </c>
      <c r="I373" s="1">
        <v>13</v>
      </c>
      <c r="J373" s="1"/>
    </row>
    <row r="374" spans="1:10" x14ac:dyDescent="0.3">
      <c r="A374" s="5">
        <v>45923</v>
      </c>
      <c r="B374" s="1" t="s">
        <v>95</v>
      </c>
      <c r="C374" s="1" t="s">
        <v>104</v>
      </c>
      <c r="D374" s="1" t="s">
        <v>99</v>
      </c>
      <c r="E374" s="1" t="s">
        <v>147</v>
      </c>
      <c r="F374" s="1" t="s">
        <v>152</v>
      </c>
      <c r="G374" s="1">
        <v>338</v>
      </c>
      <c r="H374" s="1">
        <v>60</v>
      </c>
      <c r="I374" s="1">
        <v>12</v>
      </c>
      <c r="J374" s="1"/>
    </row>
    <row r="375" spans="1:10" x14ac:dyDescent="0.3">
      <c r="A375" s="5">
        <v>45923</v>
      </c>
      <c r="B375" s="1" t="s">
        <v>95</v>
      </c>
      <c r="C375" s="1" t="s">
        <v>104</v>
      </c>
      <c r="D375" s="1" t="s">
        <v>99</v>
      </c>
      <c r="E375" s="1" t="s">
        <v>144</v>
      </c>
      <c r="F375" s="1" t="s">
        <v>152</v>
      </c>
      <c r="G375" s="1">
        <v>303</v>
      </c>
      <c r="H375" s="1">
        <v>55</v>
      </c>
      <c r="I375" s="1">
        <v>12</v>
      </c>
      <c r="J375" s="1"/>
    </row>
    <row r="376" spans="1:10" x14ac:dyDescent="0.3">
      <c r="A376" s="5">
        <v>45933</v>
      </c>
      <c r="B376" s="1" t="s">
        <v>100</v>
      </c>
      <c r="C376" s="1" t="s">
        <v>96</v>
      </c>
      <c r="D376" s="1" t="s">
        <v>109</v>
      </c>
      <c r="E376" s="1" t="s">
        <v>147</v>
      </c>
      <c r="F376" s="1" t="s">
        <v>152</v>
      </c>
      <c r="G376" s="1">
        <v>353</v>
      </c>
      <c r="H376" s="1">
        <v>67</v>
      </c>
      <c r="I376" s="1">
        <v>15</v>
      </c>
      <c r="J376" s="1"/>
    </row>
    <row r="377" spans="1:10" x14ac:dyDescent="0.3">
      <c r="A377" s="5">
        <v>45933</v>
      </c>
      <c r="B377" s="1" t="s">
        <v>100</v>
      </c>
      <c r="C377" s="1" t="s">
        <v>96</v>
      </c>
      <c r="D377" s="1" t="s">
        <v>97</v>
      </c>
      <c r="E377" s="1" t="s">
        <v>146</v>
      </c>
      <c r="F377" s="1" t="s">
        <v>152</v>
      </c>
      <c r="G377" s="1">
        <v>300</v>
      </c>
      <c r="H377" s="1">
        <v>56</v>
      </c>
      <c r="I377" s="1">
        <v>11</v>
      </c>
      <c r="J377" s="1"/>
    </row>
    <row r="378" spans="1:10" x14ac:dyDescent="0.3">
      <c r="A378" s="5">
        <v>45932</v>
      </c>
      <c r="B378" s="1" t="s">
        <v>100</v>
      </c>
      <c r="C378" s="1" t="s">
        <v>96</v>
      </c>
      <c r="D378" s="1" t="s">
        <v>101</v>
      </c>
      <c r="E378" s="1" t="s">
        <v>147</v>
      </c>
      <c r="F378" s="1" t="s">
        <v>152</v>
      </c>
      <c r="G378" s="1">
        <v>300</v>
      </c>
      <c r="H378" s="1">
        <v>57</v>
      </c>
      <c r="I378" s="1">
        <v>10</v>
      </c>
      <c r="J378" s="1"/>
    </row>
    <row r="379" spans="1:10" x14ac:dyDescent="0.3">
      <c r="A379" s="5">
        <v>45932</v>
      </c>
      <c r="B379" s="1" t="s">
        <v>100</v>
      </c>
      <c r="C379" s="1" t="s">
        <v>96</v>
      </c>
      <c r="D379" s="1" t="s">
        <v>99</v>
      </c>
      <c r="E379" s="1" t="s">
        <v>146</v>
      </c>
      <c r="F379" s="1" t="s">
        <v>152</v>
      </c>
      <c r="G379" s="1">
        <v>292</v>
      </c>
      <c r="H379" s="1">
        <v>59</v>
      </c>
      <c r="I379" s="1">
        <v>11</v>
      </c>
      <c r="J379" s="1"/>
    </row>
    <row r="380" spans="1:10" x14ac:dyDescent="0.3">
      <c r="A380" s="5">
        <v>45931</v>
      </c>
      <c r="B380" s="1" t="s">
        <v>95</v>
      </c>
      <c r="C380" s="1" t="s">
        <v>96</v>
      </c>
      <c r="D380" s="1" t="s">
        <v>97</v>
      </c>
      <c r="E380" s="1" t="s">
        <v>144</v>
      </c>
      <c r="F380" s="1" t="s">
        <v>152</v>
      </c>
      <c r="G380" s="1">
        <v>350</v>
      </c>
      <c r="H380" s="1">
        <v>62</v>
      </c>
      <c r="I380" s="1">
        <v>11</v>
      </c>
      <c r="J380" s="1"/>
    </row>
    <row r="381" spans="1:10" x14ac:dyDescent="0.3">
      <c r="A381" s="5">
        <v>45931</v>
      </c>
      <c r="B381" s="1" t="s">
        <v>95</v>
      </c>
      <c r="C381" s="1" t="s">
        <v>96</v>
      </c>
      <c r="D381" s="1" t="s">
        <v>99</v>
      </c>
      <c r="E381" s="1" t="s">
        <v>144</v>
      </c>
      <c r="F381" s="1" t="s">
        <v>152</v>
      </c>
      <c r="G381" s="1">
        <v>320</v>
      </c>
      <c r="H381" s="1">
        <v>57</v>
      </c>
      <c r="I381" s="1">
        <v>11</v>
      </c>
      <c r="J381" s="1"/>
    </row>
    <row r="382" spans="1:10" x14ac:dyDescent="0.3">
      <c r="A382" s="5">
        <v>45931</v>
      </c>
      <c r="B382" s="1" t="s">
        <v>95</v>
      </c>
      <c r="C382" s="1" t="s">
        <v>96</v>
      </c>
      <c r="D382" s="1" t="s">
        <v>99</v>
      </c>
      <c r="E382" s="1" t="s">
        <v>147</v>
      </c>
      <c r="F382" s="1" t="s">
        <v>152</v>
      </c>
      <c r="G382" s="1">
        <v>370</v>
      </c>
      <c r="H382" s="1">
        <v>68</v>
      </c>
      <c r="I382" s="1">
        <v>12</v>
      </c>
      <c r="J382" s="1"/>
    </row>
    <row r="383" spans="1:10" x14ac:dyDescent="0.3">
      <c r="A383" s="5">
        <v>45931</v>
      </c>
      <c r="B383" s="1" t="s">
        <v>100</v>
      </c>
      <c r="C383" s="1" t="s">
        <v>96</v>
      </c>
      <c r="D383" s="1" t="s">
        <v>101</v>
      </c>
      <c r="E383" s="1" t="s">
        <v>146</v>
      </c>
      <c r="F383" s="1" t="s">
        <v>152</v>
      </c>
      <c r="G383" s="1">
        <v>280</v>
      </c>
      <c r="H383" s="1">
        <v>53</v>
      </c>
      <c r="I383" s="1">
        <v>10</v>
      </c>
      <c r="J383" s="1"/>
    </row>
    <row r="384" spans="1:10" x14ac:dyDescent="0.3">
      <c r="A384" s="5">
        <v>45931</v>
      </c>
      <c r="B384" s="1" t="s">
        <v>100</v>
      </c>
      <c r="C384" s="1" t="s">
        <v>96</v>
      </c>
      <c r="D384" s="1" t="s">
        <v>109</v>
      </c>
      <c r="E384" s="1" t="s">
        <v>146</v>
      </c>
      <c r="F384" s="1" t="s">
        <v>152</v>
      </c>
      <c r="G384" s="1">
        <v>300</v>
      </c>
      <c r="H384" s="1">
        <v>59</v>
      </c>
      <c r="I384" s="1">
        <v>12</v>
      </c>
      <c r="J384" s="1"/>
    </row>
    <row r="385" spans="1:10" x14ac:dyDescent="0.3">
      <c r="A385" s="5">
        <v>45931</v>
      </c>
      <c r="B385" s="1" t="s">
        <v>100</v>
      </c>
      <c r="C385" s="1" t="s">
        <v>96</v>
      </c>
      <c r="D385" s="1" t="s">
        <v>101</v>
      </c>
      <c r="E385" s="1" t="s">
        <v>144</v>
      </c>
      <c r="F385" s="1" t="s">
        <v>152</v>
      </c>
      <c r="G385" s="1">
        <v>270</v>
      </c>
      <c r="H385" s="1">
        <v>51</v>
      </c>
      <c r="I385" s="1">
        <v>10</v>
      </c>
      <c r="J385" s="1"/>
    </row>
    <row r="386" spans="1:10" x14ac:dyDescent="0.3">
      <c r="A386" s="5">
        <v>45737</v>
      </c>
      <c r="B386" s="1" t="s">
        <v>95</v>
      </c>
      <c r="C386" s="1" t="s">
        <v>96</v>
      </c>
      <c r="D386" s="1" t="s">
        <v>97</v>
      </c>
      <c r="E386" s="1" t="s">
        <v>144</v>
      </c>
      <c r="F386" s="1" t="s">
        <v>153</v>
      </c>
      <c r="G386" s="1">
        <v>90</v>
      </c>
      <c r="H386" s="1">
        <v>21</v>
      </c>
      <c r="I386" s="1"/>
      <c r="J386" s="1" t="s">
        <v>98</v>
      </c>
    </row>
    <row r="387" spans="1:10" x14ac:dyDescent="0.3">
      <c r="A387" s="5">
        <v>45737</v>
      </c>
      <c r="B387" s="1" t="s">
        <v>95</v>
      </c>
      <c r="C387" s="1" t="s">
        <v>96</v>
      </c>
      <c r="D387" s="1" t="s">
        <v>97</v>
      </c>
      <c r="E387" s="1" t="s">
        <v>146</v>
      </c>
      <c r="F387" s="1" t="s">
        <v>153</v>
      </c>
      <c r="G387" s="1">
        <v>90</v>
      </c>
      <c r="H387" s="1">
        <v>25</v>
      </c>
      <c r="I387" s="1"/>
      <c r="J387" s="1" t="s">
        <v>98</v>
      </c>
    </row>
    <row r="388" spans="1:10" x14ac:dyDescent="0.3">
      <c r="A388" s="5">
        <v>45737</v>
      </c>
      <c r="B388" s="1" t="s">
        <v>95</v>
      </c>
      <c r="C388" s="1" t="s">
        <v>96</v>
      </c>
      <c r="D388" s="1" t="s">
        <v>99</v>
      </c>
      <c r="E388" s="1" t="s">
        <v>144</v>
      </c>
      <c r="F388" s="1" t="s">
        <v>153</v>
      </c>
      <c r="G388" s="1">
        <v>70</v>
      </c>
      <c r="H388" s="1">
        <v>19</v>
      </c>
      <c r="I388" s="1"/>
      <c r="J388" s="1" t="s">
        <v>98</v>
      </c>
    </row>
    <row r="389" spans="1:10" x14ac:dyDescent="0.3">
      <c r="A389" s="5">
        <v>45737</v>
      </c>
      <c r="B389" s="1" t="s">
        <v>95</v>
      </c>
      <c r="C389" s="1" t="s">
        <v>96</v>
      </c>
      <c r="D389" s="1" t="s">
        <v>97</v>
      </c>
      <c r="E389" s="1" t="s">
        <v>147</v>
      </c>
      <c r="F389" s="1" t="s">
        <v>153</v>
      </c>
      <c r="G389" s="1">
        <v>95</v>
      </c>
      <c r="H389" s="1">
        <v>22</v>
      </c>
      <c r="I389" s="1"/>
      <c r="J389" s="1" t="s">
        <v>98</v>
      </c>
    </row>
    <row r="390" spans="1:10" x14ac:dyDescent="0.3">
      <c r="A390" s="5">
        <v>45737</v>
      </c>
      <c r="B390" s="1" t="s">
        <v>100</v>
      </c>
      <c r="C390" s="1" t="s">
        <v>96</v>
      </c>
      <c r="D390" s="1" t="s">
        <v>101</v>
      </c>
      <c r="E390" s="1" t="s">
        <v>146</v>
      </c>
      <c r="F390" s="1" t="s">
        <v>153</v>
      </c>
      <c r="G390" s="1">
        <v>90</v>
      </c>
      <c r="H390" s="1">
        <v>23</v>
      </c>
      <c r="I390" s="1"/>
      <c r="J390" s="1" t="s">
        <v>102</v>
      </c>
    </row>
    <row r="391" spans="1:10" x14ac:dyDescent="0.3">
      <c r="A391" s="5">
        <v>45737</v>
      </c>
      <c r="B391" s="1" t="s">
        <v>100</v>
      </c>
      <c r="C391" s="1" t="s">
        <v>96</v>
      </c>
      <c r="D391" s="1" t="s">
        <v>99</v>
      </c>
      <c r="E391" s="1" t="s">
        <v>146</v>
      </c>
      <c r="F391" s="1" t="s">
        <v>153</v>
      </c>
      <c r="G391" s="1">
        <v>92</v>
      </c>
      <c r="H391" s="1">
        <v>24</v>
      </c>
      <c r="I391" s="1"/>
      <c r="J391" s="1" t="s">
        <v>102</v>
      </c>
    </row>
    <row r="392" spans="1:10" x14ac:dyDescent="0.3">
      <c r="A392" s="5">
        <v>45737</v>
      </c>
      <c r="B392" s="1" t="s">
        <v>100</v>
      </c>
      <c r="C392" s="1" t="s">
        <v>96</v>
      </c>
      <c r="D392" s="1" t="s">
        <v>97</v>
      </c>
      <c r="E392" s="1" t="s">
        <v>146</v>
      </c>
      <c r="F392" s="1" t="s">
        <v>153</v>
      </c>
      <c r="G392" s="1">
        <v>80</v>
      </c>
      <c r="H392" s="1">
        <v>22</v>
      </c>
      <c r="I392" s="1"/>
      <c r="J392" s="1" t="s">
        <v>102</v>
      </c>
    </row>
    <row r="393" spans="1:10" x14ac:dyDescent="0.3">
      <c r="A393" s="5">
        <v>45737</v>
      </c>
      <c r="B393" s="1" t="s">
        <v>100</v>
      </c>
      <c r="C393" s="1" t="s">
        <v>96</v>
      </c>
      <c r="D393" s="1" t="s">
        <v>101</v>
      </c>
      <c r="E393" s="1" t="s">
        <v>144</v>
      </c>
      <c r="F393" s="1" t="s">
        <v>153</v>
      </c>
      <c r="G393" s="1">
        <v>88</v>
      </c>
      <c r="H393" s="1">
        <v>25</v>
      </c>
      <c r="I393" s="1"/>
      <c r="J393" s="1" t="s">
        <v>102</v>
      </c>
    </row>
    <row r="394" spans="1:10" x14ac:dyDescent="0.3">
      <c r="A394" s="5">
        <v>45729</v>
      </c>
      <c r="B394" s="1" t="s">
        <v>95</v>
      </c>
      <c r="C394" s="1" t="s">
        <v>104</v>
      </c>
      <c r="D394" s="1" t="s">
        <v>101</v>
      </c>
      <c r="E394" s="1" t="s">
        <v>144</v>
      </c>
      <c r="F394" s="1" t="s">
        <v>153</v>
      </c>
      <c r="G394" s="1">
        <v>70</v>
      </c>
      <c r="H394" s="1">
        <v>19</v>
      </c>
      <c r="I394" s="1"/>
      <c r="J394" s="1" t="s">
        <v>103</v>
      </c>
    </row>
    <row r="395" spans="1:10" x14ac:dyDescent="0.3">
      <c r="A395" s="5">
        <v>45729</v>
      </c>
      <c r="B395" s="1" t="s">
        <v>95</v>
      </c>
      <c r="C395" s="1" t="s">
        <v>104</v>
      </c>
      <c r="D395" s="1" t="s">
        <v>97</v>
      </c>
      <c r="E395" s="1" t="s">
        <v>146</v>
      </c>
      <c r="F395" s="1" t="s">
        <v>153</v>
      </c>
      <c r="G395" s="1">
        <v>70</v>
      </c>
      <c r="H395" s="1">
        <v>19</v>
      </c>
      <c r="I395" s="1"/>
      <c r="J395" s="1" t="s">
        <v>103</v>
      </c>
    </row>
    <row r="396" spans="1:10" x14ac:dyDescent="0.3">
      <c r="A396" s="5">
        <v>45729</v>
      </c>
      <c r="B396" s="1" t="s">
        <v>95</v>
      </c>
      <c r="C396" s="1" t="s">
        <v>104</v>
      </c>
      <c r="D396" s="1" t="s">
        <v>101</v>
      </c>
      <c r="E396" s="1" t="s">
        <v>146</v>
      </c>
      <c r="F396" s="1" t="s">
        <v>153</v>
      </c>
      <c r="G396" s="1">
        <v>94</v>
      </c>
      <c r="H396" s="1">
        <v>18</v>
      </c>
      <c r="I396" s="1"/>
      <c r="J396" s="1" t="s">
        <v>103</v>
      </c>
    </row>
    <row r="397" spans="1:10" x14ac:dyDescent="0.3">
      <c r="A397" s="5">
        <v>45729</v>
      </c>
      <c r="B397" s="1" t="s">
        <v>95</v>
      </c>
      <c r="C397" s="1" t="s">
        <v>104</v>
      </c>
      <c r="D397" s="1" t="s">
        <v>99</v>
      </c>
      <c r="E397" s="1" t="s">
        <v>144</v>
      </c>
      <c r="F397" s="1" t="s">
        <v>153</v>
      </c>
      <c r="G397" s="1">
        <v>90</v>
      </c>
      <c r="H397" s="1">
        <v>23</v>
      </c>
      <c r="I397" s="1"/>
      <c r="J397" s="1" t="s">
        <v>103</v>
      </c>
    </row>
    <row r="398" spans="1:10" x14ac:dyDescent="0.3">
      <c r="A398" s="5">
        <v>45729</v>
      </c>
      <c r="B398" s="1" t="s">
        <v>100</v>
      </c>
      <c r="C398" s="1" t="s">
        <v>104</v>
      </c>
      <c r="D398" s="1" t="s">
        <v>97</v>
      </c>
      <c r="E398" s="1" t="s">
        <v>147</v>
      </c>
      <c r="F398" s="1" t="s">
        <v>153</v>
      </c>
      <c r="G398" s="1">
        <v>100</v>
      </c>
      <c r="H398" s="1">
        <v>25</v>
      </c>
      <c r="I398" s="1"/>
      <c r="J398" s="1" t="s">
        <v>102</v>
      </c>
    </row>
    <row r="399" spans="1:10" x14ac:dyDescent="0.3">
      <c r="A399" s="5">
        <v>45729</v>
      </c>
      <c r="B399" s="1" t="s">
        <v>100</v>
      </c>
      <c r="C399" s="1" t="s">
        <v>104</v>
      </c>
      <c r="D399" s="1" t="s">
        <v>109</v>
      </c>
      <c r="E399" s="1" t="s">
        <v>144</v>
      </c>
      <c r="F399" s="1" t="s">
        <v>153</v>
      </c>
      <c r="G399" s="1">
        <v>97</v>
      </c>
      <c r="H399" s="1">
        <v>24</v>
      </c>
      <c r="I399" s="1"/>
      <c r="J399" s="1" t="s">
        <v>102</v>
      </c>
    </row>
    <row r="400" spans="1:10" x14ac:dyDescent="0.3">
      <c r="A400" s="5">
        <v>45729</v>
      </c>
      <c r="B400" s="1" t="s">
        <v>100</v>
      </c>
      <c r="C400" s="1" t="s">
        <v>104</v>
      </c>
      <c r="D400" s="1" t="s">
        <v>99</v>
      </c>
      <c r="E400" s="1" t="s">
        <v>147</v>
      </c>
      <c r="F400" s="1" t="s">
        <v>153</v>
      </c>
      <c r="G400" s="1">
        <v>100</v>
      </c>
      <c r="H400" s="1">
        <v>24</v>
      </c>
      <c r="I400" s="1"/>
      <c r="J400" s="1" t="s">
        <v>102</v>
      </c>
    </row>
    <row r="401" spans="1:10" x14ac:dyDescent="0.3">
      <c r="A401" s="5">
        <v>45729</v>
      </c>
      <c r="B401" s="1" t="s">
        <v>100</v>
      </c>
      <c r="C401" s="1" t="s">
        <v>104</v>
      </c>
      <c r="D401" s="1" t="s">
        <v>97</v>
      </c>
      <c r="E401" s="1" t="s">
        <v>144</v>
      </c>
      <c r="F401" s="1" t="s">
        <v>153</v>
      </c>
      <c r="G401" s="1">
        <v>100</v>
      </c>
      <c r="H401" s="1">
        <v>22</v>
      </c>
      <c r="I401" s="1"/>
      <c r="J401" s="1" t="s">
        <v>102</v>
      </c>
    </row>
    <row r="402" spans="1:10" x14ac:dyDescent="0.3">
      <c r="A402" s="5">
        <v>45835</v>
      </c>
      <c r="B402" s="1" t="s">
        <v>95</v>
      </c>
      <c r="C402" s="1" t="s">
        <v>96</v>
      </c>
      <c r="D402" s="1" t="s">
        <v>99</v>
      </c>
      <c r="E402" s="1" t="s">
        <v>146</v>
      </c>
      <c r="F402" s="1" t="s">
        <v>153</v>
      </c>
      <c r="G402" s="1">
        <v>245</v>
      </c>
      <c r="H402" s="1">
        <v>45</v>
      </c>
      <c r="I402" s="1">
        <v>9.8000000000000007</v>
      </c>
      <c r="J402" s="1"/>
    </row>
    <row r="403" spans="1:10" x14ac:dyDescent="0.3">
      <c r="A403" s="5">
        <v>45835</v>
      </c>
      <c r="B403" s="1" t="s">
        <v>95</v>
      </c>
      <c r="C403" s="1" t="s">
        <v>96</v>
      </c>
      <c r="D403" s="1" t="s">
        <v>97</v>
      </c>
      <c r="E403" s="1" t="s">
        <v>146</v>
      </c>
      <c r="F403" s="1" t="s">
        <v>153</v>
      </c>
      <c r="G403" s="1">
        <v>330</v>
      </c>
      <c r="H403" s="1">
        <v>45</v>
      </c>
      <c r="I403" s="1">
        <v>9.8000000000000007</v>
      </c>
      <c r="J403" s="1"/>
    </row>
    <row r="404" spans="1:10" x14ac:dyDescent="0.3">
      <c r="A404" s="5">
        <v>45835</v>
      </c>
      <c r="B404" s="1" t="s">
        <v>95</v>
      </c>
      <c r="C404" s="1" t="s">
        <v>96</v>
      </c>
      <c r="D404" s="1" t="s">
        <v>101</v>
      </c>
      <c r="E404" s="1" t="s">
        <v>146</v>
      </c>
      <c r="F404" s="1" t="s">
        <v>153</v>
      </c>
      <c r="G404" s="1">
        <v>245</v>
      </c>
      <c r="H404" s="1">
        <v>42</v>
      </c>
      <c r="I404" s="1">
        <v>7.2</v>
      </c>
      <c r="J404" s="1"/>
    </row>
    <row r="405" spans="1:10" x14ac:dyDescent="0.3">
      <c r="A405" s="5">
        <v>45835</v>
      </c>
      <c r="B405" s="1" t="s">
        <v>95</v>
      </c>
      <c r="C405" s="1" t="s">
        <v>96</v>
      </c>
      <c r="D405" s="1" t="s">
        <v>109</v>
      </c>
      <c r="E405" s="1" t="s">
        <v>146</v>
      </c>
      <c r="F405" s="1" t="s">
        <v>153</v>
      </c>
      <c r="G405" s="1">
        <v>255</v>
      </c>
      <c r="H405" s="1">
        <v>51</v>
      </c>
      <c r="I405" s="1">
        <v>8.6</v>
      </c>
      <c r="J405" s="1"/>
    </row>
    <row r="406" spans="1:10" x14ac:dyDescent="0.3">
      <c r="A406" s="5">
        <v>45835</v>
      </c>
      <c r="B406" s="1" t="s">
        <v>95</v>
      </c>
      <c r="C406" s="1" t="s">
        <v>96</v>
      </c>
      <c r="D406" s="1" t="s">
        <v>109</v>
      </c>
      <c r="E406" s="1" t="s">
        <v>144</v>
      </c>
      <c r="F406" s="1" t="s">
        <v>153</v>
      </c>
      <c r="G406" s="1">
        <v>260</v>
      </c>
      <c r="H406" s="1">
        <v>44</v>
      </c>
      <c r="I406" s="1">
        <v>8.1999999999999993</v>
      </c>
      <c r="J406" s="1"/>
    </row>
    <row r="407" spans="1:10" x14ac:dyDescent="0.3">
      <c r="A407" s="5">
        <v>45835</v>
      </c>
      <c r="B407" s="1" t="s">
        <v>95</v>
      </c>
      <c r="C407" s="1" t="s">
        <v>96</v>
      </c>
      <c r="D407" s="1" t="s">
        <v>101</v>
      </c>
      <c r="E407" s="1" t="s">
        <v>144</v>
      </c>
      <c r="F407" s="1" t="s">
        <v>153</v>
      </c>
      <c r="G407" s="1">
        <v>175</v>
      </c>
      <c r="H407" s="1">
        <v>39</v>
      </c>
      <c r="I407" s="1">
        <v>5.8</v>
      </c>
      <c r="J407" s="1"/>
    </row>
    <row r="408" spans="1:10" x14ac:dyDescent="0.3">
      <c r="A408" s="5">
        <v>45835</v>
      </c>
      <c r="B408" s="1" t="s">
        <v>100</v>
      </c>
      <c r="C408" s="1" t="s">
        <v>96</v>
      </c>
      <c r="D408" s="1" t="s">
        <v>101</v>
      </c>
      <c r="E408" s="1" t="s">
        <v>147</v>
      </c>
      <c r="F408" s="1" t="s">
        <v>153</v>
      </c>
      <c r="G408" s="1">
        <v>225</v>
      </c>
      <c r="H408" s="1">
        <v>46</v>
      </c>
      <c r="I408" s="1">
        <v>0.41805555555555562</v>
      </c>
      <c r="J408" s="1"/>
    </row>
    <row r="409" spans="1:10" x14ac:dyDescent="0.3">
      <c r="A409" s="5">
        <v>45835</v>
      </c>
      <c r="B409" s="1" t="s">
        <v>100</v>
      </c>
      <c r="C409" s="1"/>
      <c r="D409" s="1" t="s">
        <v>109</v>
      </c>
      <c r="E409" s="1" t="s">
        <v>147</v>
      </c>
      <c r="F409" s="1" t="s">
        <v>153</v>
      </c>
      <c r="G409" s="1">
        <v>260</v>
      </c>
      <c r="H409" s="1">
        <v>41</v>
      </c>
      <c r="I409" s="1">
        <v>0.33611111111111108</v>
      </c>
      <c r="J409" s="1"/>
    </row>
    <row r="410" spans="1:10" x14ac:dyDescent="0.3">
      <c r="A410" s="5">
        <v>45835</v>
      </c>
      <c r="B410" s="1" t="s">
        <v>100</v>
      </c>
      <c r="C410" s="1" t="s">
        <v>96</v>
      </c>
      <c r="D410" s="1" t="s">
        <v>99</v>
      </c>
      <c r="E410" s="1" t="s">
        <v>144</v>
      </c>
      <c r="F410" s="1" t="s">
        <v>153</v>
      </c>
      <c r="G410" s="1">
        <v>203</v>
      </c>
      <c r="H410" s="1">
        <v>34</v>
      </c>
      <c r="I410" s="1">
        <v>0.25138888888888888</v>
      </c>
      <c r="J410" s="1"/>
    </row>
    <row r="411" spans="1:10" x14ac:dyDescent="0.3">
      <c r="A411" s="5">
        <v>45835</v>
      </c>
      <c r="B411" s="1" t="s">
        <v>100</v>
      </c>
      <c r="C411" s="1" t="s">
        <v>96</v>
      </c>
      <c r="D411" s="1" t="s">
        <v>97</v>
      </c>
      <c r="E411" s="1" t="s">
        <v>144</v>
      </c>
      <c r="F411" s="1" t="s">
        <v>153</v>
      </c>
      <c r="G411" s="1">
        <v>210</v>
      </c>
      <c r="H411" s="1">
        <v>39</v>
      </c>
      <c r="I411" s="1">
        <v>0.25555555555555559</v>
      </c>
      <c r="J411" s="1"/>
    </row>
    <row r="412" spans="1:10" x14ac:dyDescent="0.3">
      <c r="A412" s="5">
        <v>45835</v>
      </c>
      <c r="B412" s="1" t="s">
        <v>100</v>
      </c>
      <c r="C412" s="1" t="s">
        <v>96</v>
      </c>
      <c r="D412" s="1" t="s">
        <v>99</v>
      </c>
      <c r="E412" s="1" t="s">
        <v>147</v>
      </c>
      <c r="F412" s="1" t="s">
        <v>153</v>
      </c>
      <c r="G412" s="1">
        <v>250</v>
      </c>
      <c r="H412" s="1">
        <v>48</v>
      </c>
      <c r="I412" s="1">
        <v>10</v>
      </c>
      <c r="J412" s="1"/>
    </row>
    <row r="413" spans="1:10" x14ac:dyDescent="0.3">
      <c r="A413" s="5">
        <v>45835</v>
      </c>
      <c r="B413" s="1" t="s">
        <v>100</v>
      </c>
      <c r="C413" s="1" t="s">
        <v>96</v>
      </c>
      <c r="D413" s="1" t="s">
        <v>97</v>
      </c>
      <c r="E413" s="1" t="s">
        <v>147</v>
      </c>
      <c r="F413" s="1" t="s">
        <v>153</v>
      </c>
      <c r="G413" s="1">
        <v>172</v>
      </c>
      <c r="H413" s="1">
        <v>37</v>
      </c>
      <c r="I413" s="1">
        <v>0.33888888888888891</v>
      </c>
      <c r="J413" s="1" t="s">
        <v>113</v>
      </c>
    </row>
    <row r="414" spans="1:10" x14ac:dyDescent="0.3">
      <c r="A414" s="5">
        <v>45834</v>
      </c>
      <c r="B414" s="1" t="s">
        <v>114</v>
      </c>
      <c r="C414" s="1" t="s">
        <v>104</v>
      </c>
      <c r="D414" s="1" t="s">
        <v>101</v>
      </c>
      <c r="E414" s="1" t="s">
        <v>146</v>
      </c>
      <c r="F414" s="1" t="s">
        <v>153</v>
      </c>
      <c r="G414" s="1">
        <v>221</v>
      </c>
      <c r="H414" s="1">
        <v>37</v>
      </c>
      <c r="I414" s="1">
        <v>8</v>
      </c>
      <c r="J414" s="1"/>
    </row>
    <row r="415" spans="1:10" x14ac:dyDescent="0.3">
      <c r="A415" s="5">
        <v>45834</v>
      </c>
      <c r="B415" s="1" t="s">
        <v>114</v>
      </c>
      <c r="C415" s="1" t="s">
        <v>104</v>
      </c>
      <c r="D415" s="1" t="s">
        <v>97</v>
      </c>
      <c r="E415" s="1" t="s">
        <v>146</v>
      </c>
      <c r="F415" s="1" t="s">
        <v>153</v>
      </c>
      <c r="G415" s="1">
        <v>192</v>
      </c>
      <c r="H415" s="1">
        <v>35</v>
      </c>
      <c r="I415" s="1">
        <v>7</v>
      </c>
      <c r="J415" s="1"/>
    </row>
    <row r="416" spans="1:10" x14ac:dyDescent="0.3">
      <c r="A416" s="5">
        <v>45834</v>
      </c>
      <c r="B416" s="1" t="s">
        <v>95</v>
      </c>
      <c r="C416" s="1" t="s">
        <v>104</v>
      </c>
      <c r="D416" s="1" t="s">
        <v>99</v>
      </c>
      <c r="E416" s="1" t="s">
        <v>147</v>
      </c>
      <c r="F416" s="1" t="s">
        <v>153</v>
      </c>
      <c r="G416" s="1">
        <v>275</v>
      </c>
      <c r="H416" s="1">
        <v>44</v>
      </c>
      <c r="I416" s="1">
        <v>9</v>
      </c>
      <c r="J416" s="1"/>
    </row>
    <row r="417" spans="1:10" x14ac:dyDescent="0.3">
      <c r="A417" s="5">
        <v>45834</v>
      </c>
      <c r="B417" s="1" t="s">
        <v>95</v>
      </c>
      <c r="C417" s="1" t="s">
        <v>104</v>
      </c>
      <c r="D417" s="1" t="s">
        <v>97</v>
      </c>
      <c r="E417" s="1" t="s">
        <v>144</v>
      </c>
      <c r="F417" s="1" t="s">
        <v>153</v>
      </c>
      <c r="G417" s="1">
        <v>217</v>
      </c>
      <c r="H417" s="1">
        <v>43</v>
      </c>
      <c r="I417" s="1">
        <v>8</v>
      </c>
      <c r="J417" s="1"/>
    </row>
    <row r="418" spans="1:10" x14ac:dyDescent="0.3">
      <c r="A418" s="5">
        <v>45834</v>
      </c>
      <c r="B418" s="1" t="s">
        <v>95</v>
      </c>
      <c r="C418" s="1" t="s">
        <v>104</v>
      </c>
      <c r="D418" s="1" t="s">
        <v>109</v>
      </c>
      <c r="E418" s="1" t="s">
        <v>146</v>
      </c>
      <c r="F418" s="1" t="s">
        <v>153</v>
      </c>
      <c r="G418" s="1">
        <v>220</v>
      </c>
      <c r="H418" s="1">
        <v>38</v>
      </c>
      <c r="I418" s="1">
        <v>9</v>
      </c>
      <c r="J418" s="1"/>
    </row>
    <row r="419" spans="1:10" x14ac:dyDescent="0.3">
      <c r="A419" s="5">
        <v>45834</v>
      </c>
      <c r="B419" s="1" t="s">
        <v>95</v>
      </c>
      <c r="C419" s="1" t="s">
        <v>104</v>
      </c>
      <c r="D419" s="1" t="s">
        <v>99</v>
      </c>
      <c r="E419" s="1" t="s">
        <v>146</v>
      </c>
      <c r="F419" s="1" t="s">
        <v>153</v>
      </c>
      <c r="G419" s="1">
        <v>252</v>
      </c>
      <c r="H419" s="1">
        <v>46</v>
      </c>
      <c r="I419" s="1">
        <v>10</v>
      </c>
      <c r="J419" s="1"/>
    </row>
    <row r="420" spans="1:10" x14ac:dyDescent="0.3">
      <c r="A420" s="5">
        <v>45834</v>
      </c>
      <c r="B420" s="1" t="s">
        <v>95</v>
      </c>
      <c r="C420" s="1" t="s">
        <v>104</v>
      </c>
      <c r="D420" s="1" t="s">
        <v>101</v>
      </c>
      <c r="E420" s="1" t="s">
        <v>147</v>
      </c>
      <c r="F420" s="1" t="s">
        <v>153</v>
      </c>
      <c r="G420" s="1">
        <v>250</v>
      </c>
      <c r="H420" s="1">
        <v>43</v>
      </c>
      <c r="I420" s="1">
        <v>9</v>
      </c>
      <c r="J420" s="1"/>
    </row>
    <row r="421" spans="1:10" x14ac:dyDescent="0.3">
      <c r="A421" s="5">
        <v>45834</v>
      </c>
      <c r="B421" s="1" t="s">
        <v>100</v>
      </c>
      <c r="C421" s="1" t="s">
        <v>104</v>
      </c>
      <c r="D421" s="1" t="s">
        <v>109</v>
      </c>
      <c r="E421" s="1" t="s">
        <v>144</v>
      </c>
      <c r="F421" s="1" t="s">
        <v>153</v>
      </c>
      <c r="G421" s="1">
        <v>275</v>
      </c>
      <c r="H421" s="1">
        <v>50</v>
      </c>
      <c r="I421" s="1">
        <v>9</v>
      </c>
      <c r="J421" s="1"/>
    </row>
    <row r="422" spans="1:10" x14ac:dyDescent="0.3">
      <c r="A422" s="5">
        <v>45834</v>
      </c>
      <c r="B422" s="1" t="s">
        <v>100</v>
      </c>
      <c r="C422" s="1" t="s">
        <v>104</v>
      </c>
      <c r="D422" s="1" t="s">
        <v>99</v>
      </c>
      <c r="E422" s="1" t="s">
        <v>144</v>
      </c>
      <c r="F422" s="1" t="s">
        <v>153</v>
      </c>
      <c r="G422" s="1">
        <v>250</v>
      </c>
      <c r="H422" s="1">
        <v>49</v>
      </c>
      <c r="I422" s="1">
        <v>0.37916666666666671</v>
      </c>
      <c r="J422" s="1" t="s">
        <v>113</v>
      </c>
    </row>
    <row r="423" spans="1:10" x14ac:dyDescent="0.3">
      <c r="A423" s="5">
        <v>45834</v>
      </c>
      <c r="B423" s="1" t="s">
        <v>100</v>
      </c>
      <c r="C423" s="1" t="s">
        <v>104</v>
      </c>
      <c r="D423" s="1" t="s">
        <v>101</v>
      </c>
      <c r="E423" s="1" t="s">
        <v>144</v>
      </c>
      <c r="F423" s="1" t="s">
        <v>153</v>
      </c>
      <c r="G423" s="1">
        <v>230</v>
      </c>
      <c r="H423" s="1">
        <v>37</v>
      </c>
      <c r="I423" s="1">
        <v>7</v>
      </c>
      <c r="J423" s="1" t="s">
        <v>113</v>
      </c>
    </row>
    <row r="424" spans="1:10" x14ac:dyDescent="0.3">
      <c r="A424" s="5">
        <v>45834</v>
      </c>
      <c r="B424" s="1" t="s">
        <v>100</v>
      </c>
      <c r="C424" s="1" t="s">
        <v>104</v>
      </c>
      <c r="D424" s="1" t="s">
        <v>97</v>
      </c>
      <c r="E424" s="1" t="s">
        <v>147</v>
      </c>
      <c r="F424" s="1" t="s">
        <v>153</v>
      </c>
      <c r="G424" s="1">
        <v>242</v>
      </c>
      <c r="H424" s="1">
        <v>44</v>
      </c>
      <c r="I424" s="1">
        <v>0.29722222222222222</v>
      </c>
      <c r="J424" s="1" t="s">
        <v>113</v>
      </c>
    </row>
    <row r="425" spans="1:10" x14ac:dyDescent="0.3">
      <c r="A425" s="5">
        <v>45834</v>
      </c>
      <c r="B425" s="1" t="s">
        <v>100</v>
      </c>
      <c r="C425" s="1" t="s">
        <v>104</v>
      </c>
      <c r="D425" s="1" t="s">
        <v>109</v>
      </c>
      <c r="E425" s="1" t="s">
        <v>147</v>
      </c>
      <c r="F425" s="1" t="s">
        <v>153</v>
      </c>
      <c r="G425" s="1">
        <v>176</v>
      </c>
      <c r="H425" s="1">
        <v>38</v>
      </c>
      <c r="I425" s="1"/>
      <c r="J425" s="1" t="s">
        <v>113</v>
      </c>
    </row>
    <row r="426" spans="1:10" x14ac:dyDescent="0.3">
      <c r="A426" s="5">
        <v>45930</v>
      </c>
      <c r="B426" s="1" t="s">
        <v>100</v>
      </c>
      <c r="C426" s="1" t="s">
        <v>96</v>
      </c>
      <c r="D426" s="1" t="s">
        <v>109</v>
      </c>
      <c r="E426" s="1" t="s">
        <v>144</v>
      </c>
      <c r="F426" s="1" t="s">
        <v>153</v>
      </c>
      <c r="G426" s="1">
        <v>345</v>
      </c>
      <c r="H426" s="1">
        <v>65</v>
      </c>
      <c r="I426" s="1">
        <v>14</v>
      </c>
      <c r="J426" s="1"/>
    </row>
    <row r="427" spans="1:10" x14ac:dyDescent="0.3">
      <c r="A427" s="5">
        <v>45930</v>
      </c>
      <c r="B427" s="1" t="s">
        <v>100</v>
      </c>
      <c r="C427" s="1" t="s">
        <v>96</v>
      </c>
      <c r="D427" s="1" t="s">
        <v>97</v>
      </c>
      <c r="E427" s="1" t="s">
        <v>147</v>
      </c>
      <c r="F427" s="1" t="s">
        <v>153</v>
      </c>
      <c r="G427" s="1">
        <v>320</v>
      </c>
      <c r="H427" s="1">
        <v>54</v>
      </c>
      <c r="I427" s="1">
        <v>13</v>
      </c>
      <c r="J427" s="1"/>
    </row>
    <row r="428" spans="1:10" x14ac:dyDescent="0.3">
      <c r="A428" s="5">
        <v>45925</v>
      </c>
      <c r="B428" s="1" t="s">
        <v>100</v>
      </c>
      <c r="C428" s="1" t="s">
        <v>104</v>
      </c>
      <c r="D428" s="1" t="s">
        <v>101</v>
      </c>
      <c r="E428" s="1" t="s">
        <v>147</v>
      </c>
      <c r="F428" s="1" t="s">
        <v>153</v>
      </c>
      <c r="G428" s="1">
        <v>286</v>
      </c>
      <c r="H428" s="1">
        <v>56</v>
      </c>
      <c r="I428" s="1">
        <v>12</v>
      </c>
      <c r="J428" s="1"/>
    </row>
    <row r="429" spans="1:10" x14ac:dyDescent="0.3">
      <c r="A429" s="5">
        <v>45925</v>
      </c>
      <c r="B429" s="1" t="s">
        <v>100</v>
      </c>
      <c r="C429" s="1" t="s">
        <v>104</v>
      </c>
      <c r="D429" s="1" t="s">
        <v>97</v>
      </c>
      <c r="E429" s="1" t="s">
        <v>146</v>
      </c>
      <c r="F429" s="1" t="s">
        <v>153</v>
      </c>
      <c r="G429" s="1">
        <v>295</v>
      </c>
      <c r="H429" s="1">
        <v>60</v>
      </c>
      <c r="I429" s="1">
        <v>13</v>
      </c>
      <c r="J429" s="1"/>
    </row>
    <row r="430" spans="1:10" x14ac:dyDescent="0.3">
      <c r="A430" s="5">
        <v>45925</v>
      </c>
      <c r="B430" s="1" t="s">
        <v>100</v>
      </c>
      <c r="C430" s="1" t="s">
        <v>104</v>
      </c>
      <c r="D430" s="1" t="s">
        <v>101</v>
      </c>
      <c r="E430" s="1" t="s">
        <v>146</v>
      </c>
      <c r="F430" s="1" t="s">
        <v>153</v>
      </c>
      <c r="G430" s="1">
        <v>286</v>
      </c>
      <c r="H430" s="1">
        <v>53</v>
      </c>
      <c r="I430" s="1">
        <v>13</v>
      </c>
      <c r="J430" s="1"/>
    </row>
    <row r="431" spans="1:10" x14ac:dyDescent="0.3">
      <c r="A431" s="5">
        <v>45925</v>
      </c>
      <c r="B431" s="1" t="s">
        <v>95</v>
      </c>
      <c r="C431" s="1" t="s">
        <v>104</v>
      </c>
      <c r="D431" s="1" t="s">
        <v>99</v>
      </c>
      <c r="E431" s="1" t="s">
        <v>146</v>
      </c>
      <c r="F431" s="1" t="s">
        <v>153</v>
      </c>
      <c r="G431" s="1">
        <v>320</v>
      </c>
      <c r="H431" s="1">
        <v>66</v>
      </c>
      <c r="I431" s="1">
        <v>14</v>
      </c>
      <c r="J431" s="1"/>
    </row>
    <row r="432" spans="1:10" x14ac:dyDescent="0.3">
      <c r="A432" s="5">
        <v>45925</v>
      </c>
      <c r="B432" s="1" t="s">
        <v>95</v>
      </c>
      <c r="C432" s="1" t="s">
        <v>104</v>
      </c>
      <c r="D432" s="1" t="s">
        <v>109</v>
      </c>
      <c r="E432" s="1" t="s">
        <v>147</v>
      </c>
      <c r="F432" s="1" t="s">
        <v>153</v>
      </c>
      <c r="G432" s="1">
        <v>315</v>
      </c>
      <c r="H432" s="1">
        <v>66</v>
      </c>
      <c r="I432" s="1">
        <v>12</v>
      </c>
      <c r="J432" s="1"/>
    </row>
    <row r="433" spans="1:10" x14ac:dyDescent="0.3">
      <c r="A433" s="5">
        <v>45925</v>
      </c>
      <c r="B433" s="1" t="s">
        <v>95</v>
      </c>
      <c r="C433" s="1" t="s">
        <v>104</v>
      </c>
      <c r="D433" s="1" t="s">
        <v>97</v>
      </c>
      <c r="E433" s="1" t="s">
        <v>144</v>
      </c>
      <c r="F433" s="1" t="s">
        <v>153</v>
      </c>
      <c r="G433" s="1">
        <v>285</v>
      </c>
      <c r="H433" s="1">
        <v>54</v>
      </c>
      <c r="I433" s="1">
        <v>11</v>
      </c>
      <c r="J433" s="1"/>
    </row>
    <row r="434" spans="1:10" x14ac:dyDescent="0.3">
      <c r="A434" s="5">
        <v>45923</v>
      </c>
      <c r="B434" s="1" t="s">
        <v>100</v>
      </c>
      <c r="C434" s="1" t="s">
        <v>104</v>
      </c>
      <c r="D434" s="1" t="s">
        <v>101</v>
      </c>
      <c r="E434" s="1" t="s">
        <v>144</v>
      </c>
      <c r="F434" s="1" t="s">
        <v>153</v>
      </c>
      <c r="G434" s="1">
        <v>290</v>
      </c>
      <c r="H434" s="1">
        <v>56</v>
      </c>
      <c r="I434" s="1">
        <v>12</v>
      </c>
      <c r="J434" s="1"/>
    </row>
    <row r="435" spans="1:10" x14ac:dyDescent="0.3">
      <c r="A435" s="5">
        <v>45923</v>
      </c>
      <c r="B435" s="1" t="s">
        <v>100</v>
      </c>
      <c r="C435" s="1" t="s">
        <v>104</v>
      </c>
      <c r="D435" s="1" t="s">
        <v>109</v>
      </c>
      <c r="E435" s="1" t="s">
        <v>144</v>
      </c>
      <c r="F435" s="1" t="s">
        <v>153</v>
      </c>
      <c r="G435" s="1">
        <v>335</v>
      </c>
      <c r="H435" s="1">
        <v>67</v>
      </c>
      <c r="I435" s="1">
        <v>15</v>
      </c>
      <c r="J435" s="1"/>
    </row>
    <row r="436" spans="1:10" x14ac:dyDescent="0.3">
      <c r="A436" s="5">
        <v>45923</v>
      </c>
      <c r="B436" s="1" t="s">
        <v>100</v>
      </c>
      <c r="C436" s="1" t="s">
        <v>104</v>
      </c>
      <c r="D436" s="1" t="s">
        <v>109</v>
      </c>
      <c r="E436" s="1" t="s">
        <v>146</v>
      </c>
      <c r="F436" s="1" t="s">
        <v>153</v>
      </c>
      <c r="G436" s="1">
        <v>293</v>
      </c>
      <c r="H436" s="1">
        <v>57</v>
      </c>
      <c r="I436" s="1">
        <v>14</v>
      </c>
      <c r="J436" s="1" t="s">
        <v>113</v>
      </c>
    </row>
    <row r="437" spans="1:10" x14ac:dyDescent="0.3">
      <c r="A437" s="5">
        <v>45923</v>
      </c>
      <c r="B437" s="1" t="s">
        <v>95</v>
      </c>
      <c r="C437" s="1" t="s">
        <v>104</v>
      </c>
      <c r="D437" s="1" t="s">
        <v>97</v>
      </c>
      <c r="E437" s="1" t="s">
        <v>147</v>
      </c>
      <c r="F437" s="1" t="s">
        <v>153</v>
      </c>
      <c r="G437" s="1">
        <v>300</v>
      </c>
      <c r="H437" s="1">
        <v>53</v>
      </c>
      <c r="I437" s="1">
        <v>11</v>
      </c>
      <c r="J437" s="1"/>
    </row>
    <row r="438" spans="1:10" x14ac:dyDescent="0.3">
      <c r="A438" s="5">
        <v>45923</v>
      </c>
      <c r="B438" s="1" t="s">
        <v>95</v>
      </c>
      <c r="C438" s="1" t="s">
        <v>104</v>
      </c>
      <c r="D438" s="1" t="s">
        <v>99</v>
      </c>
      <c r="E438" s="1" t="s">
        <v>147</v>
      </c>
      <c r="F438" s="1" t="s">
        <v>153</v>
      </c>
      <c r="G438" s="1">
        <v>325</v>
      </c>
      <c r="H438" s="1">
        <v>59</v>
      </c>
      <c r="I438" s="1">
        <v>11</v>
      </c>
      <c r="J438" s="1"/>
    </row>
    <row r="439" spans="1:10" x14ac:dyDescent="0.3">
      <c r="A439" s="5">
        <v>45923</v>
      </c>
      <c r="B439" s="1" t="s">
        <v>95</v>
      </c>
      <c r="C439" s="1" t="s">
        <v>104</v>
      </c>
      <c r="D439" s="1" t="s">
        <v>99</v>
      </c>
      <c r="E439" s="1" t="s">
        <v>144</v>
      </c>
      <c r="F439" s="1" t="s">
        <v>153</v>
      </c>
      <c r="G439" s="1">
        <v>323</v>
      </c>
      <c r="H439" s="1">
        <v>65</v>
      </c>
      <c r="I439" s="1">
        <v>14</v>
      </c>
      <c r="J439" s="1"/>
    </row>
    <row r="440" spans="1:10" x14ac:dyDescent="0.3">
      <c r="A440" s="5">
        <v>45933</v>
      </c>
      <c r="B440" s="1" t="s">
        <v>100</v>
      </c>
      <c r="C440" s="1" t="s">
        <v>96</v>
      </c>
      <c r="D440" s="1" t="s">
        <v>109</v>
      </c>
      <c r="E440" s="1" t="s">
        <v>147</v>
      </c>
      <c r="F440" s="1" t="s">
        <v>153</v>
      </c>
      <c r="G440" s="1">
        <v>304</v>
      </c>
      <c r="H440" s="1">
        <v>56</v>
      </c>
      <c r="I440" s="1">
        <v>11</v>
      </c>
      <c r="J440" s="1"/>
    </row>
    <row r="441" spans="1:10" x14ac:dyDescent="0.3">
      <c r="A441" s="5">
        <v>45933</v>
      </c>
      <c r="B441" s="1" t="s">
        <v>100</v>
      </c>
      <c r="C441" s="1" t="s">
        <v>96</v>
      </c>
      <c r="D441" s="1" t="s">
        <v>97</v>
      </c>
      <c r="E441" s="1" t="s">
        <v>146</v>
      </c>
      <c r="F441" s="1" t="s">
        <v>153</v>
      </c>
      <c r="G441" s="1">
        <v>320</v>
      </c>
      <c r="H441" s="1">
        <v>62</v>
      </c>
      <c r="I441" s="1">
        <v>12</v>
      </c>
      <c r="J441" s="1"/>
    </row>
    <row r="442" spans="1:10" x14ac:dyDescent="0.3">
      <c r="A442" s="5">
        <v>45932</v>
      </c>
      <c r="B442" s="1" t="s">
        <v>100</v>
      </c>
      <c r="C442" s="1" t="s">
        <v>96</v>
      </c>
      <c r="D442" s="1" t="s">
        <v>101</v>
      </c>
      <c r="E442" s="1" t="s">
        <v>147</v>
      </c>
      <c r="F442" s="1" t="s">
        <v>153</v>
      </c>
      <c r="G442" s="1">
        <v>304</v>
      </c>
      <c r="H442" s="1">
        <v>62</v>
      </c>
      <c r="I442" s="1">
        <v>12</v>
      </c>
      <c r="J442" s="1"/>
    </row>
    <row r="443" spans="1:10" x14ac:dyDescent="0.3">
      <c r="A443" s="5">
        <v>45932</v>
      </c>
      <c r="B443" s="1" t="s">
        <v>100</v>
      </c>
      <c r="C443" s="1" t="s">
        <v>96</v>
      </c>
      <c r="D443" s="1" t="s">
        <v>99</v>
      </c>
      <c r="E443" s="1" t="s">
        <v>146</v>
      </c>
      <c r="F443" s="1" t="s">
        <v>153</v>
      </c>
      <c r="G443" s="1">
        <v>290</v>
      </c>
      <c r="H443" s="1">
        <v>57</v>
      </c>
      <c r="I443" s="1">
        <v>9</v>
      </c>
      <c r="J443" s="1"/>
    </row>
    <row r="444" spans="1:10" x14ac:dyDescent="0.3">
      <c r="A444" s="5">
        <v>45931</v>
      </c>
      <c r="B444" s="1" t="s">
        <v>95</v>
      </c>
      <c r="C444" s="1" t="s">
        <v>96</v>
      </c>
      <c r="D444" s="1" t="s">
        <v>97</v>
      </c>
      <c r="E444" s="1" t="s">
        <v>144</v>
      </c>
      <c r="F444" s="1" t="s">
        <v>153</v>
      </c>
      <c r="G444" s="1">
        <v>300</v>
      </c>
      <c r="H444" s="1">
        <v>52</v>
      </c>
      <c r="I444" s="1">
        <v>9</v>
      </c>
      <c r="J444" s="1"/>
    </row>
    <row r="445" spans="1:10" x14ac:dyDescent="0.3">
      <c r="A445" s="5">
        <v>45931</v>
      </c>
      <c r="B445" s="1" t="s">
        <v>95</v>
      </c>
      <c r="C445" s="1" t="s">
        <v>96</v>
      </c>
      <c r="D445" s="1" t="s">
        <v>99</v>
      </c>
      <c r="E445" s="1" t="s">
        <v>144</v>
      </c>
      <c r="F445" s="1" t="s">
        <v>153</v>
      </c>
      <c r="G445" s="1">
        <v>353</v>
      </c>
      <c r="H445" s="1">
        <v>64</v>
      </c>
      <c r="I445" s="1">
        <v>11</v>
      </c>
      <c r="J445" s="1"/>
    </row>
    <row r="446" spans="1:10" x14ac:dyDescent="0.3">
      <c r="A446" s="5">
        <v>45931</v>
      </c>
      <c r="B446" s="1" t="s">
        <v>95</v>
      </c>
      <c r="C446" s="1" t="s">
        <v>96</v>
      </c>
      <c r="D446" s="1" t="s">
        <v>99</v>
      </c>
      <c r="E446" s="1" t="s">
        <v>147</v>
      </c>
      <c r="F446" s="1" t="s">
        <v>153</v>
      </c>
      <c r="G446" s="1">
        <v>340</v>
      </c>
      <c r="H446" s="1">
        <v>62</v>
      </c>
      <c r="I446" s="1">
        <v>11</v>
      </c>
      <c r="J446" s="1"/>
    </row>
    <row r="447" spans="1:10" x14ac:dyDescent="0.3">
      <c r="A447" s="5">
        <v>45931</v>
      </c>
      <c r="B447" s="1" t="s">
        <v>100</v>
      </c>
      <c r="C447" s="1" t="s">
        <v>96</v>
      </c>
      <c r="D447" s="1" t="s">
        <v>101</v>
      </c>
      <c r="E447" s="1" t="s">
        <v>146</v>
      </c>
      <c r="F447" s="1" t="s">
        <v>153</v>
      </c>
      <c r="G447" s="1">
        <v>330</v>
      </c>
      <c r="H447" s="1">
        <v>63</v>
      </c>
      <c r="I447" s="1">
        <v>12</v>
      </c>
      <c r="J447" s="1"/>
    </row>
    <row r="448" spans="1:10" x14ac:dyDescent="0.3">
      <c r="A448" s="5">
        <v>45931</v>
      </c>
      <c r="B448" s="1" t="s">
        <v>100</v>
      </c>
      <c r="C448" s="1" t="s">
        <v>96</v>
      </c>
      <c r="D448" s="1" t="s">
        <v>109</v>
      </c>
      <c r="E448" s="1" t="s">
        <v>146</v>
      </c>
      <c r="F448" s="1" t="s">
        <v>153</v>
      </c>
      <c r="G448" s="1">
        <v>338</v>
      </c>
      <c r="H448" s="1">
        <v>64</v>
      </c>
      <c r="I448" s="1">
        <v>13</v>
      </c>
      <c r="J448" s="1" t="s">
        <v>123</v>
      </c>
    </row>
    <row r="449" spans="1:10" x14ac:dyDescent="0.3">
      <c r="A449" s="5">
        <v>45931</v>
      </c>
      <c r="B449" s="1" t="s">
        <v>100</v>
      </c>
      <c r="C449" s="1" t="s">
        <v>96</v>
      </c>
      <c r="D449" s="1" t="s">
        <v>101</v>
      </c>
      <c r="E449" s="1" t="s">
        <v>144</v>
      </c>
      <c r="F449" s="1" t="s">
        <v>153</v>
      </c>
      <c r="G449" s="1">
        <v>290</v>
      </c>
      <c r="H449" s="1">
        <v>55</v>
      </c>
      <c r="I449" s="1">
        <v>13</v>
      </c>
      <c r="J449" s="1"/>
    </row>
    <row r="450" spans="1:10" x14ac:dyDescent="0.3">
      <c r="A450" s="5">
        <v>45737</v>
      </c>
      <c r="B450" s="1" t="s">
        <v>95</v>
      </c>
      <c r="C450" s="1" t="s">
        <v>96</v>
      </c>
      <c r="D450" s="1" t="s">
        <v>97</v>
      </c>
      <c r="E450" s="1" t="s">
        <v>144</v>
      </c>
      <c r="F450" s="1" t="s">
        <v>154</v>
      </c>
      <c r="G450" s="1">
        <v>70</v>
      </c>
      <c r="H450" s="1">
        <v>22</v>
      </c>
      <c r="I450" s="1"/>
      <c r="J450" s="1" t="s">
        <v>98</v>
      </c>
    </row>
    <row r="451" spans="1:10" x14ac:dyDescent="0.3">
      <c r="A451" s="5">
        <v>45737</v>
      </c>
      <c r="B451" s="1" t="s">
        <v>95</v>
      </c>
      <c r="C451" s="1" t="s">
        <v>96</v>
      </c>
      <c r="D451" s="1" t="s">
        <v>97</v>
      </c>
      <c r="E451" s="1" t="s">
        <v>146</v>
      </c>
      <c r="F451" s="1" t="s">
        <v>154</v>
      </c>
      <c r="G451" s="1">
        <v>87</v>
      </c>
      <c r="H451" s="1">
        <v>20</v>
      </c>
      <c r="I451" s="1"/>
      <c r="J451" s="1" t="s">
        <v>98</v>
      </c>
    </row>
    <row r="452" spans="1:10" x14ac:dyDescent="0.3">
      <c r="A452" s="5">
        <v>45737</v>
      </c>
      <c r="B452" s="1" t="s">
        <v>95</v>
      </c>
      <c r="C452" s="1" t="s">
        <v>96</v>
      </c>
      <c r="D452" s="1" t="s">
        <v>99</v>
      </c>
      <c r="E452" s="1" t="s">
        <v>144</v>
      </c>
      <c r="F452" s="1" t="s">
        <v>154</v>
      </c>
      <c r="G452" s="1">
        <v>90</v>
      </c>
      <c r="H452" s="1">
        <v>19</v>
      </c>
      <c r="I452" s="1"/>
      <c r="J452" s="1" t="s">
        <v>98</v>
      </c>
    </row>
    <row r="453" spans="1:10" x14ac:dyDescent="0.3">
      <c r="A453" s="5">
        <v>45737</v>
      </c>
      <c r="B453" s="1" t="s">
        <v>95</v>
      </c>
      <c r="C453" s="1" t="s">
        <v>96</v>
      </c>
      <c r="D453" s="1" t="s">
        <v>97</v>
      </c>
      <c r="E453" s="1" t="s">
        <v>147</v>
      </c>
      <c r="F453" s="1" t="s">
        <v>154</v>
      </c>
      <c r="G453" s="1">
        <v>90</v>
      </c>
      <c r="H453" s="1">
        <v>23</v>
      </c>
      <c r="I453" s="1"/>
      <c r="J453" s="1" t="s">
        <v>98</v>
      </c>
    </row>
    <row r="454" spans="1:10" x14ac:dyDescent="0.3">
      <c r="A454" s="5">
        <v>45737</v>
      </c>
      <c r="B454" s="1" t="s">
        <v>100</v>
      </c>
      <c r="C454" s="1" t="s">
        <v>96</v>
      </c>
      <c r="D454" s="1" t="s">
        <v>101</v>
      </c>
      <c r="E454" s="1" t="s">
        <v>146</v>
      </c>
      <c r="F454" s="1" t="s">
        <v>154</v>
      </c>
      <c r="G454" s="1">
        <v>82</v>
      </c>
      <c r="H454" s="1">
        <v>21</v>
      </c>
      <c r="I454" s="1"/>
      <c r="J454" s="1" t="s">
        <v>102</v>
      </c>
    </row>
    <row r="455" spans="1:10" x14ac:dyDescent="0.3">
      <c r="A455" s="5">
        <v>45737</v>
      </c>
      <c r="B455" s="1" t="s">
        <v>100</v>
      </c>
      <c r="C455" s="1" t="s">
        <v>96</v>
      </c>
      <c r="D455" s="1" t="s">
        <v>99</v>
      </c>
      <c r="E455" s="1" t="s">
        <v>146</v>
      </c>
      <c r="F455" s="1" t="s">
        <v>154</v>
      </c>
      <c r="G455" s="1">
        <v>75</v>
      </c>
      <c r="H455" s="1">
        <v>21</v>
      </c>
      <c r="I455" s="1"/>
      <c r="J455" s="1" t="s">
        <v>102</v>
      </c>
    </row>
    <row r="456" spans="1:10" x14ac:dyDescent="0.3">
      <c r="A456" s="5">
        <v>45737</v>
      </c>
      <c r="B456" s="1" t="s">
        <v>100</v>
      </c>
      <c r="C456" s="1" t="s">
        <v>96</v>
      </c>
      <c r="D456" s="1" t="s">
        <v>97</v>
      </c>
      <c r="E456" s="1" t="s">
        <v>146</v>
      </c>
      <c r="F456" s="1" t="s">
        <v>154</v>
      </c>
      <c r="G456" s="1">
        <v>85</v>
      </c>
      <c r="H456" s="1">
        <v>24</v>
      </c>
      <c r="I456" s="1"/>
      <c r="J456" s="1" t="s">
        <v>102</v>
      </c>
    </row>
    <row r="457" spans="1:10" x14ac:dyDescent="0.3">
      <c r="A457" s="5">
        <v>45737</v>
      </c>
      <c r="B457" s="1" t="s">
        <v>100</v>
      </c>
      <c r="C457" s="1" t="s">
        <v>96</v>
      </c>
      <c r="D457" s="1" t="s">
        <v>101</v>
      </c>
      <c r="E457" s="1" t="s">
        <v>144</v>
      </c>
      <c r="F457" s="1" t="s">
        <v>154</v>
      </c>
      <c r="G457" s="1">
        <v>90</v>
      </c>
      <c r="H457" s="1">
        <v>21</v>
      </c>
      <c r="I457" s="1"/>
      <c r="J457" s="1" t="s">
        <v>102</v>
      </c>
    </row>
    <row r="458" spans="1:10" x14ac:dyDescent="0.3">
      <c r="A458" s="5">
        <v>45729</v>
      </c>
      <c r="B458" s="1" t="s">
        <v>95</v>
      </c>
      <c r="C458" s="1" t="s">
        <v>104</v>
      </c>
      <c r="D458" s="1" t="s">
        <v>101</v>
      </c>
      <c r="E458" s="1" t="s">
        <v>144</v>
      </c>
      <c r="F458" s="1" t="s">
        <v>154</v>
      </c>
      <c r="G458" s="1">
        <v>90</v>
      </c>
      <c r="H458" s="1">
        <v>22</v>
      </c>
      <c r="I458" s="1"/>
      <c r="J458" s="1" t="s">
        <v>103</v>
      </c>
    </row>
    <row r="459" spans="1:10" x14ac:dyDescent="0.3">
      <c r="A459" s="5">
        <v>45729</v>
      </c>
      <c r="B459" s="1" t="s">
        <v>95</v>
      </c>
      <c r="C459" s="1" t="s">
        <v>104</v>
      </c>
      <c r="D459" s="1" t="s">
        <v>97</v>
      </c>
      <c r="E459" s="1" t="s">
        <v>146</v>
      </c>
      <c r="F459" s="1" t="s">
        <v>154</v>
      </c>
      <c r="G459" s="1">
        <v>95</v>
      </c>
      <c r="H459" s="1">
        <v>23</v>
      </c>
      <c r="I459" s="1"/>
      <c r="J459" s="1" t="s">
        <v>103</v>
      </c>
    </row>
    <row r="460" spans="1:10" x14ac:dyDescent="0.3">
      <c r="A460" s="5">
        <v>45729</v>
      </c>
      <c r="B460" s="1" t="s">
        <v>95</v>
      </c>
      <c r="C460" s="1" t="s">
        <v>104</v>
      </c>
      <c r="D460" s="1" t="s">
        <v>101</v>
      </c>
      <c r="E460" s="1" t="s">
        <v>146</v>
      </c>
      <c r="F460" s="1" t="s">
        <v>154</v>
      </c>
      <c r="G460" s="1">
        <v>74</v>
      </c>
      <c r="H460" s="1">
        <v>19</v>
      </c>
      <c r="I460" s="1"/>
      <c r="J460" s="1" t="s">
        <v>103</v>
      </c>
    </row>
    <row r="461" spans="1:10" x14ac:dyDescent="0.3">
      <c r="A461" s="5">
        <v>45729</v>
      </c>
      <c r="B461" s="1" t="s">
        <v>95</v>
      </c>
      <c r="C461" s="1" t="s">
        <v>104</v>
      </c>
      <c r="D461" s="1" t="s">
        <v>99</v>
      </c>
      <c r="E461" s="1" t="s">
        <v>144</v>
      </c>
      <c r="F461" s="1" t="s">
        <v>154</v>
      </c>
      <c r="G461" s="1">
        <v>81</v>
      </c>
      <c r="H461" s="1">
        <v>19</v>
      </c>
      <c r="I461" s="1"/>
      <c r="J461" s="1" t="s">
        <v>103</v>
      </c>
    </row>
    <row r="462" spans="1:10" x14ac:dyDescent="0.3">
      <c r="A462" s="5">
        <v>45729</v>
      </c>
      <c r="B462" s="1" t="s">
        <v>100</v>
      </c>
      <c r="C462" s="1" t="s">
        <v>104</v>
      </c>
      <c r="D462" s="1" t="s">
        <v>97</v>
      </c>
      <c r="E462" s="1" t="s">
        <v>147</v>
      </c>
      <c r="F462" s="1" t="s">
        <v>154</v>
      </c>
      <c r="G462" s="1">
        <v>97</v>
      </c>
      <c r="H462" s="1">
        <v>22</v>
      </c>
      <c r="I462" s="1"/>
      <c r="J462" s="1" t="s">
        <v>102</v>
      </c>
    </row>
    <row r="463" spans="1:10" x14ac:dyDescent="0.3">
      <c r="A463" s="5">
        <v>45729</v>
      </c>
      <c r="B463" s="1" t="s">
        <v>100</v>
      </c>
      <c r="C463" s="1" t="s">
        <v>104</v>
      </c>
      <c r="D463" s="1" t="s">
        <v>109</v>
      </c>
      <c r="E463" s="1" t="s">
        <v>144</v>
      </c>
      <c r="F463" s="1" t="s">
        <v>154</v>
      </c>
      <c r="G463" s="1">
        <v>80</v>
      </c>
      <c r="H463" s="1">
        <v>23</v>
      </c>
      <c r="I463" s="1"/>
      <c r="J463" s="1" t="s">
        <v>102</v>
      </c>
    </row>
    <row r="464" spans="1:10" x14ac:dyDescent="0.3">
      <c r="A464" s="5">
        <v>45729</v>
      </c>
      <c r="B464" s="1" t="s">
        <v>100</v>
      </c>
      <c r="C464" s="1" t="s">
        <v>104</v>
      </c>
      <c r="D464" s="1" t="s">
        <v>99</v>
      </c>
      <c r="E464" s="1" t="s">
        <v>147</v>
      </c>
      <c r="F464" s="1" t="s">
        <v>154</v>
      </c>
      <c r="G464" s="1">
        <v>100</v>
      </c>
      <c r="H464" s="1">
        <v>23</v>
      </c>
      <c r="I464" s="1"/>
      <c r="J464" s="1" t="s">
        <v>102</v>
      </c>
    </row>
    <row r="465" spans="1:10" x14ac:dyDescent="0.3">
      <c r="A465" s="5">
        <v>45729</v>
      </c>
      <c r="B465" s="1" t="s">
        <v>100</v>
      </c>
      <c r="C465" s="1" t="s">
        <v>104</v>
      </c>
      <c r="D465" s="1" t="s">
        <v>97</v>
      </c>
      <c r="E465" s="1" t="s">
        <v>144</v>
      </c>
      <c r="F465" s="1" t="s">
        <v>154</v>
      </c>
      <c r="G465" s="1">
        <v>88</v>
      </c>
      <c r="H465" s="1">
        <v>19</v>
      </c>
      <c r="I465" s="1"/>
      <c r="J465" s="1" t="s">
        <v>102</v>
      </c>
    </row>
    <row r="466" spans="1:10" x14ac:dyDescent="0.3">
      <c r="A466" s="5">
        <v>45835</v>
      </c>
      <c r="B466" s="1" t="s">
        <v>95</v>
      </c>
      <c r="C466" s="1" t="s">
        <v>96</v>
      </c>
      <c r="D466" s="1" t="s">
        <v>99</v>
      </c>
      <c r="E466" s="1" t="s">
        <v>146</v>
      </c>
      <c r="F466" s="1" t="s">
        <v>154</v>
      </c>
      <c r="G466" s="1">
        <v>200</v>
      </c>
      <c r="H466" s="1">
        <v>34</v>
      </c>
      <c r="I466" s="1">
        <v>6.4</v>
      </c>
      <c r="J466" s="1"/>
    </row>
    <row r="467" spans="1:10" x14ac:dyDescent="0.3">
      <c r="A467" s="5">
        <v>45835</v>
      </c>
      <c r="B467" s="1" t="s">
        <v>95</v>
      </c>
      <c r="C467" s="1" t="s">
        <v>96</v>
      </c>
      <c r="D467" s="1" t="s">
        <v>97</v>
      </c>
      <c r="E467" s="1" t="s">
        <v>146</v>
      </c>
      <c r="F467" s="1" t="s">
        <v>154</v>
      </c>
      <c r="G467" s="1">
        <v>250</v>
      </c>
      <c r="H467" s="1">
        <v>44</v>
      </c>
      <c r="I467" s="1">
        <v>8.8000000000000007</v>
      </c>
      <c r="J467" s="1"/>
    </row>
    <row r="468" spans="1:10" x14ac:dyDescent="0.3">
      <c r="A468" s="5">
        <v>45835</v>
      </c>
      <c r="B468" s="1" t="s">
        <v>95</v>
      </c>
      <c r="C468" s="1" t="s">
        <v>96</v>
      </c>
      <c r="D468" s="1" t="s">
        <v>101</v>
      </c>
      <c r="E468" s="1" t="s">
        <v>146</v>
      </c>
      <c r="F468" s="1" t="s">
        <v>154</v>
      </c>
      <c r="G468" s="1">
        <v>214</v>
      </c>
      <c r="H468" s="1">
        <v>37</v>
      </c>
      <c r="I468" s="1">
        <v>9</v>
      </c>
      <c r="J468" s="1"/>
    </row>
    <row r="469" spans="1:10" x14ac:dyDescent="0.3">
      <c r="A469" s="5">
        <v>45835</v>
      </c>
      <c r="B469" s="1" t="s">
        <v>95</v>
      </c>
      <c r="C469" s="1" t="s">
        <v>96</v>
      </c>
      <c r="D469" s="1" t="s">
        <v>109</v>
      </c>
      <c r="E469" s="1" t="s">
        <v>146</v>
      </c>
      <c r="F469" s="1" t="s">
        <v>154</v>
      </c>
      <c r="G469" s="1">
        <v>253</v>
      </c>
      <c r="H469" s="1">
        <v>46</v>
      </c>
      <c r="I469" s="1">
        <v>9.8000000000000007</v>
      </c>
      <c r="J469" s="1"/>
    </row>
    <row r="470" spans="1:10" x14ac:dyDescent="0.3">
      <c r="A470" s="5">
        <v>45835</v>
      </c>
      <c r="B470" s="1" t="s">
        <v>95</v>
      </c>
      <c r="C470" s="1" t="s">
        <v>96</v>
      </c>
      <c r="D470" s="1" t="s">
        <v>109</v>
      </c>
      <c r="E470" s="1" t="s">
        <v>144</v>
      </c>
      <c r="F470" s="1" t="s">
        <v>154</v>
      </c>
      <c r="G470" s="1">
        <v>190</v>
      </c>
      <c r="H470" s="1">
        <v>35</v>
      </c>
      <c r="I470" s="1">
        <v>4.4000000000000004</v>
      </c>
      <c r="J470" s="1"/>
    </row>
    <row r="471" spans="1:10" x14ac:dyDescent="0.3">
      <c r="A471" s="5">
        <v>45835</v>
      </c>
      <c r="B471" s="1" t="s">
        <v>95</v>
      </c>
      <c r="C471" s="1" t="s">
        <v>96</v>
      </c>
      <c r="D471" s="1" t="s">
        <v>101</v>
      </c>
      <c r="E471" s="1" t="s">
        <v>144</v>
      </c>
      <c r="F471" s="1" t="s">
        <v>154</v>
      </c>
      <c r="G471" s="1">
        <v>240</v>
      </c>
      <c r="H471" s="1">
        <v>42</v>
      </c>
      <c r="I471" s="1">
        <v>9.8000000000000007</v>
      </c>
      <c r="J471" s="1"/>
    </row>
    <row r="472" spans="1:10" x14ac:dyDescent="0.3">
      <c r="A472" s="5">
        <v>45835</v>
      </c>
      <c r="B472" s="1" t="s">
        <v>100</v>
      </c>
      <c r="C472" s="1" t="s">
        <v>96</v>
      </c>
      <c r="D472" s="1" t="s">
        <v>101</v>
      </c>
      <c r="E472" s="1" t="s">
        <v>147</v>
      </c>
      <c r="F472" s="1" t="s">
        <v>154</v>
      </c>
      <c r="G472" s="1">
        <v>190</v>
      </c>
      <c r="H472" s="1">
        <v>32</v>
      </c>
      <c r="I472" s="1">
        <v>0.25138888888888888</v>
      </c>
      <c r="J472" s="1"/>
    </row>
    <row r="473" spans="1:10" x14ac:dyDescent="0.3">
      <c r="A473" s="5">
        <v>45835</v>
      </c>
      <c r="B473" s="1" t="s">
        <v>100</v>
      </c>
      <c r="C473" s="1"/>
      <c r="D473" s="1" t="s">
        <v>109</v>
      </c>
      <c r="E473" s="1" t="s">
        <v>147</v>
      </c>
      <c r="F473" s="1" t="s">
        <v>154</v>
      </c>
      <c r="G473" s="1">
        <v>245</v>
      </c>
      <c r="H473" s="1">
        <v>45</v>
      </c>
      <c r="I473" s="1">
        <v>0.33888888888888891</v>
      </c>
      <c r="J473" s="1"/>
    </row>
    <row r="474" spans="1:10" x14ac:dyDescent="0.3">
      <c r="A474" s="5">
        <v>45835</v>
      </c>
      <c r="B474" s="1" t="s">
        <v>100</v>
      </c>
      <c r="C474" s="1" t="s">
        <v>96</v>
      </c>
      <c r="D474" s="1" t="s">
        <v>99</v>
      </c>
      <c r="E474" s="1" t="s">
        <v>144</v>
      </c>
      <c r="F474" s="1" t="s">
        <v>154</v>
      </c>
      <c r="G474" s="1">
        <v>210</v>
      </c>
      <c r="H474" s="1">
        <v>40</v>
      </c>
      <c r="I474" s="1">
        <v>8</v>
      </c>
      <c r="J474" s="1"/>
    </row>
    <row r="475" spans="1:10" x14ac:dyDescent="0.3">
      <c r="A475" s="5">
        <v>45835</v>
      </c>
      <c r="B475" s="1" t="s">
        <v>100</v>
      </c>
      <c r="C475" s="1" t="s">
        <v>96</v>
      </c>
      <c r="D475" s="1" t="s">
        <v>97</v>
      </c>
      <c r="E475" s="1" t="s">
        <v>144</v>
      </c>
      <c r="F475" s="1" t="s">
        <v>154</v>
      </c>
      <c r="G475" s="1">
        <v>180</v>
      </c>
      <c r="H475" s="1">
        <v>38</v>
      </c>
      <c r="I475" s="1">
        <v>0.2097222222222222</v>
      </c>
      <c r="J475" s="1"/>
    </row>
    <row r="476" spans="1:10" x14ac:dyDescent="0.3">
      <c r="A476" s="5">
        <v>45835</v>
      </c>
      <c r="B476" s="1" t="s">
        <v>100</v>
      </c>
      <c r="C476" s="1" t="s">
        <v>96</v>
      </c>
      <c r="D476" s="1" t="s">
        <v>99</v>
      </c>
      <c r="E476" s="1" t="s">
        <v>147</v>
      </c>
      <c r="F476" s="1" t="s">
        <v>154</v>
      </c>
      <c r="G476" s="1">
        <v>244</v>
      </c>
      <c r="H476" s="1">
        <v>43</v>
      </c>
      <c r="I476" s="1">
        <v>10</v>
      </c>
      <c r="J476" s="1"/>
    </row>
    <row r="477" spans="1:10" x14ac:dyDescent="0.3">
      <c r="A477" s="5">
        <v>45835</v>
      </c>
      <c r="B477" s="1" t="s">
        <v>100</v>
      </c>
      <c r="C477" s="1" t="s">
        <v>96</v>
      </c>
      <c r="D477" s="1" t="s">
        <v>97</v>
      </c>
      <c r="E477" s="1" t="s">
        <v>147</v>
      </c>
      <c r="F477" s="1" t="s">
        <v>154</v>
      </c>
      <c r="G477" s="1">
        <v>202</v>
      </c>
      <c r="H477" s="1">
        <v>36</v>
      </c>
      <c r="I477" s="1">
        <v>0.37916666666666671</v>
      </c>
      <c r="J477" s="1" t="s">
        <v>113</v>
      </c>
    </row>
    <row r="478" spans="1:10" x14ac:dyDescent="0.3">
      <c r="A478" s="5">
        <v>45834</v>
      </c>
      <c r="B478" s="1" t="s">
        <v>114</v>
      </c>
      <c r="C478" s="1" t="s">
        <v>104</v>
      </c>
      <c r="D478" s="1" t="s">
        <v>101</v>
      </c>
      <c r="E478" s="1" t="s">
        <v>146</v>
      </c>
      <c r="F478" s="1" t="s">
        <v>154</v>
      </c>
      <c r="G478" s="1">
        <v>200</v>
      </c>
      <c r="H478" s="1">
        <v>34</v>
      </c>
      <c r="I478" s="1">
        <v>6</v>
      </c>
      <c r="J478" s="1"/>
    </row>
    <row r="479" spans="1:10" x14ac:dyDescent="0.3">
      <c r="A479" s="5">
        <v>45834</v>
      </c>
      <c r="B479" s="1" t="s">
        <v>114</v>
      </c>
      <c r="C479" s="1" t="s">
        <v>104</v>
      </c>
      <c r="D479" s="1" t="s">
        <v>97</v>
      </c>
      <c r="E479" s="1" t="s">
        <v>146</v>
      </c>
      <c r="F479" s="1" t="s">
        <v>154</v>
      </c>
      <c r="G479" s="1">
        <v>244</v>
      </c>
      <c r="H479" s="1">
        <v>44</v>
      </c>
      <c r="I479" s="1">
        <v>8</v>
      </c>
      <c r="J479" s="1"/>
    </row>
    <row r="480" spans="1:10" x14ac:dyDescent="0.3">
      <c r="A480" s="5">
        <v>45834</v>
      </c>
      <c r="B480" s="1" t="s">
        <v>95</v>
      </c>
      <c r="C480" s="1" t="s">
        <v>104</v>
      </c>
      <c r="D480" s="1" t="s">
        <v>99</v>
      </c>
      <c r="E480" s="1" t="s">
        <v>147</v>
      </c>
      <c r="F480" s="1" t="s">
        <v>154</v>
      </c>
      <c r="G480" s="1">
        <v>215</v>
      </c>
      <c r="H480" s="1">
        <v>37</v>
      </c>
      <c r="I480" s="1">
        <v>8</v>
      </c>
      <c r="J480" s="1"/>
    </row>
    <row r="481" spans="1:10" x14ac:dyDescent="0.3">
      <c r="A481" s="5">
        <v>45834</v>
      </c>
      <c r="B481" s="1" t="s">
        <v>95</v>
      </c>
      <c r="C481" s="1" t="s">
        <v>104</v>
      </c>
      <c r="D481" s="1" t="s">
        <v>97</v>
      </c>
      <c r="E481" s="1" t="s">
        <v>144</v>
      </c>
      <c r="F481" s="1" t="s">
        <v>154</v>
      </c>
      <c r="G481" s="1">
        <v>203</v>
      </c>
      <c r="H481" s="1">
        <v>31</v>
      </c>
      <c r="I481" s="1">
        <v>6</v>
      </c>
      <c r="J481" s="1"/>
    </row>
    <row r="482" spans="1:10" x14ac:dyDescent="0.3">
      <c r="A482" s="5">
        <v>45834</v>
      </c>
      <c r="B482" s="1" t="s">
        <v>95</v>
      </c>
      <c r="C482" s="1" t="s">
        <v>104</v>
      </c>
      <c r="D482" s="1" t="s">
        <v>109</v>
      </c>
      <c r="E482" s="1" t="s">
        <v>146</v>
      </c>
      <c r="F482" s="1" t="s">
        <v>154</v>
      </c>
      <c r="G482" s="1">
        <v>286</v>
      </c>
      <c r="H482" s="1">
        <v>43</v>
      </c>
      <c r="I482" s="1">
        <v>9</v>
      </c>
      <c r="J482" s="1"/>
    </row>
    <row r="483" spans="1:10" x14ac:dyDescent="0.3">
      <c r="A483" s="5">
        <v>45834</v>
      </c>
      <c r="B483" s="1" t="s">
        <v>95</v>
      </c>
      <c r="C483" s="1" t="s">
        <v>104</v>
      </c>
      <c r="D483" s="1" t="s">
        <v>99</v>
      </c>
      <c r="E483" s="1" t="s">
        <v>146</v>
      </c>
      <c r="F483" s="1" t="s">
        <v>154</v>
      </c>
      <c r="G483" s="1">
        <v>260</v>
      </c>
      <c r="H483" s="1">
        <v>49</v>
      </c>
      <c r="I483" s="1">
        <v>10</v>
      </c>
      <c r="J483" s="1"/>
    </row>
    <row r="484" spans="1:10" x14ac:dyDescent="0.3">
      <c r="A484" s="5">
        <v>45834</v>
      </c>
      <c r="B484" s="1" t="s">
        <v>95</v>
      </c>
      <c r="C484" s="1" t="s">
        <v>104</v>
      </c>
      <c r="D484" s="1" t="s">
        <v>101</v>
      </c>
      <c r="E484" s="1" t="s">
        <v>147</v>
      </c>
      <c r="F484" s="1" t="s">
        <v>154</v>
      </c>
      <c r="G484" s="1">
        <v>250</v>
      </c>
      <c r="H484" s="1">
        <v>46</v>
      </c>
      <c r="I484" s="1">
        <v>10</v>
      </c>
      <c r="J484" s="1"/>
    </row>
    <row r="485" spans="1:10" x14ac:dyDescent="0.3">
      <c r="A485" s="5">
        <v>45834</v>
      </c>
      <c r="B485" s="1" t="s">
        <v>100</v>
      </c>
      <c r="C485" s="1" t="s">
        <v>104</v>
      </c>
      <c r="D485" s="1" t="s">
        <v>109</v>
      </c>
      <c r="E485" s="1" t="s">
        <v>144</v>
      </c>
      <c r="F485" s="1" t="s">
        <v>154</v>
      </c>
      <c r="G485" s="1">
        <v>226</v>
      </c>
      <c r="H485" s="1">
        <v>42</v>
      </c>
      <c r="I485" s="1">
        <v>7</v>
      </c>
      <c r="J485" s="1"/>
    </row>
    <row r="486" spans="1:10" x14ac:dyDescent="0.3">
      <c r="A486" s="5">
        <v>45834</v>
      </c>
      <c r="B486" s="1" t="s">
        <v>100</v>
      </c>
      <c r="C486" s="1" t="s">
        <v>104</v>
      </c>
      <c r="D486" s="1" t="s">
        <v>99</v>
      </c>
      <c r="E486" s="1" t="s">
        <v>144</v>
      </c>
      <c r="F486" s="1" t="s">
        <v>154</v>
      </c>
      <c r="G486" s="1">
        <v>195</v>
      </c>
      <c r="H486" s="1">
        <v>35</v>
      </c>
      <c r="I486" s="1">
        <v>0.25416666666666671</v>
      </c>
      <c r="J486" s="1" t="s">
        <v>113</v>
      </c>
    </row>
    <row r="487" spans="1:10" x14ac:dyDescent="0.3">
      <c r="A487" s="5">
        <v>45834</v>
      </c>
      <c r="B487" s="1" t="s">
        <v>100</v>
      </c>
      <c r="C487" s="1" t="s">
        <v>104</v>
      </c>
      <c r="D487" s="1" t="s">
        <v>101</v>
      </c>
      <c r="E487" s="1" t="s">
        <v>144</v>
      </c>
      <c r="F487" s="1" t="s">
        <v>154</v>
      </c>
      <c r="G487" s="1">
        <v>235</v>
      </c>
      <c r="H487" s="1">
        <v>44</v>
      </c>
      <c r="I487" s="1">
        <v>0.42083333333333328</v>
      </c>
      <c r="J487" s="1" t="s">
        <v>113</v>
      </c>
    </row>
    <row r="488" spans="1:10" x14ac:dyDescent="0.3">
      <c r="A488" s="5">
        <v>45834</v>
      </c>
      <c r="B488" s="1" t="s">
        <v>100</v>
      </c>
      <c r="C488" s="1" t="s">
        <v>104</v>
      </c>
      <c r="D488" s="1" t="s">
        <v>97</v>
      </c>
      <c r="E488" s="1" t="s">
        <v>147</v>
      </c>
      <c r="F488" s="1" t="s">
        <v>154</v>
      </c>
      <c r="G488" s="1">
        <v>270</v>
      </c>
      <c r="H488" s="1">
        <v>51</v>
      </c>
      <c r="I488" s="1">
        <v>0.37638888888888888</v>
      </c>
      <c r="J488" s="1" t="s">
        <v>113</v>
      </c>
    </row>
    <row r="489" spans="1:10" x14ac:dyDescent="0.3">
      <c r="A489" s="5">
        <v>45834</v>
      </c>
      <c r="B489" s="1" t="s">
        <v>100</v>
      </c>
      <c r="C489" s="1" t="s">
        <v>104</v>
      </c>
      <c r="D489" s="1" t="s">
        <v>109</v>
      </c>
      <c r="E489" s="1" t="s">
        <v>147</v>
      </c>
      <c r="F489" s="1" t="s">
        <v>154</v>
      </c>
      <c r="G489" s="1">
        <v>220</v>
      </c>
      <c r="H489" s="1">
        <v>40</v>
      </c>
      <c r="I489" s="1">
        <v>8</v>
      </c>
      <c r="J489" s="1" t="s">
        <v>113</v>
      </c>
    </row>
    <row r="490" spans="1:10" x14ac:dyDescent="0.3">
      <c r="A490" s="5">
        <v>45930</v>
      </c>
      <c r="B490" s="1" t="s">
        <v>100</v>
      </c>
      <c r="C490" s="1" t="s">
        <v>96</v>
      </c>
      <c r="D490" s="1" t="s">
        <v>109</v>
      </c>
      <c r="E490" s="1" t="s">
        <v>144</v>
      </c>
      <c r="F490" s="1" t="s">
        <v>154</v>
      </c>
      <c r="G490" s="1">
        <v>311</v>
      </c>
      <c r="H490" s="1">
        <v>55</v>
      </c>
      <c r="I490" s="1">
        <v>13</v>
      </c>
      <c r="J490" s="1"/>
    </row>
    <row r="491" spans="1:10" x14ac:dyDescent="0.3">
      <c r="A491" s="5">
        <v>45930</v>
      </c>
      <c r="B491" s="1" t="s">
        <v>100</v>
      </c>
      <c r="C491" s="1" t="s">
        <v>96</v>
      </c>
      <c r="D491" s="1" t="s">
        <v>97</v>
      </c>
      <c r="E491" s="1" t="s">
        <v>147</v>
      </c>
      <c r="F491" s="1" t="s">
        <v>154</v>
      </c>
      <c r="G491" s="1">
        <v>250</v>
      </c>
      <c r="H491" s="1">
        <v>48</v>
      </c>
      <c r="I491" s="1">
        <v>8</v>
      </c>
      <c r="J491" s="1"/>
    </row>
    <row r="492" spans="1:10" x14ac:dyDescent="0.3">
      <c r="A492" s="5">
        <v>45925</v>
      </c>
      <c r="B492" s="1" t="s">
        <v>100</v>
      </c>
      <c r="C492" s="1" t="s">
        <v>104</v>
      </c>
      <c r="D492" s="1" t="s">
        <v>101</v>
      </c>
      <c r="E492" s="1" t="s">
        <v>147</v>
      </c>
      <c r="F492" s="1" t="s">
        <v>154</v>
      </c>
      <c r="G492" s="1">
        <v>330</v>
      </c>
      <c r="H492" s="1">
        <v>67</v>
      </c>
      <c r="I492" s="1">
        <v>14</v>
      </c>
      <c r="J492" s="1"/>
    </row>
    <row r="493" spans="1:10" x14ac:dyDescent="0.3">
      <c r="A493" s="5">
        <v>45925</v>
      </c>
      <c r="B493" s="1" t="s">
        <v>100</v>
      </c>
      <c r="C493" s="1" t="s">
        <v>104</v>
      </c>
      <c r="D493" s="1" t="s">
        <v>97</v>
      </c>
      <c r="E493" s="1" t="s">
        <v>146</v>
      </c>
      <c r="F493" s="1" t="s">
        <v>154</v>
      </c>
      <c r="G493" s="1">
        <v>307</v>
      </c>
      <c r="H493" s="1">
        <v>60</v>
      </c>
      <c r="I493" s="1">
        <v>12</v>
      </c>
      <c r="J493" s="1"/>
    </row>
    <row r="494" spans="1:10" x14ac:dyDescent="0.3">
      <c r="A494" s="5">
        <v>45925</v>
      </c>
      <c r="B494" s="1" t="s">
        <v>100</v>
      </c>
      <c r="C494" s="1" t="s">
        <v>104</v>
      </c>
      <c r="D494" s="1" t="s">
        <v>101</v>
      </c>
      <c r="E494" s="1" t="s">
        <v>146</v>
      </c>
      <c r="F494" s="1" t="s">
        <v>154</v>
      </c>
      <c r="G494" s="1">
        <v>285</v>
      </c>
      <c r="H494" s="1">
        <v>55</v>
      </c>
      <c r="I494" s="1">
        <v>11</v>
      </c>
      <c r="J494" s="1"/>
    </row>
    <row r="495" spans="1:10" x14ac:dyDescent="0.3">
      <c r="A495" s="5">
        <v>45925</v>
      </c>
      <c r="B495" s="1" t="s">
        <v>95</v>
      </c>
      <c r="C495" s="1" t="s">
        <v>104</v>
      </c>
      <c r="D495" s="1" t="s">
        <v>99</v>
      </c>
      <c r="E495" s="1" t="s">
        <v>146</v>
      </c>
      <c r="F495" s="1" t="s">
        <v>154</v>
      </c>
      <c r="G495" s="1">
        <v>340</v>
      </c>
      <c r="H495" s="1">
        <v>66</v>
      </c>
      <c r="I495" s="1">
        <v>15</v>
      </c>
      <c r="J495" s="1"/>
    </row>
    <row r="496" spans="1:10" x14ac:dyDescent="0.3">
      <c r="A496" s="5">
        <v>45925</v>
      </c>
      <c r="B496" s="1" t="s">
        <v>95</v>
      </c>
      <c r="C496" s="1" t="s">
        <v>104</v>
      </c>
      <c r="D496" s="1" t="s">
        <v>109</v>
      </c>
      <c r="E496" s="1" t="s">
        <v>147</v>
      </c>
      <c r="F496" s="1" t="s">
        <v>154</v>
      </c>
      <c r="G496" s="1">
        <v>330</v>
      </c>
      <c r="H496" s="1">
        <v>59</v>
      </c>
      <c r="I496" s="1">
        <v>12</v>
      </c>
      <c r="J496" s="1"/>
    </row>
    <row r="497" spans="1:10" x14ac:dyDescent="0.3">
      <c r="A497" s="5">
        <v>45925</v>
      </c>
      <c r="B497" s="1" t="s">
        <v>95</v>
      </c>
      <c r="C497" s="1" t="s">
        <v>104</v>
      </c>
      <c r="D497" s="1" t="s">
        <v>97</v>
      </c>
      <c r="E497" s="1" t="s">
        <v>144</v>
      </c>
      <c r="F497" s="1" t="s">
        <v>154</v>
      </c>
      <c r="G497" s="1">
        <v>270</v>
      </c>
      <c r="H497" s="1">
        <v>48</v>
      </c>
      <c r="I497" s="1">
        <v>11</v>
      </c>
      <c r="J497" s="1"/>
    </row>
    <row r="498" spans="1:10" x14ac:dyDescent="0.3">
      <c r="A498" s="5">
        <v>45923</v>
      </c>
      <c r="B498" s="1" t="s">
        <v>100</v>
      </c>
      <c r="C498" s="1" t="s">
        <v>104</v>
      </c>
      <c r="D498" s="1" t="s">
        <v>101</v>
      </c>
      <c r="E498" s="1" t="s">
        <v>144</v>
      </c>
      <c r="F498" s="1" t="s">
        <v>154</v>
      </c>
      <c r="G498" s="1">
        <v>309</v>
      </c>
      <c r="H498" s="1">
        <v>62</v>
      </c>
      <c r="I498" s="1">
        <v>15</v>
      </c>
      <c r="J498" s="1"/>
    </row>
    <row r="499" spans="1:10" x14ac:dyDescent="0.3">
      <c r="A499" s="5">
        <v>45923</v>
      </c>
      <c r="B499" s="1" t="s">
        <v>100</v>
      </c>
      <c r="C499" s="1" t="s">
        <v>104</v>
      </c>
      <c r="D499" s="1" t="s">
        <v>109</v>
      </c>
      <c r="E499" s="1" t="s">
        <v>144</v>
      </c>
      <c r="F499" s="1" t="s">
        <v>154</v>
      </c>
      <c r="G499" s="1">
        <v>334</v>
      </c>
      <c r="H499" s="1">
        <v>62</v>
      </c>
      <c r="I499" s="1">
        <v>14</v>
      </c>
      <c r="J499" s="1"/>
    </row>
    <row r="500" spans="1:10" x14ac:dyDescent="0.3">
      <c r="A500" s="5">
        <v>45923</v>
      </c>
      <c r="B500" s="1" t="s">
        <v>100</v>
      </c>
      <c r="C500" s="1" t="s">
        <v>104</v>
      </c>
      <c r="D500" s="1" t="s">
        <v>109</v>
      </c>
      <c r="E500" s="1" t="s">
        <v>146</v>
      </c>
      <c r="F500" s="1" t="s">
        <v>154</v>
      </c>
      <c r="G500" s="1">
        <v>325</v>
      </c>
      <c r="H500" s="1">
        <v>60</v>
      </c>
      <c r="I500" s="1">
        <v>14</v>
      </c>
      <c r="J500" s="1" t="s">
        <v>113</v>
      </c>
    </row>
    <row r="501" spans="1:10" x14ac:dyDescent="0.3">
      <c r="A501" s="5">
        <v>45923</v>
      </c>
      <c r="B501" s="1" t="s">
        <v>95</v>
      </c>
      <c r="C501" s="1" t="s">
        <v>104</v>
      </c>
      <c r="D501" s="1" t="s">
        <v>97</v>
      </c>
      <c r="E501" s="1" t="s">
        <v>147</v>
      </c>
      <c r="F501" s="1" t="s">
        <v>154</v>
      </c>
      <c r="G501" s="1">
        <v>338</v>
      </c>
      <c r="H501" s="1">
        <v>69</v>
      </c>
      <c r="I501" s="1">
        <v>14</v>
      </c>
      <c r="J501" s="1"/>
    </row>
    <row r="502" spans="1:10" x14ac:dyDescent="0.3">
      <c r="A502" s="5">
        <v>45923</v>
      </c>
      <c r="B502" s="1" t="s">
        <v>95</v>
      </c>
      <c r="C502" s="1" t="s">
        <v>104</v>
      </c>
      <c r="D502" s="1" t="s">
        <v>99</v>
      </c>
      <c r="E502" s="1" t="s">
        <v>147</v>
      </c>
      <c r="F502" s="1" t="s">
        <v>154</v>
      </c>
      <c r="G502" s="1">
        <v>310</v>
      </c>
      <c r="H502" s="1">
        <v>50</v>
      </c>
      <c r="I502" s="1">
        <v>11</v>
      </c>
      <c r="J502" s="1"/>
    </row>
    <row r="503" spans="1:10" x14ac:dyDescent="0.3">
      <c r="A503" s="5">
        <v>45923</v>
      </c>
      <c r="B503" s="1" t="s">
        <v>95</v>
      </c>
      <c r="C503" s="1" t="s">
        <v>104</v>
      </c>
      <c r="D503" s="1" t="s">
        <v>99</v>
      </c>
      <c r="E503" s="1" t="s">
        <v>144</v>
      </c>
      <c r="F503" s="1" t="s">
        <v>154</v>
      </c>
      <c r="G503" s="1">
        <v>302</v>
      </c>
      <c r="H503" s="1">
        <v>51</v>
      </c>
      <c r="I503" s="1">
        <v>10</v>
      </c>
      <c r="J503" s="1"/>
    </row>
    <row r="504" spans="1:10" x14ac:dyDescent="0.3">
      <c r="A504" s="5">
        <v>45933</v>
      </c>
      <c r="B504" s="1" t="s">
        <v>100</v>
      </c>
      <c r="C504" s="1" t="s">
        <v>96</v>
      </c>
      <c r="D504" s="1" t="s">
        <v>109</v>
      </c>
      <c r="E504" s="1" t="s">
        <v>147</v>
      </c>
      <c r="F504" s="1" t="s">
        <v>154</v>
      </c>
      <c r="G504" s="1">
        <v>291</v>
      </c>
      <c r="H504" s="1">
        <v>56</v>
      </c>
      <c r="I504" s="1">
        <v>10</v>
      </c>
      <c r="J504" s="1"/>
    </row>
    <row r="505" spans="1:10" x14ac:dyDescent="0.3">
      <c r="A505" s="5">
        <v>45933</v>
      </c>
      <c r="B505" s="1" t="s">
        <v>100</v>
      </c>
      <c r="C505" s="1" t="s">
        <v>96</v>
      </c>
      <c r="D505" s="1" t="s">
        <v>97</v>
      </c>
      <c r="E505" s="1" t="s">
        <v>146</v>
      </c>
      <c r="F505" s="1" t="s">
        <v>154</v>
      </c>
      <c r="G505" s="1">
        <v>320</v>
      </c>
      <c r="H505" s="1">
        <v>62</v>
      </c>
      <c r="I505" s="1">
        <v>13</v>
      </c>
      <c r="J505" s="1"/>
    </row>
    <row r="506" spans="1:10" x14ac:dyDescent="0.3">
      <c r="A506" s="5">
        <v>45932</v>
      </c>
      <c r="B506" s="1" t="s">
        <v>100</v>
      </c>
      <c r="C506" s="1" t="s">
        <v>96</v>
      </c>
      <c r="D506" s="1" t="s">
        <v>101</v>
      </c>
      <c r="E506" s="1" t="s">
        <v>147</v>
      </c>
      <c r="F506" s="1" t="s">
        <v>154</v>
      </c>
      <c r="G506" s="1">
        <v>284</v>
      </c>
      <c r="H506" s="1">
        <v>58</v>
      </c>
      <c r="I506" s="1">
        <v>11</v>
      </c>
      <c r="J506" s="1"/>
    </row>
    <row r="507" spans="1:10" x14ac:dyDescent="0.3">
      <c r="A507" s="5">
        <v>45932</v>
      </c>
      <c r="B507" s="1" t="s">
        <v>100</v>
      </c>
      <c r="C507" s="1" t="s">
        <v>96</v>
      </c>
      <c r="D507" s="1" t="s">
        <v>99</v>
      </c>
      <c r="E507" s="1" t="s">
        <v>146</v>
      </c>
      <c r="F507" s="1" t="s">
        <v>154</v>
      </c>
      <c r="G507" s="1">
        <v>285</v>
      </c>
      <c r="H507" s="1">
        <v>57</v>
      </c>
      <c r="I507" s="1">
        <v>9</v>
      </c>
      <c r="J507" s="1"/>
    </row>
    <row r="508" spans="1:10" x14ac:dyDescent="0.3">
      <c r="A508" s="5">
        <v>45931</v>
      </c>
      <c r="B508" s="1" t="s">
        <v>95</v>
      </c>
      <c r="C508" s="1" t="s">
        <v>96</v>
      </c>
      <c r="D508" s="1" t="s">
        <v>97</v>
      </c>
      <c r="E508" s="1" t="s">
        <v>144</v>
      </c>
      <c r="F508" s="1" t="s">
        <v>154</v>
      </c>
      <c r="G508" s="1">
        <v>312</v>
      </c>
      <c r="H508" s="1">
        <v>56</v>
      </c>
      <c r="I508" s="1">
        <v>9</v>
      </c>
      <c r="J508" s="1"/>
    </row>
    <row r="509" spans="1:10" x14ac:dyDescent="0.3">
      <c r="A509" s="5">
        <v>45931</v>
      </c>
      <c r="B509" s="1" t="s">
        <v>95</v>
      </c>
      <c r="C509" s="1" t="s">
        <v>96</v>
      </c>
      <c r="D509" s="1" t="s">
        <v>99</v>
      </c>
      <c r="E509" s="1" t="s">
        <v>144</v>
      </c>
      <c r="F509" s="1" t="s">
        <v>154</v>
      </c>
      <c r="G509" s="1">
        <v>330</v>
      </c>
      <c r="H509" s="1">
        <v>60</v>
      </c>
      <c r="I509" s="1">
        <v>12</v>
      </c>
      <c r="J509" s="1"/>
    </row>
    <row r="510" spans="1:10" x14ac:dyDescent="0.3">
      <c r="A510" s="5">
        <v>45931</v>
      </c>
      <c r="B510" s="1" t="s">
        <v>95</v>
      </c>
      <c r="C510" s="1" t="s">
        <v>96</v>
      </c>
      <c r="D510" s="1" t="s">
        <v>99</v>
      </c>
      <c r="E510" s="1" t="s">
        <v>147</v>
      </c>
      <c r="F510" s="1" t="s">
        <v>154</v>
      </c>
      <c r="G510" s="1">
        <v>326</v>
      </c>
      <c r="H510" s="1">
        <v>62</v>
      </c>
      <c r="I510" s="1">
        <v>11</v>
      </c>
      <c r="J510" s="1"/>
    </row>
    <row r="511" spans="1:10" x14ac:dyDescent="0.3">
      <c r="A511" s="5">
        <v>45931</v>
      </c>
      <c r="B511" s="1" t="s">
        <v>100</v>
      </c>
      <c r="C511" s="1" t="s">
        <v>96</v>
      </c>
      <c r="D511" s="1" t="s">
        <v>101</v>
      </c>
      <c r="E511" s="1" t="s">
        <v>146</v>
      </c>
      <c r="F511" s="1" t="s">
        <v>154</v>
      </c>
      <c r="G511" s="1">
        <v>255</v>
      </c>
      <c r="H511" s="1">
        <v>55</v>
      </c>
      <c r="I511" s="1">
        <v>9</v>
      </c>
      <c r="J511" s="1"/>
    </row>
    <row r="512" spans="1:10" x14ac:dyDescent="0.3">
      <c r="A512" s="5">
        <v>45931</v>
      </c>
      <c r="B512" s="1" t="s">
        <v>100</v>
      </c>
      <c r="C512" s="1" t="s">
        <v>96</v>
      </c>
      <c r="D512" s="1" t="s">
        <v>109</v>
      </c>
      <c r="E512" s="1" t="s">
        <v>146</v>
      </c>
      <c r="F512" s="1" t="s">
        <v>154</v>
      </c>
      <c r="G512" s="1">
        <v>350</v>
      </c>
      <c r="H512" s="1">
        <v>69</v>
      </c>
      <c r="I512" s="1">
        <v>11</v>
      </c>
      <c r="J512" s="1"/>
    </row>
    <row r="513" spans="1:10" x14ac:dyDescent="0.3">
      <c r="A513" s="5">
        <v>45931</v>
      </c>
      <c r="B513" s="1" t="s">
        <v>100</v>
      </c>
      <c r="C513" s="1" t="s">
        <v>96</v>
      </c>
      <c r="D513" s="1" t="s">
        <v>101</v>
      </c>
      <c r="E513" s="1" t="s">
        <v>144</v>
      </c>
      <c r="F513" s="1" t="s">
        <v>154</v>
      </c>
      <c r="G513" s="1">
        <v>305</v>
      </c>
      <c r="H513" s="1">
        <v>57</v>
      </c>
      <c r="I513" s="1">
        <v>12</v>
      </c>
      <c r="J513" s="1"/>
    </row>
    <row r="514" spans="1:10" x14ac:dyDescent="0.3">
      <c r="A514" s="5">
        <v>45737</v>
      </c>
      <c r="B514" s="1" t="s">
        <v>95</v>
      </c>
      <c r="C514" s="1" t="s">
        <v>96</v>
      </c>
      <c r="D514" s="1" t="s">
        <v>97</v>
      </c>
      <c r="E514" s="1" t="s">
        <v>144</v>
      </c>
      <c r="F514" s="1" t="s">
        <v>155</v>
      </c>
      <c r="G514" s="1">
        <v>80</v>
      </c>
      <c r="H514" s="1">
        <v>21</v>
      </c>
      <c r="I514" s="1"/>
      <c r="J514" s="1" t="s">
        <v>98</v>
      </c>
    </row>
    <row r="515" spans="1:10" x14ac:dyDescent="0.3">
      <c r="A515" s="5">
        <v>45737</v>
      </c>
      <c r="B515" s="1" t="s">
        <v>95</v>
      </c>
      <c r="C515" s="1" t="s">
        <v>96</v>
      </c>
      <c r="D515" s="1" t="s">
        <v>97</v>
      </c>
      <c r="E515" s="1" t="s">
        <v>146</v>
      </c>
      <c r="F515" s="1" t="s">
        <v>155</v>
      </c>
      <c r="G515" s="1">
        <v>90</v>
      </c>
      <c r="H515" s="1">
        <v>22</v>
      </c>
      <c r="I515" s="1"/>
      <c r="J515" s="1" t="s">
        <v>98</v>
      </c>
    </row>
    <row r="516" spans="1:10" x14ac:dyDescent="0.3">
      <c r="A516" s="5">
        <v>45737</v>
      </c>
      <c r="B516" s="1" t="s">
        <v>95</v>
      </c>
      <c r="C516" s="1" t="s">
        <v>96</v>
      </c>
      <c r="D516" s="1" t="s">
        <v>99</v>
      </c>
      <c r="E516" s="1" t="s">
        <v>144</v>
      </c>
      <c r="F516" s="1" t="s">
        <v>155</v>
      </c>
      <c r="G516" s="1">
        <v>100</v>
      </c>
      <c r="H516" s="1">
        <v>25</v>
      </c>
      <c r="I516" s="1"/>
      <c r="J516" s="1" t="s">
        <v>98</v>
      </c>
    </row>
    <row r="517" spans="1:10" x14ac:dyDescent="0.3">
      <c r="A517" s="5">
        <v>45737</v>
      </c>
      <c r="B517" s="1" t="s">
        <v>95</v>
      </c>
      <c r="C517" s="1" t="s">
        <v>96</v>
      </c>
      <c r="D517" s="1" t="s">
        <v>97</v>
      </c>
      <c r="E517" s="1" t="s">
        <v>147</v>
      </c>
      <c r="F517" s="1" t="s">
        <v>155</v>
      </c>
      <c r="G517" s="1">
        <v>86</v>
      </c>
      <c r="H517" s="1">
        <v>17</v>
      </c>
      <c r="I517" s="1"/>
      <c r="J517" s="1" t="s">
        <v>98</v>
      </c>
    </row>
    <row r="518" spans="1:10" x14ac:dyDescent="0.3">
      <c r="A518" s="5">
        <v>45737</v>
      </c>
      <c r="B518" s="1" t="s">
        <v>100</v>
      </c>
      <c r="C518" s="1" t="s">
        <v>96</v>
      </c>
      <c r="D518" s="1" t="s">
        <v>101</v>
      </c>
      <c r="E518" s="1" t="s">
        <v>146</v>
      </c>
      <c r="F518" s="1" t="s">
        <v>155</v>
      </c>
      <c r="G518" s="1">
        <v>70</v>
      </c>
      <c r="H518" s="1">
        <v>20</v>
      </c>
      <c r="I518" s="1"/>
      <c r="J518" s="1" t="s">
        <v>102</v>
      </c>
    </row>
    <row r="519" spans="1:10" x14ac:dyDescent="0.3">
      <c r="A519" s="5">
        <v>45737</v>
      </c>
      <c r="B519" s="1" t="s">
        <v>100</v>
      </c>
      <c r="C519" s="1" t="s">
        <v>96</v>
      </c>
      <c r="D519" s="1" t="s">
        <v>99</v>
      </c>
      <c r="E519" s="1" t="s">
        <v>146</v>
      </c>
      <c r="F519" s="1" t="s">
        <v>155</v>
      </c>
      <c r="G519" s="1">
        <v>102</v>
      </c>
      <c r="H519" s="1">
        <v>24</v>
      </c>
      <c r="I519" s="1"/>
      <c r="J519" s="1" t="s">
        <v>102</v>
      </c>
    </row>
    <row r="520" spans="1:10" x14ac:dyDescent="0.3">
      <c r="A520" s="5">
        <v>45737</v>
      </c>
      <c r="B520" s="1" t="s">
        <v>100</v>
      </c>
      <c r="C520" s="1" t="s">
        <v>96</v>
      </c>
      <c r="D520" s="1" t="s">
        <v>97</v>
      </c>
      <c r="E520" s="1" t="s">
        <v>146</v>
      </c>
      <c r="F520" s="1" t="s">
        <v>155</v>
      </c>
      <c r="G520" s="1">
        <v>80</v>
      </c>
      <c r="H520" s="1">
        <v>25</v>
      </c>
      <c r="I520" s="1"/>
      <c r="J520" s="1" t="s">
        <v>102</v>
      </c>
    </row>
    <row r="521" spans="1:10" x14ac:dyDescent="0.3">
      <c r="A521" s="5">
        <v>45737</v>
      </c>
      <c r="B521" s="1" t="s">
        <v>100</v>
      </c>
      <c r="C521" s="1" t="s">
        <v>96</v>
      </c>
      <c r="D521" s="1" t="s">
        <v>101</v>
      </c>
      <c r="E521" s="1" t="s">
        <v>144</v>
      </c>
      <c r="F521" s="1" t="s">
        <v>155</v>
      </c>
      <c r="G521" s="1">
        <v>87</v>
      </c>
      <c r="H521" s="1">
        <v>23</v>
      </c>
      <c r="I521" s="1"/>
      <c r="J521" s="1" t="s">
        <v>102</v>
      </c>
    </row>
    <row r="522" spans="1:10" x14ac:dyDescent="0.3">
      <c r="A522" s="5">
        <v>45729</v>
      </c>
      <c r="B522" s="1" t="s">
        <v>95</v>
      </c>
      <c r="C522" s="1" t="s">
        <v>104</v>
      </c>
      <c r="D522" s="1" t="s">
        <v>101</v>
      </c>
      <c r="E522" s="1" t="s">
        <v>144</v>
      </c>
      <c r="F522" s="1" t="s">
        <v>155</v>
      </c>
      <c r="G522" s="1">
        <v>87</v>
      </c>
      <c r="H522" s="1">
        <v>21</v>
      </c>
      <c r="I522" s="1"/>
      <c r="J522" s="1" t="s">
        <v>103</v>
      </c>
    </row>
    <row r="523" spans="1:10" x14ac:dyDescent="0.3">
      <c r="A523" s="5">
        <v>45729</v>
      </c>
      <c r="B523" s="1" t="s">
        <v>95</v>
      </c>
      <c r="C523" s="1" t="s">
        <v>104</v>
      </c>
      <c r="D523" s="1" t="s">
        <v>97</v>
      </c>
      <c r="E523" s="1" t="s">
        <v>146</v>
      </c>
      <c r="F523" s="1" t="s">
        <v>155</v>
      </c>
      <c r="G523" s="1">
        <v>100</v>
      </c>
      <c r="H523" s="1">
        <v>17</v>
      </c>
      <c r="I523" s="1"/>
      <c r="J523" s="1" t="s">
        <v>103</v>
      </c>
    </row>
    <row r="524" spans="1:10" x14ac:dyDescent="0.3">
      <c r="A524" s="5">
        <v>45729</v>
      </c>
      <c r="B524" s="1" t="s">
        <v>95</v>
      </c>
      <c r="C524" s="1" t="s">
        <v>104</v>
      </c>
      <c r="D524" s="1" t="s">
        <v>101</v>
      </c>
      <c r="E524" s="1" t="s">
        <v>146</v>
      </c>
      <c r="F524" s="1" t="s">
        <v>155</v>
      </c>
      <c r="G524" s="1">
        <v>84</v>
      </c>
      <c r="H524" s="1">
        <v>20</v>
      </c>
      <c r="I524" s="1"/>
      <c r="J524" s="1" t="s">
        <v>103</v>
      </c>
    </row>
    <row r="525" spans="1:10" x14ac:dyDescent="0.3">
      <c r="A525" s="5">
        <v>45729</v>
      </c>
      <c r="B525" s="1" t="s">
        <v>95</v>
      </c>
      <c r="C525" s="1" t="s">
        <v>104</v>
      </c>
      <c r="D525" s="1" t="s">
        <v>99</v>
      </c>
      <c r="E525" s="1" t="s">
        <v>144</v>
      </c>
      <c r="F525" s="1" t="s">
        <v>155</v>
      </c>
      <c r="G525" s="1">
        <v>95</v>
      </c>
      <c r="H525" s="1">
        <v>23</v>
      </c>
      <c r="I525" s="1"/>
      <c r="J525" s="1" t="s">
        <v>103</v>
      </c>
    </row>
    <row r="526" spans="1:10" x14ac:dyDescent="0.3">
      <c r="A526" s="5">
        <v>45729</v>
      </c>
      <c r="B526" s="1" t="s">
        <v>100</v>
      </c>
      <c r="C526" s="1" t="s">
        <v>104</v>
      </c>
      <c r="D526" s="1" t="s">
        <v>97</v>
      </c>
      <c r="E526" s="1" t="s">
        <v>147</v>
      </c>
      <c r="F526" s="1" t="s">
        <v>155</v>
      </c>
      <c r="G526" s="1">
        <v>85</v>
      </c>
      <c r="H526" s="1">
        <v>27</v>
      </c>
      <c r="I526" s="1"/>
      <c r="J526" s="1" t="s">
        <v>102</v>
      </c>
    </row>
    <row r="527" spans="1:10" x14ac:dyDescent="0.3">
      <c r="A527" s="5">
        <v>45729</v>
      </c>
      <c r="B527" s="1" t="s">
        <v>100</v>
      </c>
      <c r="C527" s="1" t="s">
        <v>104</v>
      </c>
      <c r="D527" s="1" t="s">
        <v>109</v>
      </c>
      <c r="E527" s="1" t="s">
        <v>144</v>
      </c>
      <c r="F527" s="1" t="s">
        <v>155</v>
      </c>
      <c r="G527" s="1">
        <v>100</v>
      </c>
      <c r="H527" s="1">
        <v>24</v>
      </c>
      <c r="I527" s="1"/>
      <c r="J527" s="1" t="s">
        <v>102</v>
      </c>
    </row>
    <row r="528" spans="1:10" x14ac:dyDescent="0.3">
      <c r="A528" s="5">
        <v>45729</v>
      </c>
      <c r="B528" s="1" t="s">
        <v>100</v>
      </c>
      <c r="C528" s="1" t="s">
        <v>104</v>
      </c>
      <c r="D528" s="1" t="s">
        <v>99</v>
      </c>
      <c r="E528" s="1" t="s">
        <v>147</v>
      </c>
      <c r="F528" s="1" t="s">
        <v>155</v>
      </c>
      <c r="G528" s="1">
        <v>88</v>
      </c>
      <c r="H528" s="1">
        <v>26</v>
      </c>
      <c r="I528" s="1"/>
      <c r="J528" s="1" t="s">
        <v>102</v>
      </c>
    </row>
    <row r="529" spans="1:10" x14ac:dyDescent="0.3">
      <c r="A529" s="5">
        <v>45729</v>
      </c>
      <c r="B529" s="1" t="s">
        <v>100</v>
      </c>
      <c r="C529" s="1" t="s">
        <v>104</v>
      </c>
      <c r="D529" s="1" t="s">
        <v>97</v>
      </c>
      <c r="E529" s="1" t="s">
        <v>144</v>
      </c>
      <c r="F529" s="1" t="s">
        <v>155</v>
      </c>
      <c r="G529" s="1">
        <v>80</v>
      </c>
      <c r="H529" s="1">
        <v>20</v>
      </c>
      <c r="I529" s="1"/>
      <c r="J529" s="1" t="s">
        <v>102</v>
      </c>
    </row>
    <row r="530" spans="1:10" x14ac:dyDescent="0.3">
      <c r="A530" s="5">
        <v>45835</v>
      </c>
      <c r="B530" s="1" t="s">
        <v>95</v>
      </c>
      <c r="C530" s="1" t="s">
        <v>96</v>
      </c>
      <c r="D530" s="1" t="s">
        <v>99</v>
      </c>
      <c r="E530" s="1" t="s">
        <v>146</v>
      </c>
      <c r="F530" s="1" t="s">
        <v>155</v>
      </c>
      <c r="G530" s="1">
        <v>275</v>
      </c>
      <c r="H530" s="1">
        <v>48</v>
      </c>
      <c r="I530" s="1">
        <v>10</v>
      </c>
      <c r="J530" s="1"/>
    </row>
    <row r="531" spans="1:10" x14ac:dyDescent="0.3">
      <c r="A531" s="5">
        <v>45835</v>
      </c>
      <c r="B531" s="1" t="s">
        <v>95</v>
      </c>
      <c r="C531" s="1" t="s">
        <v>96</v>
      </c>
      <c r="D531" s="1" t="s">
        <v>97</v>
      </c>
      <c r="E531" s="1" t="s">
        <v>146</v>
      </c>
      <c r="F531" s="1" t="s">
        <v>155</v>
      </c>
      <c r="G531" s="1">
        <v>225</v>
      </c>
      <c r="H531" s="1">
        <v>42</v>
      </c>
      <c r="I531" s="1">
        <v>7</v>
      </c>
      <c r="J531" s="1"/>
    </row>
    <row r="532" spans="1:10" x14ac:dyDescent="0.3">
      <c r="A532" s="5">
        <v>45835</v>
      </c>
      <c r="B532" s="1" t="s">
        <v>95</v>
      </c>
      <c r="C532" s="1" t="s">
        <v>96</v>
      </c>
      <c r="D532" s="1" t="s">
        <v>101</v>
      </c>
      <c r="E532" s="1" t="s">
        <v>146</v>
      </c>
      <c r="F532" s="1" t="s">
        <v>155</v>
      </c>
      <c r="G532" s="1">
        <v>250</v>
      </c>
      <c r="H532" s="1">
        <v>44</v>
      </c>
      <c r="I532" s="1">
        <v>8.1999999999999993</v>
      </c>
      <c r="J532" s="1"/>
    </row>
    <row r="533" spans="1:10" x14ac:dyDescent="0.3">
      <c r="A533" s="5">
        <v>45835</v>
      </c>
      <c r="B533" s="1" t="s">
        <v>95</v>
      </c>
      <c r="C533" s="1" t="s">
        <v>96</v>
      </c>
      <c r="D533" s="1" t="s">
        <v>109</v>
      </c>
      <c r="E533" s="1" t="s">
        <v>146</v>
      </c>
      <c r="F533" s="1" t="s">
        <v>155</v>
      </c>
      <c r="G533" s="1">
        <v>253</v>
      </c>
      <c r="H533" s="1">
        <v>47</v>
      </c>
      <c r="I533" s="1">
        <v>10</v>
      </c>
      <c r="J533" s="1"/>
    </row>
    <row r="534" spans="1:10" x14ac:dyDescent="0.3">
      <c r="A534" s="5">
        <v>45835</v>
      </c>
      <c r="B534" s="1" t="s">
        <v>95</v>
      </c>
      <c r="C534" s="1" t="s">
        <v>96</v>
      </c>
      <c r="D534" s="1" t="s">
        <v>109</v>
      </c>
      <c r="E534" s="1" t="s">
        <v>144</v>
      </c>
      <c r="F534" s="1" t="s">
        <v>155</v>
      </c>
      <c r="G534" s="1">
        <v>222</v>
      </c>
      <c r="H534" s="1">
        <v>40</v>
      </c>
      <c r="I534" s="1">
        <v>9.1999999999999993</v>
      </c>
      <c r="J534" s="1"/>
    </row>
    <row r="535" spans="1:10" x14ac:dyDescent="0.3">
      <c r="A535" s="5">
        <v>45835</v>
      </c>
      <c r="B535" s="1" t="s">
        <v>95</v>
      </c>
      <c r="C535" s="1" t="s">
        <v>96</v>
      </c>
      <c r="D535" s="1" t="s">
        <v>101</v>
      </c>
      <c r="E535" s="1" t="s">
        <v>144</v>
      </c>
      <c r="F535" s="1" t="s">
        <v>155</v>
      </c>
      <c r="G535" s="1">
        <v>225</v>
      </c>
      <c r="H535" s="1">
        <v>39</v>
      </c>
      <c r="I535" s="1">
        <v>7.2</v>
      </c>
      <c r="J535" s="1"/>
    </row>
    <row r="536" spans="1:10" x14ac:dyDescent="0.3">
      <c r="A536" s="5">
        <v>45835</v>
      </c>
      <c r="B536" s="1" t="s">
        <v>100</v>
      </c>
      <c r="C536" s="1" t="s">
        <v>96</v>
      </c>
      <c r="D536" s="1" t="s">
        <v>101</v>
      </c>
      <c r="E536" s="1" t="s">
        <v>147</v>
      </c>
      <c r="F536" s="1" t="s">
        <v>155</v>
      </c>
      <c r="G536" s="1">
        <v>185</v>
      </c>
      <c r="H536" s="1">
        <v>38</v>
      </c>
      <c r="I536" s="1">
        <v>0.29305555555555562</v>
      </c>
      <c r="J536" s="1"/>
    </row>
    <row r="537" spans="1:10" x14ac:dyDescent="0.3">
      <c r="A537" s="5">
        <v>45835</v>
      </c>
      <c r="B537" s="1" t="s">
        <v>100</v>
      </c>
      <c r="C537" s="1"/>
      <c r="D537" s="1" t="s">
        <v>109</v>
      </c>
      <c r="E537" s="1" t="s">
        <v>147</v>
      </c>
      <c r="F537" s="1" t="s">
        <v>155</v>
      </c>
      <c r="G537" s="1">
        <v>266</v>
      </c>
      <c r="H537" s="1">
        <v>45</v>
      </c>
      <c r="I537" s="1">
        <v>0.33750000000000002</v>
      </c>
      <c r="J537" s="1"/>
    </row>
    <row r="538" spans="1:10" x14ac:dyDescent="0.3">
      <c r="A538" s="5">
        <v>45835</v>
      </c>
      <c r="B538" s="1" t="s">
        <v>100</v>
      </c>
      <c r="C538" s="1" t="s">
        <v>96</v>
      </c>
      <c r="D538" s="1" t="s">
        <v>99</v>
      </c>
      <c r="E538" s="1" t="s">
        <v>144</v>
      </c>
      <c r="F538" s="1" t="s">
        <v>155</v>
      </c>
      <c r="G538" s="1">
        <v>250</v>
      </c>
      <c r="H538" s="1">
        <v>45</v>
      </c>
      <c r="I538" s="1">
        <v>9</v>
      </c>
      <c r="J538" s="1"/>
    </row>
    <row r="539" spans="1:10" x14ac:dyDescent="0.3">
      <c r="A539" s="5">
        <v>45835</v>
      </c>
      <c r="B539" s="1" t="s">
        <v>100</v>
      </c>
      <c r="C539" s="1" t="s">
        <v>96</v>
      </c>
      <c r="D539" s="1" t="s">
        <v>97</v>
      </c>
      <c r="E539" s="1" t="s">
        <v>144</v>
      </c>
      <c r="F539" s="1" t="s">
        <v>155</v>
      </c>
      <c r="G539" s="1">
        <v>222</v>
      </c>
      <c r="H539" s="1">
        <v>39</v>
      </c>
      <c r="I539" s="1">
        <v>7</v>
      </c>
      <c r="J539" s="1"/>
    </row>
    <row r="540" spans="1:10" x14ac:dyDescent="0.3">
      <c r="A540" s="5">
        <v>45835</v>
      </c>
      <c r="B540" s="1" t="s">
        <v>100</v>
      </c>
      <c r="C540" s="1" t="s">
        <v>96</v>
      </c>
      <c r="D540" s="1" t="s">
        <v>99</v>
      </c>
      <c r="E540" s="1" t="s">
        <v>147</v>
      </c>
      <c r="F540" s="1" t="s">
        <v>155</v>
      </c>
      <c r="G540" s="1">
        <v>195</v>
      </c>
      <c r="H540" s="1">
        <v>36</v>
      </c>
      <c r="I540" s="1">
        <v>10</v>
      </c>
      <c r="J540" s="1"/>
    </row>
    <row r="541" spans="1:10" x14ac:dyDescent="0.3">
      <c r="A541" s="5">
        <v>45835</v>
      </c>
      <c r="B541" s="1" t="s">
        <v>100</v>
      </c>
      <c r="C541" s="1" t="s">
        <v>96</v>
      </c>
      <c r="D541" s="1" t="s">
        <v>97</v>
      </c>
      <c r="E541" s="1" t="s">
        <v>147</v>
      </c>
      <c r="F541" s="1" t="s">
        <v>155</v>
      </c>
      <c r="G541" s="1">
        <v>255</v>
      </c>
      <c r="H541" s="1">
        <v>49</v>
      </c>
      <c r="I541" s="1">
        <v>9</v>
      </c>
      <c r="J541" s="1" t="s">
        <v>113</v>
      </c>
    </row>
    <row r="542" spans="1:10" x14ac:dyDescent="0.3">
      <c r="A542" s="5">
        <v>45834</v>
      </c>
      <c r="B542" s="1" t="s">
        <v>114</v>
      </c>
      <c r="C542" s="1" t="s">
        <v>104</v>
      </c>
      <c r="D542" s="1" t="s">
        <v>101</v>
      </c>
      <c r="E542" s="1" t="s">
        <v>146</v>
      </c>
      <c r="F542" s="1" t="s">
        <v>155</v>
      </c>
      <c r="G542" s="1">
        <v>235</v>
      </c>
      <c r="H542" s="1">
        <v>44</v>
      </c>
      <c r="I542" s="1">
        <v>9</v>
      </c>
      <c r="J542" s="1"/>
    </row>
    <row r="543" spans="1:10" x14ac:dyDescent="0.3">
      <c r="A543" s="5">
        <v>45834</v>
      </c>
      <c r="B543" s="1" t="s">
        <v>114</v>
      </c>
      <c r="C543" s="1" t="s">
        <v>104</v>
      </c>
      <c r="D543" s="1" t="s">
        <v>97</v>
      </c>
      <c r="E543" s="1" t="s">
        <v>146</v>
      </c>
      <c r="F543" s="1" t="s">
        <v>155</v>
      </c>
      <c r="G543" s="1">
        <v>225</v>
      </c>
      <c r="H543" s="1">
        <v>44</v>
      </c>
      <c r="I543" s="1">
        <v>7</v>
      </c>
      <c r="J543" s="1"/>
    </row>
    <row r="544" spans="1:10" x14ac:dyDescent="0.3">
      <c r="A544" s="5">
        <v>45834</v>
      </c>
      <c r="B544" s="1" t="s">
        <v>95</v>
      </c>
      <c r="C544" s="1" t="s">
        <v>104</v>
      </c>
      <c r="D544" s="1" t="s">
        <v>99</v>
      </c>
      <c r="E544" s="1" t="s">
        <v>147</v>
      </c>
      <c r="F544" s="1" t="s">
        <v>155</v>
      </c>
      <c r="G544" s="1">
        <v>225</v>
      </c>
      <c r="H544" s="1">
        <v>42</v>
      </c>
      <c r="I544" s="1">
        <v>7</v>
      </c>
      <c r="J544" s="1"/>
    </row>
    <row r="545" spans="1:10" x14ac:dyDescent="0.3">
      <c r="A545" s="5">
        <v>45834</v>
      </c>
      <c r="B545" s="1" t="s">
        <v>95</v>
      </c>
      <c r="C545" s="1" t="s">
        <v>104</v>
      </c>
      <c r="D545" s="1" t="s">
        <v>97</v>
      </c>
      <c r="E545" s="1" t="s">
        <v>144</v>
      </c>
      <c r="F545" s="1" t="s">
        <v>155</v>
      </c>
      <c r="G545" s="1">
        <v>242</v>
      </c>
      <c r="H545" s="1">
        <v>45</v>
      </c>
      <c r="I545" s="1">
        <v>10</v>
      </c>
      <c r="J545" s="1"/>
    </row>
    <row r="546" spans="1:10" x14ac:dyDescent="0.3">
      <c r="A546" s="5">
        <v>45834</v>
      </c>
      <c r="B546" s="1" t="s">
        <v>95</v>
      </c>
      <c r="C546" s="1" t="s">
        <v>104</v>
      </c>
      <c r="D546" s="1" t="s">
        <v>109</v>
      </c>
      <c r="E546" s="1" t="s">
        <v>146</v>
      </c>
      <c r="F546" s="1" t="s">
        <v>155</v>
      </c>
      <c r="G546" s="1">
        <v>280</v>
      </c>
      <c r="H546" s="1">
        <v>47</v>
      </c>
      <c r="I546" s="1">
        <v>9</v>
      </c>
      <c r="J546" s="1"/>
    </row>
    <row r="547" spans="1:10" x14ac:dyDescent="0.3">
      <c r="A547" s="5">
        <v>45834</v>
      </c>
      <c r="B547" s="1" t="s">
        <v>95</v>
      </c>
      <c r="C547" s="1" t="s">
        <v>104</v>
      </c>
      <c r="D547" s="1" t="s">
        <v>99</v>
      </c>
      <c r="E547" s="1" t="s">
        <v>146</v>
      </c>
      <c r="F547" s="1" t="s">
        <v>155</v>
      </c>
      <c r="G547" s="1">
        <v>190</v>
      </c>
      <c r="H547" s="1">
        <v>33</v>
      </c>
      <c r="I547" s="1">
        <v>8</v>
      </c>
      <c r="J547" s="1"/>
    </row>
    <row r="548" spans="1:10" x14ac:dyDescent="0.3">
      <c r="A548" s="5">
        <v>45834</v>
      </c>
      <c r="B548" s="1" t="s">
        <v>95</v>
      </c>
      <c r="C548" s="1" t="s">
        <v>104</v>
      </c>
      <c r="D548" s="1" t="s">
        <v>101</v>
      </c>
      <c r="E548" s="1" t="s">
        <v>147</v>
      </c>
      <c r="F548" s="1" t="s">
        <v>155</v>
      </c>
      <c r="G548" s="1">
        <v>283</v>
      </c>
      <c r="H548" s="1">
        <v>50</v>
      </c>
      <c r="I548" s="1">
        <v>9</v>
      </c>
      <c r="J548" s="1"/>
    </row>
    <row r="549" spans="1:10" x14ac:dyDescent="0.3">
      <c r="A549" s="5">
        <v>45834</v>
      </c>
      <c r="B549" s="1" t="s">
        <v>100</v>
      </c>
      <c r="C549" s="1" t="s">
        <v>104</v>
      </c>
      <c r="D549" s="1" t="s">
        <v>109</v>
      </c>
      <c r="E549" s="1" t="s">
        <v>144</v>
      </c>
      <c r="F549" s="1" t="s">
        <v>155</v>
      </c>
      <c r="G549" s="1">
        <v>255</v>
      </c>
      <c r="H549" s="1">
        <v>46</v>
      </c>
      <c r="I549" s="1">
        <v>9</v>
      </c>
      <c r="J549" s="1"/>
    </row>
    <row r="550" spans="1:10" x14ac:dyDescent="0.3">
      <c r="A550" s="5">
        <v>45834</v>
      </c>
      <c r="B550" s="1" t="s">
        <v>100</v>
      </c>
      <c r="C550" s="1" t="s">
        <v>104</v>
      </c>
      <c r="D550" s="1" t="s">
        <v>99</v>
      </c>
      <c r="E550" s="1" t="s">
        <v>144</v>
      </c>
      <c r="F550" s="1" t="s">
        <v>155</v>
      </c>
      <c r="G550" s="1">
        <v>232</v>
      </c>
      <c r="H550" s="1">
        <v>44</v>
      </c>
      <c r="I550" s="1">
        <v>0.33888888888888891</v>
      </c>
      <c r="J550" s="1" t="s">
        <v>113</v>
      </c>
    </row>
    <row r="551" spans="1:10" x14ac:dyDescent="0.3">
      <c r="A551" s="5">
        <v>45834</v>
      </c>
      <c r="B551" s="1" t="s">
        <v>100</v>
      </c>
      <c r="C551" s="1" t="s">
        <v>104</v>
      </c>
      <c r="D551" s="1" t="s">
        <v>101</v>
      </c>
      <c r="E551" s="1" t="s">
        <v>144</v>
      </c>
      <c r="F551" s="1" t="s">
        <v>155</v>
      </c>
      <c r="G551" s="1">
        <v>210</v>
      </c>
      <c r="H551" s="1">
        <v>43</v>
      </c>
      <c r="I551" s="1">
        <v>0.3347222222222222</v>
      </c>
      <c r="J551" s="1" t="s">
        <v>113</v>
      </c>
    </row>
    <row r="552" spans="1:10" x14ac:dyDescent="0.3">
      <c r="A552" s="5">
        <v>45834</v>
      </c>
      <c r="B552" s="1" t="s">
        <v>100</v>
      </c>
      <c r="C552" s="1" t="s">
        <v>104</v>
      </c>
      <c r="D552" s="1" t="s">
        <v>97</v>
      </c>
      <c r="E552" s="1" t="s">
        <v>147</v>
      </c>
      <c r="F552" s="1" t="s">
        <v>155</v>
      </c>
      <c r="G552" s="1">
        <v>255</v>
      </c>
      <c r="H552" s="1">
        <v>50</v>
      </c>
      <c r="I552" s="1">
        <v>0.29583333333333328</v>
      </c>
      <c r="J552" s="1" t="s">
        <v>113</v>
      </c>
    </row>
    <row r="553" spans="1:10" x14ac:dyDescent="0.3">
      <c r="A553" s="5">
        <v>45834</v>
      </c>
      <c r="B553" s="1" t="s">
        <v>100</v>
      </c>
      <c r="C553" s="1" t="s">
        <v>104</v>
      </c>
      <c r="D553" s="1" t="s">
        <v>109</v>
      </c>
      <c r="E553" s="1" t="s">
        <v>147</v>
      </c>
      <c r="F553" s="1" t="s">
        <v>155</v>
      </c>
      <c r="G553" s="1">
        <v>230</v>
      </c>
      <c r="H553" s="1">
        <v>44</v>
      </c>
      <c r="I553" s="1">
        <v>8</v>
      </c>
      <c r="J553" s="1" t="s">
        <v>113</v>
      </c>
    </row>
    <row r="554" spans="1:10" x14ac:dyDescent="0.3">
      <c r="A554" s="5">
        <v>45930</v>
      </c>
      <c r="B554" s="1" t="s">
        <v>100</v>
      </c>
      <c r="C554" s="1" t="s">
        <v>96</v>
      </c>
      <c r="D554" s="1" t="s">
        <v>109</v>
      </c>
      <c r="E554" s="1" t="s">
        <v>144</v>
      </c>
      <c r="F554" s="1" t="s">
        <v>155</v>
      </c>
      <c r="G554" s="1">
        <v>304</v>
      </c>
      <c r="H554" s="1">
        <v>56</v>
      </c>
      <c r="I554" s="1">
        <v>12</v>
      </c>
      <c r="J554" s="1"/>
    </row>
    <row r="555" spans="1:10" x14ac:dyDescent="0.3">
      <c r="A555" s="5">
        <v>45930</v>
      </c>
      <c r="B555" s="1" t="s">
        <v>100</v>
      </c>
      <c r="C555" s="1" t="s">
        <v>96</v>
      </c>
      <c r="D555" s="1" t="s">
        <v>97</v>
      </c>
      <c r="E555" s="1" t="s">
        <v>147</v>
      </c>
      <c r="F555" s="1" t="s">
        <v>155</v>
      </c>
      <c r="G555" s="1">
        <v>315</v>
      </c>
      <c r="H555" s="1">
        <v>64</v>
      </c>
      <c r="I555" s="1">
        <v>14</v>
      </c>
      <c r="J555" s="1"/>
    </row>
    <row r="556" spans="1:10" x14ac:dyDescent="0.3">
      <c r="A556" s="5">
        <v>45925</v>
      </c>
      <c r="B556" s="1" t="s">
        <v>100</v>
      </c>
      <c r="C556" s="1" t="s">
        <v>104</v>
      </c>
      <c r="D556" s="1" t="s">
        <v>101</v>
      </c>
      <c r="E556" s="1" t="s">
        <v>147</v>
      </c>
      <c r="F556" s="1" t="s">
        <v>155</v>
      </c>
      <c r="G556" s="1">
        <v>344</v>
      </c>
      <c r="H556" s="1">
        <v>64</v>
      </c>
      <c r="I556" s="1">
        <v>13</v>
      </c>
      <c r="J556" s="1" t="s">
        <v>118</v>
      </c>
    </row>
    <row r="557" spans="1:10" x14ac:dyDescent="0.3">
      <c r="A557" s="5">
        <v>45925</v>
      </c>
      <c r="B557" s="1" t="s">
        <v>100</v>
      </c>
      <c r="C557" s="1" t="s">
        <v>104</v>
      </c>
      <c r="D557" s="1" t="s">
        <v>97</v>
      </c>
      <c r="E557" s="1" t="s">
        <v>146</v>
      </c>
      <c r="F557" s="1" t="s">
        <v>155</v>
      </c>
      <c r="G557" s="1">
        <v>306</v>
      </c>
      <c r="H557" s="1">
        <v>63</v>
      </c>
      <c r="I557" s="1">
        <v>14</v>
      </c>
      <c r="J557" s="1"/>
    </row>
    <row r="558" spans="1:10" x14ac:dyDescent="0.3">
      <c r="A558" s="5">
        <v>45925</v>
      </c>
      <c r="B558" s="1" t="s">
        <v>100</v>
      </c>
      <c r="C558" s="1" t="s">
        <v>104</v>
      </c>
      <c r="D558" s="1" t="s">
        <v>101</v>
      </c>
      <c r="E558" s="1" t="s">
        <v>146</v>
      </c>
      <c r="F558" s="1" t="s">
        <v>155</v>
      </c>
      <c r="G558" s="1">
        <v>332</v>
      </c>
      <c r="H558" s="1">
        <v>64</v>
      </c>
      <c r="I558" s="1">
        <v>14</v>
      </c>
      <c r="J558" s="1"/>
    </row>
    <row r="559" spans="1:10" x14ac:dyDescent="0.3">
      <c r="A559" s="5">
        <v>45925</v>
      </c>
      <c r="B559" s="1" t="s">
        <v>95</v>
      </c>
      <c r="C559" s="1" t="s">
        <v>104</v>
      </c>
      <c r="D559" s="1" t="s">
        <v>99</v>
      </c>
      <c r="E559" s="1" t="s">
        <v>146</v>
      </c>
      <c r="F559" s="1" t="s">
        <v>155</v>
      </c>
      <c r="G559" s="1">
        <v>275</v>
      </c>
      <c r="H559" s="1">
        <v>51</v>
      </c>
      <c r="I559" s="1">
        <v>10</v>
      </c>
      <c r="J559" s="1"/>
    </row>
    <row r="560" spans="1:10" x14ac:dyDescent="0.3">
      <c r="A560" s="5">
        <v>45925</v>
      </c>
      <c r="B560" s="1" t="s">
        <v>95</v>
      </c>
      <c r="C560" s="1" t="s">
        <v>104</v>
      </c>
      <c r="D560" s="1" t="s">
        <v>109</v>
      </c>
      <c r="E560" s="1" t="s">
        <v>147</v>
      </c>
      <c r="F560" s="1" t="s">
        <v>155</v>
      </c>
      <c r="G560" s="1">
        <v>310</v>
      </c>
      <c r="H560" s="1">
        <v>64</v>
      </c>
      <c r="I560" s="1">
        <v>14</v>
      </c>
      <c r="J560" s="1"/>
    </row>
    <row r="561" spans="1:10" x14ac:dyDescent="0.3">
      <c r="A561" s="5">
        <v>45925</v>
      </c>
      <c r="B561" s="1" t="s">
        <v>95</v>
      </c>
      <c r="C561" s="1" t="s">
        <v>104</v>
      </c>
      <c r="D561" s="1" t="s">
        <v>97</v>
      </c>
      <c r="E561" s="1" t="s">
        <v>144</v>
      </c>
      <c r="F561" s="1" t="s">
        <v>155</v>
      </c>
      <c r="G561" s="1">
        <v>335</v>
      </c>
      <c r="H561" s="1">
        <v>64</v>
      </c>
      <c r="I561" s="1">
        <v>14</v>
      </c>
      <c r="J561" s="1"/>
    </row>
    <row r="562" spans="1:10" x14ac:dyDescent="0.3">
      <c r="A562" s="5">
        <v>45923</v>
      </c>
      <c r="B562" s="1" t="s">
        <v>100</v>
      </c>
      <c r="C562" s="1" t="s">
        <v>104</v>
      </c>
      <c r="D562" s="1" t="s">
        <v>101</v>
      </c>
      <c r="E562" s="1" t="s">
        <v>144</v>
      </c>
      <c r="F562" s="1" t="s">
        <v>155</v>
      </c>
      <c r="G562" s="1">
        <v>296</v>
      </c>
      <c r="H562" s="1">
        <v>60</v>
      </c>
      <c r="I562" s="1">
        <v>14</v>
      </c>
      <c r="J562" s="1"/>
    </row>
    <row r="563" spans="1:10" x14ac:dyDescent="0.3">
      <c r="A563" s="5">
        <v>45923</v>
      </c>
      <c r="B563" s="1" t="s">
        <v>100</v>
      </c>
      <c r="C563" s="1" t="s">
        <v>104</v>
      </c>
      <c r="D563" s="1" t="s">
        <v>109</v>
      </c>
      <c r="E563" s="1" t="s">
        <v>144</v>
      </c>
      <c r="F563" s="1" t="s">
        <v>155</v>
      </c>
      <c r="G563" s="1">
        <v>317</v>
      </c>
      <c r="H563" s="1">
        <v>65</v>
      </c>
      <c r="I563" s="1">
        <v>13</v>
      </c>
      <c r="J563" s="1"/>
    </row>
    <row r="564" spans="1:10" x14ac:dyDescent="0.3">
      <c r="A564" s="5">
        <v>45923</v>
      </c>
      <c r="B564" s="1" t="s">
        <v>100</v>
      </c>
      <c r="C564" s="1" t="s">
        <v>104</v>
      </c>
      <c r="D564" s="1" t="s">
        <v>109</v>
      </c>
      <c r="E564" s="1" t="s">
        <v>146</v>
      </c>
      <c r="F564" s="1" t="s">
        <v>155</v>
      </c>
      <c r="G564" s="1">
        <v>330</v>
      </c>
      <c r="H564" s="1">
        <v>64</v>
      </c>
      <c r="I564" s="1">
        <v>13</v>
      </c>
      <c r="J564" s="1" t="s">
        <v>121</v>
      </c>
    </row>
    <row r="565" spans="1:10" x14ac:dyDescent="0.3">
      <c r="A565" s="5">
        <v>45923</v>
      </c>
      <c r="B565" s="1" t="s">
        <v>95</v>
      </c>
      <c r="C565" s="1" t="s">
        <v>104</v>
      </c>
      <c r="D565" s="1" t="s">
        <v>97</v>
      </c>
      <c r="E565" s="1" t="s">
        <v>147</v>
      </c>
      <c r="F565" s="1" t="s">
        <v>155</v>
      </c>
      <c r="G565" s="1">
        <v>329</v>
      </c>
      <c r="H565" s="1">
        <v>65</v>
      </c>
      <c r="I565" s="1">
        <v>12</v>
      </c>
      <c r="J565" s="1"/>
    </row>
    <row r="566" spans="1:10" x14ac:dyDescent="0.3">
      <c r="A566" s="5">
        <v>45923</v>
      </c>
      <c r="B566" s="1" t="s">
        <v>95</v>
      </c>
      <c r="C566" s="1" t="s">
        <v>104</v>
      </c>
      <c r="D566" s="1" t="s">
        <v>99</v>
      </c>
      <c r="E566" s="1" t="s">
        <v>147</v>
      </c>
      <c r="F566" s="1" t="s">
        <v>155</v>
      </c>
      <c r="G566" s="1">
        <v>335</v>
      </c>
      <c r="H566" s="1">
        <v>59</v>
      </c>
      <c r="I566" s="1">
        <v>12</v>
      </c>
      <c r="J566" s="1"/>
    </row>
    <row r="567" spans="1:10" x14ac:dyDescent="0.3">
      <c r="A567" s="5">
        <v>45923</v>
      </c>
      <c r="B567" s="1" t="s">
        <v>95</v>
      </c>
      <c r="C567" s="1" t="s">
        <v>104</v>
      </c>
      <c r="D567" s="1" t="s">
        <v>99</v>
      </c>
      <c r="E567" s="1" t="s">
        <v>144</v>
      </c>
      <c r="F567" s="1" t="s">
        <v>155</v>
      </c>
      <c r="G567" s="1">
        <v>325</v>
      </c>
      <c r="H567" s="1">
        <v>59</v>
      </c>
      <c r="I567" s="1">
        <v>11</v>
      </c>
      <c r="J567" s="1"/>
    </row>
    <row r="568" spans="1:10" x14ac:dyDescent="0.3">
      <c r="A568" s="5">
        <v>45933</v>
      </c>
      <c r="B568" s="1" t="s">
        <v>100</v>
      </c>
      <c r="C568" s="1" t="s">
        <v>96</v>
      </c>
      <c r="D568" s="1" t="s">
        <v>109</v>
      </c>
      <c r="E568" s="1" t="s">
        <v>147</v>
      </c>
      <c r="F568" s="1" t="s">
        <v>155</v>
      </c>
      <c r="G568" s="1">
        <v>350</v>
      </c>
      <c r="H568" s="1">
        <v>68</v>
      </c>
      <c r="I568" s="1">
        <v>13</v>
      </c>
      <c r="J568" s="1"/>
    </row>
    <row r="569" spans="1:10" x14ac:dyDescent="0.3">
      <c r="A569" s="5">
        <v>45933</v>
      </c>
      <c r="B569" s="1" t="s">
        <v>100</v>
      </c>
      <c r="C569" s="1" t="s">
        <v>96</v>
      </c>
      <c r="D569" s="1" t="s">
        <v>97</v>
      </c>
      <c r="E569" s="1" t="s">
        <v>146</v>
      </c>
      <c r="F569" s="1" t="s">
        <v>155</v>
      </c>
      <c r="G569" s="1">
        <v>312</v>
      </c>
      <c r="H569" s="1">
        <v>59</v>
      </c>
      <c r="I569" s="1">
        <v>12</v>
      </c>
      <c r="J569" s="1"/>
    </row>
    <row r="570" spans="1:10" x14ac:dyDescent="0.3">
      <c r="A570" s="5">
        <v>45932</v>
      </c>
      <c r="B570" s="1" t="s">
        <v>100</v>
      </c>
      <c r="C570" s="1" t="s">
        <v>96</v>
      </c>
      <c r="D570" s="1" t="s">
        <v>101</v>
      </c>
      <c r="E570" s="1" t="s">
        <v>147</v>
      </c>
      <c r="F570" s="1" t="s">
        <v>155</v>
      </c>
      <c r="G570" s="1">
        <v>250</v>
      </c>
      <c r="H570" s="1">
        <v>51</v>
      </c>
      <c r="I570" s="1">
        <v>10</v>
      </c>
      <c r="J570" s="1"/>
    </row>
    <row r="571" spans="1:10" x14ac:dyDescent="0.3">
      <c r="A571" s="5">
        <v>45932</v>
      </c>
      <c r="B571" s="1" t="s">
        <v>100</v>
      </c>
      <c r="C571" s="1" t="s">
        <v>96</v>
      </c>
      <c r="D571" s="1" t="s">
        <v>99</v>
      </c>
      <c r="E571" s="1" t="s">
        <v>146</v>
      </c>
      <c r="F571" s="1" t="s">
        <v>155</v>
      </c>
      <c r="G571" s="1">
        <v>330</v>
      </c>
      <c r="H571" s="1">
        <v>64</v>
      </c>
      <c r="I571" s="1">
        <v>13</v>
      </c>
      <c r="J571" s="1" t="s">
        <v>122</v>
      </c>
    </row>
    <row r="572" spans="1:10" x14ac:dyDescent="0.3">
      <c r="A572" s="5">
        <v>45931</v>
      </c>
      <c r="B572" s="1" t="s">
        <v>95</v>
      </c>
      <c r="C572" s="1" t="s">
        <v>96</v>
      </c>
      <c r="D572" s="1" t="s">
        <v>97</v>
      </c>
      <c r="E572" s="1" t="s">
        <v>144</v>
      </c>
      <c r="F572" s="1" t="s">
        <v>155</v>
      </c>
      <c r="G572" s="1">
        <v>300</v>
      </c>
      <c r="H572" s="1">
        <v>55</v>
      </c>
      <c r="I572" s="1">
        <v>11</v>
      </c>
      <c r="J572" s="1"/>
    </row>
    <row r="573" spans="1:10" x14ac:dyDescent="0.3">
      <c r="A573" s="5">
        <v>45931</v>
      </c>
      <c r="B573" s="1" t="s">
        <v>95</v>
      </c>
      <c r="C573" s="1" t="s">
        <v>96</v>
      </c>
      <c r="D573" s="1" t="s">
        <v>99</v>
      </c>
      <c r="E573" s="1" t="s">
        <v>144</v>
      </c>
      <c r="F573" s="1" t="s">
        <v>155</v>
      </c>
      <c r="G573" s="1">
        <v>327</v>
      </c>
      <c r="H573" s="1">
        <v>65</v>
      </c>
      <c r="I573" s="1">
        <v>11</v>
      </c>
      <c r="J573" s="1"/>
    </row>
    <row r="574" spans="1:10" x14ac:dyDescent="0.3">
      <c r="A574" s="5">
        <v>45931</v>
      </c>
      <c r="B574" s="1" t="s">
        <v>95</v>
      </c>
      <c r="C574" s="1" t="s">
        <v>96</v>
      </c>
      <c r="D574" s="1" t="s">
        <v>99</v>
      </c>
      <c r="E574" s="1" t="s">
        <v>147</v>
      </c>
      <c r="F574" s="1" t="s">
        <v>155</v>
      </c>
      <c r="G574" s="1">
        <v>315</v>
      </c>
      <c r="H574" s="1">
        <v>55</v>
      </c>
      <c r="I574" s="1">
        <v>10</v>
      </c>
      <c r="J574" s="1"/>
    </row>
    <row r="575" spans="1:10" x14ac:dyDescent="0.3">
      <c r="A575" s="5">
        <v>45931</v>
      </c>
      <c r="B575" s="1" t="s">
        <v>100</v>
      </c>
      <c r="C575" s="1" t="s">
        <v>96</v>
      </c>
      <c r="D575" s="1" t="s">
        <v>101</v>
      </c>
      <c r="E575" s="1" t="s">
        <v>146</v>
      </c>
      <c r="F575" s="1" t="s">
        <v>155</v>
      </c>
      <c r="G575" s="1">
        <v>330</v>
      </c>
      <c r="H575" s="1">
        <v>67</v>
      </c>
      <c r="I575" s="1">
        <v>12</v>
      </c>
      <c r="J575" s="1"/>
    </row>
    <row r="576" spans="1:10" x14ac:dyDescent="0.3">
      <c r="A576" s="5">
        <v>45931</v>
      </c>
      <c r="B576" s="1" t="s">
        <v>100</v>
      </c>
      <c r="C576" s="1" t="s">
        <v>96</v>
      </c>
      <c r="D576" s="1" t="s">
        <v>109</v>
      </c>
      <c r="E576" s="1" t="s">
        <v>146</v>
      </c>
      <c r="F576" s="1" t="s">
        <v>155</v>
      </c>
      <c r="G576" s="1">
        <v>351</v>
      </c>
      <c r="H576" s="1">
        <v>69</v>
      </c>
      <c r="I576" s="1">
        <v>13</v>
      </c>
      <c r="J576" s="1"/>
    </row>
    <row r="577" spans="1:10" x14ac:dyDescent="0.3">
      <c r="A577" s="5">
        <v>45931</v>
      </c>
      <c r="B577" s="1" t="s">
        <v>100</v>
      </c>
      <c r="C577" s="1" t="s">
        <v>96</v>
      </c>
      <c r="D577" s="1" t="s">
        <v>101</v>
      </c>
      <c r="E577" s="1" t="s">
        <v>144</v>
      </c>
      <c r="F577" s="1" t="s">
        <v>155</v>
      </c>
      <c r="G577" s="1">
        <v>310</v>
      </c>
      <c r="H577" s="1">
        <v>58</v>
      </c>
      <c r="I577" s="1">
        <v>10</v>
      </c>
      <c r="J577" s="1"/>
    </row>
    <row r="578" spans="1:10" x14ac:dyDescent="0.3">
      <c r="A578" s="5">
        <v>45737</v>
      </c>
      <c r="B578" s="1" t="s">
        <v>95</v>
      </c>
      <c r="C578" s="1" t="s">
        <v>96</v>
      </c>
      <c r="D578" s="1" t="s">
        <v>97</v>
      </c>
      <c r="E578" s="1" t="s">
        <v>144</v>
      </c>
      <c r="F578" s="1" t="s">
        <v>156</v>
      </c>
      <c r="G578" s="1">
        <v>70</v>
      </c>
      <c r="H578" s="1">
        <v>21</v>
      </c>
      <c r="I578" s="1"/>
      <c r="J578" s="1" t="s">
        <v>98</v>
      </c>
    </row>
    <row r="579" spans="1:10" x14ac:dyDescent="0.3">
      <c r="A579" s="5">
        <v>45737</v>
      </c>
      <c r="B579" s="1" t="s">
        <v>95</v>
      </c>
      <c r="C579" s="1" t="s">
        <v>96</v>
      </c>
      <c r="D579" s="1" t="s">
        <v>97</v>
      </c>
      <c r="E579" s="1" t="s">
        <v>146</v>
      </c>
      <c r="F579" s="1" t="s">
        <v>156</v>
      </c>
      <c r="G579" s="1">
        <v>95</v>
      </c>
      <c r="H579" s="1">
        <v>21</v>
      </c>
      <c r="I579" s="1"/>
      <c r="J579" s="1" t="s">
        <v>98</v>
      </c>
    </row>
    <row r="580" spans="1:10" x14ac:dyDescent="0.3">
      <c r="A580" s="5">
        <v>45737</v>
      </c>
      <c r="B580" s="1" t="s">
        <v>95</v>
      </c>
      <c r="C580" s="1" t="s">
        <v>96</v>
      </c>
      <c r="D580" s="1" t="s">
        <v>99</v>
      </c>
      <c r="E580" s="1" t="s">
        <v>144</v>
      </c>
      <c r="F580" s="1" t="s">
        <v>156</v>
      </c>
      <c r="G580" s="1">
        <v>80</v>
      </c>
      <c r="H580" s="1">
        <v>23</v>
      </c>
      <c r="I580" s="1"/>
      <c r="J580" s="1" t="s">
        <v>98</v>
      </c>
    </row>
    <row r="581" spans="1:10" x14ac:dyDescent="0.3">
      <c r="A581" s="5">
        <v>45737</v>
      </c>
      <c r="B581" s="1" t="s">
        <v>95</v>
      </c>
      <c r="C581" s="1" t="s">
        <v>96</v>
      </c>
      <c r="D581" s="1" t="s">
        <v>97</v>
      </c>
      <c r="E581" s="1" t="s">
        <v>147</v>
      </c>
      <c r="F581" s="1" t="s">
        <v>156</v>
      </c>
      <c r="G581" s="1">
        <v>93</v>
      </c>
      <c r="H581" s="1">
        <v>23</v>
      </c>
      <c r="I581" s="1"/>
      <c r="J581" s="1" t="s">
        <v>98</v>
      </c>
    </row>
    <row r="582" spans="1:10" x14ac:dyDescent="0.3">
      <c r="A582" s="5">
        <v>45737</v>
      </c>
      <c r="B582" s="1" t="s">
        <v>100</v>
      </c>
      <c r="C582" s="1" t="s">
        <v>96</v>
      </c>
      <c r="D582" s="1" t="s">
        <v>101</v>
      </c>
      <c r="E582" s="1" t="s">
        <v>146</v>
      </c>
      <c r="F582" s="1" t="s">
        <v>156</v>
      </c>
      <c r="G582" s="1">
        <v>78</v>
      </c>
      <c r="H582" s="1">
        <v>21</v>
      </c>
      <c r="I582" s="1"/>
      <c r="J582" s="1" t="s">
        <v>102</v>
      </c>
    </row>
    <row r="583" spans="1:10" x14ac:dyDescent="0.3">
      <c r="A583" s="5">
        <v>45737</v>
      </c>
      <c r="B583" s="1" t="s">
        <v>100</v>
      </c>
      <c r="C583" s="1" t="s">
        <v>96</v>
      </c>
      <c r="D583" s="1" t="s">
        <v>99</v>
      </c>
      <c r="E583" s="1" t="s">
        <v>146</v>
      </c>
      <c r="F583" s="1" t="s">
        <v>156</v>
      </c>
      <c r="G583" s="1">
        <v>80</v>
      </c>
      <c r="H583" s="1">
        <v>22</v>
      </c>
      <c r="I583" s="1"/>
      <c r="J583" s="1" t="s">
        <v>102</v>
      </c>
    </row>
    <row r="584" spans="1:10" x14ac:dyDescent="0.3">
      <c r="A584" s="5">
        <v>45737</v>
      </c>
      <c r="B584" s="1" t="s">
        <v>100</v>
      </c>
      <c r="C584" s="1" t="s">
        <v>96</v>
      </c>
      <c r="D584" s="1" t="s">
        <v>97</v>
      </c>
      <c r="E584" s="1" t="s">
        <v>146</v>
      </c>
      <c r="F584" s="1" t="s">
        <v>156</v>
      </c>
      <c r="G584" s="1">
        <v>75</v>
      </c>
      <c r="H584" s="1">
        <v>19</v>
      </c>
      <c r="I584" s="1"/>
      <c r="J584" s="1" t="s">
        <v>102</v>
      </c>
    </row>
    <row r="585" spans="1:10" x14ac:dyDescent="0.3">
      <c r="A585" s="5">
        <v>45737</v>
      </c>
      <c r="B585" s="1" t="s">
        <v>100</v>
      </c>
      <c r="C585" s="1" t="s">
        <v>96</v>
      </c>
      <c r="D585" s="1" t="s">
        <v>101</v>
      </c>
      <c r="E585" s="1" t="s">
        <v>144</v>
      </c>
      <c r="F585" s="1" t="s">
        <v>156</v>
      </c>
      <c r="G585" s="1">
        <v>105</v>
      </c>
      <c r="H585" s="1">
        <v>27</v>
      </c>
      <c r="I585" s="1"/>
      <c r="J585" s="1" t="s">
        <v>102</v>
      </c>
    </row>
    <row r="586" spans="1:10" x14ac:dyDescent="0.3">
      <c r="A586" s="5">
        <v>45729</v>
      </c>
      <c r="B586" s="1" t="s">
        <v>95</v>
      </c>
      <c r="C586" s="1" t="s">
        <v>104</v>
      </c>
      <c r="D586" s="1" t="s">
        <v>101</v>
      </c>
      <c r="E586" s="1" t="s">
        <v>144</v>
      </c>
      <c r="F586" s="1" t="s">
        <v>156</v>
      </c>
      <c r="G586" s="1">
        <v>100</v>
      </c>
      <c r="H586" s="1">
        <v>23</v>
      </c>
      <c r="I586" s="1"/>
      <c r="J586" s="1" t="s">
        <v>105</v>
      </c>
    </row>
    <row r="587" spans="1:10" x14ac:dyDescent="0.3">
      <c r="A587" s="5">
        <v>45729</v>
      </c>
      <c r="B587" s="1" t="s">
        <v>95</v>
      </c>
      <c r="C587" s="1" t="s">
        <v>104</v>
      </c>
      <c r="D587" s="1" t="s">
        <v>97</v>
      </c>
      <c r="E587" s="1" t="s">
        <v>146</v>
      </c>
      <c r="F587" s="1" t="s">
        <v>156</v>
      </c>
      <c r="G587" s="1">
        <v>85</v>
      </c>
      <c r="H587" s="1">
        <v>22</v>
      </c>
      <c r="I587" s="1"/>
      <c r="J587" s="1" t="s">
        <v>103</v>
      </c>
    </row>
    <row r="588" spans="1:10" x14ac:dyDescent="0.3">
      <c r="A588" s="5">
        <v>45729</v>
      </c>
      <c r="B588" s="1" t="s">
        <v>95</v>
      </c>
      <c r="C588" s="1" t="s">
        <v>104</v>
      </c>
      <c r="D588" s="1" t="s">
        <v>101</v>
      </c>
      <c r="E588" s="1" t="s">
        <v>146</v>
      </c>
      <c r="F588" s="1" t="s">
        <v>156</v>
      </c>
      <c r="G588" s="1">
        <v>70</v>
      </c>
      <c r="H588" s="1">
        <v>19</v>
      </c>
      <c r="I588" s="1"/>
      <c r="J588" s="1" t="s">
        <v>103</v>
      </c>
    </row>
    <row r="589" spans="1:10" x14ac:dyDescent="0.3">
      <c r="A589" s="5">
        <v>45729</v>
      </c>
      <c r="B589" s="1" t="s">
        <v>95</v>
      </c>
      <c r="C589" s="1" t="s">
        <v>104</v>
      </c>
      <c r="D589" s="1" t="s">
        <v>99</v>
      </c>
      <c r="E589" s="1" t="s">
        <v>144</v>
      </c>
      <c r="F589" s="1" t="s">
        <v>156</v>
      </c>
      <c r="G589" s="1">
        <v>86</v>
      </c>
      <c r="H589" s="1">
        <v>22</v>
      </c>
      <c r="I589" s="1"/>
      <c r="J589" s="1" t="s">
        <v>103</v>
      </c>
    </row>
    <row r="590" spans="1:10" x14ac:dyDescent="0.3">
      <c r="A590" s="5">
        <v>45729</v>
      </c>
      <c r="B590" s="1" t="s">
        <v>100</v>
      </c>
      <c r="C590" s="1" t="s">
        <v>104</v>
      </c>
      <c r="D590" s="1" t="s">
        <v>97</v>
      </c>
      <c r="E590" s="1" t="s">
        <v>147</v>
      </c>
      <c r="F590" s="1" t="s">
        <v>156</v>
      </c>
      <c r="G590" s="1">
        <v>82</v>
      </c>
      <c r="H590" s="1">
        <v>24</v>
      </c>
      <c r="I590" s="1"/>
      <c r="J590" s="1" t="s">
        <v>102</v>
      </c>
    </row>
    <row r="591" spans="1:10" x14ac:dyDescent="0.3">
      <c r="A591" s="5">
        <v>45729</v>
      </c>
      <c r="B591" s="1" t="s">
        <v>100</v>
      </c>
      <c r="C591" s="1" t="s">
        <v>104</v>
      </c>
      <c r="D591" s="1" t="s">
        <v>109</v>
      </c>
      <c r="E591" s="1" t="s">
        <v>144</v>
      </c>
      <c r="F591" s="1" t="s">
        <v>156</v>
      </c>
      <c r="G591" s="1">
        <v>91</v>
      </c>
      <c r="H591" s="1">
        <v>23</v>
      </c>
      <c r="I591" s="1"/>
      <c r="J591" s="1" t="s">
        <v>102</v>
      </c>
    </row>
    <row r="592" spans="1:10" x14ac:dyDescent="0.3">
      <c r="A592" s="5">
        <v>45729</v>
      </c>
      <c r="B592" s="1" t="s">
        <v>100</v>
      </c>
      <c r="C592" s="1" t="s">
        <v>104</v>
      </c>
      <c r="D592" s="1" t="s">
        <v>99</v>
      </c>
      <c r="E592" s="1" t="s">
        <v>147</v>
      </c>
      <c r="F592" s="1" t="s">
        <v>156</v>
      </c>
      <c r="G592" s="1">
        <v>98</v>
      </c>
      <c r="H592" s="1">
        <v>23</v>
      </c>
      <c r="I592" s="1"/>
      <c r="J592" s="1" t="s">
        <v>102</v>
      </c>
    </row>
    <row r="593" spans="1:10" x14ac:dyDescent="0.3">
      <c r="A593" s="5">
        <v>45729</v>
      </c>
      <c r="B593" s="1" t="s">
        <v>100</v>
      </c>
      <c r="C593" s="1" t="s">
        <v>104</v>
      </c>
      <c r="D593" s="1" t="s">
        <v>97</v>
      </c>
      <c r="E593" s="1" t="s">
        <v>144</v>
      </c>
      <c r="F593" s="1" t="s">
        <v>156</v>
      </c>
      <c r="G593" s="1">
        <v>82</v>
      </c>
      <c r="H593" s="1">
        <v>25</v>
      </c>
      <c r="I593" s="1"/>
      <c r="J593" s="1" t="s">
        <v>102</v>
      </c>
    </row>
    <row r="594" spans="1:10" x14ac:dyDescent="0.3">
      <c r="A594" s="5">
        <v>45835</v>
      </c>
      <c r="B594" s="1" t="s">
        <v>95</v>
      </c>
      <c r="C594" s="1" t="s">
        <v>96</v>
      </c>
      <c r="D594" s="1" t="s">
        <v>99</v>
      </c>
      <c r="E594" s="1" t="s">
        <v>146</v>
      </c>
      <c r="F594" s="1" t="s">
        <v>156</v>
      </c>
      <c r="G594" s="1">
        <v>238</v>
      </c>
      <c r="H594" s="1">
        <v>39</v>
      </c>
      <c r="I594" s="1">
        <v>7.4</v>
      </c>
      <c r="J594" s="1"/>
    </row>
    <row r="595" spans="1:10" x14ac:dyDescent="0.3">
      <c r="A595" s="5">
        <v>45835</v>
      </c>
      <c r="B595" s="1" t="s">
        <v>95</v>
      </c>
      <c r="C595" s="1" t="s">
        <v>96</v>
      </c>
      <c r="D595" s="1" t="s">
        <v>97</v>
      </c>
      <c r="E595" s="1" t="s">
        <v>146</v>
      </c>
      <c r="F595" s="1" t="s">
        <v>156</v>
      </c>
      <c r="G595" s="1">
        <v>238</v>
      </c>
      <c r="H595" s="1">
        <v>45</v>
      </c>
      <c r="I595" s="1">
        <v>10.8</v>
      </c>
      <c r="J595" s="1"/>
    </row>
    <row r="596" spans="1:10" x14ac:dyDescent="0.3">
      <c r="A596" s="5">
        <v>45835</v>
      </c>
      <c r="B596" s="1" t="s">
        <v>95</v>
      </c>
      <c r="C596" s="1" t="s">
        <v>96</v>
      </c>
      <c r="D596" s="1" t="s">
        <v>101</v>
      </c>
      <c r="E596" s="1" t="s">
        <v>146</v>
      </c>
      <c r="F596" s="1" t="s">
        <v>156</v>
      </c>
      <c r="G596" s="1">
        <v>240</v>
      </c>
      <c r="H596" s="1">
        <v>42</v>
      </c>
      <c r="I596" s="1">
        <v>9.1999999999999993</v>
      </c>
      <c r="J596" s="1"/>
    </row>
    <row r="597" spans="1:10" x14ac:dyDescent="0.3">
      <c r="A597" s="5">
        <v>45835</v>
      </c>
      <c r="B597" s="1" t="s">
        <v>95</v>
      </c>
      <c r="C597" s="1" t="s">
        <v>96</v>
      </c>
      <c r="D597" s="1" t="s">
        <v>109</v>
      </c>
      <c r="E597" s="1" t="s">
        <v>146</v>
      </c>
      <c r="F597" s="1" t="s">
        <v>156</v>
      </c>
      <c r="G597" s="1">
        <v>210</v>
      </c>
      <c r="H597" s="1">
        <v>35</v>
      </c>
      <c r="I597" s="1">
        <v>6.6</v>
      </c>
      <c r="J597" s="1"/>
    </row>
    <row r="598" spans="1:10" x14ac:dyDescent="0.3">
      <c r="A598" s="5">
        <v>45835</v>
      </c>
      <c r="B598" s="1" t="s">
        <v>95</v>
      </c>
      <c r="C598" s="1" t="s">
        <v>96</v>
      </c>
      <c r="D598" s="1" t="s">
        <v>109</v>
      </c>
      <c r="E598" s="1" t="s">
        <v>144</v>
      </c>
      <c r="F598" s="1" t="s">
        <v>156</v>
      </c>
      <c r="G598" s="1">
        <v>250</v>
      </c>
      <c r="H598" s="1">
        <v>50</v>
      </c>
      <c r="I598" s="1">
        <v>8</v>
      </c>
      <c r="J598" s="1"/>
    </row>
    <row r="599" spans="1:10" x14ac:dyDescent="0.3">
      <c r="A599" s="5">
        <v>45835</v>
      </c>
      <c r="B599" s="1" t="s">
        <v>95</v>
      </c>
      <c r="C599" s="1" t="s">
        <v>96</v>
      </c>
      <c r="D599" s="1" t="s">
        <v>101</v>
      </c>
      <c r="E599" s="1" t="s">
        <v>144</v>
      </c>
      <c r="F599" s="1" t="s">
        <v>156</v>
      </c>
      <c r="G599" s="1">
        <v>210</v>
      </c>
      <c r="H599" s="1">
        <v>40</v>
      </c>
      <c r="I599" s="1">
        <v>8.6</v>
      </c>
      <c r="J599" s="1"/>
    </row>
    <row r="600" spans="1:10" x14ac:dyDescent="0.3">
      <c r="A600" s="5">
        <v>45835</v>
      </c>
      <c r="B600" s="1" t="s">
        <v>100</v>
      </c>
      <c r="C600" s="1" t="s">
        <v>96</v>
      </c>
      <c r="D600" s="1" t="s">
        <v>101</v>
      </c>
      <c r="E600" s="1" t="s">
        <v>147</v>
      </c>
      <c r="F600" s="1" t="s">
        <v>156</v>
      </c>
      <c r="G600" s="1">
        <v>240</v>
      </c>
      <c r="H600" s="1">
        <v>43</v>
      </c>
      <c r="I600" s="1">
        <v>0.3347222222222222</v>
      </c>
      <c r="J600" s="1"/>
    </row>
    <row r="601" spans="1:10" x14ac:dyDescent="0.3">
      <c r="A601" s="5">
        <v>45835</v>
      </c>
      <c r="B601" s="1" t="s">
        <v>100</v>
      </c>
      <c r="C601" s="1"/>
      <c r="D601" s="1" t="s">
        <v>109</v>
      </c>
      <c r="E601" s="1" t="s">
        <v>147</v>
      </c>
      <c r="F601" s="1" t="s">
        <v>156</v>
      </c>
      <c r="G601" s="1">
        <v>215</v>
      </c>
      <c r="H601" s="1">
        <v>43</v>
      </c>
      <c r="I601" s="1">
        <v>0.37638888888888888</v>
      </c>
      <c r="J601" s="1"/>
    </row>
    <row r="602" spans="1:10" x14ac:dyDescent="0.3">
      <c r="A602" s="5">
        <v>45835</v>
      </c>
      <c r="B602" s="1" t="s">
        <v>100</v>
      </c>
      <c r="C602" s="1" t="s">
        <v>96</v>
      </c>
      <c r="D602" s="1" t="s">
        <v>99</v>
      </c>
      <c r="E602" s="1" t="s">
        <v>144</v>
      </c>
      <c r="F602" s="1" t="s">
        <v>156</v>
      </c>
      <c r="G602" s="1">
        <v>220</v>
      </c>
      <c r="H602" s="1">
        <v>45</v>
      </c>
      <c r="I602" s="1">
        <v>8</v>
      </c>
      <c r="J602" s="1"/>
    </row>
    <row r="603" spans="1:10" x14ac:dyDescent="0.3">
      <c r="A603" s="5">
        <v>45835</v>
      </c>
      <c r="B603" s="1" t="s">
        <v>100</v>
      </c>
      <c r="C603" s="1" t="s">
        <v>96</v>
      </c>
      <c r="D603" s="1" t="s">
        <v>97</v>
      </c>
      <c r="E603" s="1" t="s">
        <v>144</v>
      </c>
      <c r="F603" s="1" t="s">
        <v>156</v>
      </c>
      <c r="G603" s="1">
        <v>207</v>
      </c>
      <c r="H603" s="1">
        <v>40</v>
      </c>
      <c r="I603" s="1">
        <v>7</v>
      </c>
      <c r="J603" s="1"/>
    </row>
    <row r="604" spans="1:10" x14ac:dyDescent="0.3">
      <c r="A604" s="5">
        <v>45835</v>
      </c>
      <c r="B604" s="1" t="s">
        <v>100</v>
      </c>
      <c r="C604" s="1" t="s">
        <v>96</v>
      </c>
      <c r="D604" s="1" t="s">
        <v>99</v>
      </c>
      <c r="E604" s="1" t="s">
        <v>147</v>
      </c>
      <c r="F604" s="1" t="s">
        <v>156</v>
      </c>
      <c r="G604" s="1">
        <v>220</v>
      </c>
      <c r="H604" s="1">
        <v>43</v>
      </c>
      <c r="I604" s="1">
        <v>11</v>
      </c>
      <c r="J604" s="1"/>
    </row>
    <row r="605" spans="1:10" x14ac:dyDescent="0.3">
      <c r="A605" s="5">
        <v>45835</v>
      </c>
      <c r="B605" s="1" t="s">
        <v>100</v>
      </c>
      <c r="C605" s="1" t="s">
        <v>96</v>
      </c>
      <c r="D605" s="1" t="s">
        <v>97</v>
      </c>
      <c r="E605" s="1" t="s">
        <v>147</v>
      </c>
      <c r="F605" s="1" t="s">
        <v>156</v>
      </c>
      <c r="G605" s="1">
        <v>205</v>
      </c>
      <c r="H605" s="1">
        <v>40</v>
      </c>
      <c r="I605" s="1">
        <v>8</v>
      </c>
      <c r="J605" s="1" t="s">
        <v>113</v>
      </c>
    </row>
    <row r="606" spans="1:10" x14ac:dyDescent="0.3">
      <c r="A606" s="5">
        <v>45834</v>
      </c>
      <c r="B606" s="1" t="s">
        <v>114</v>
      </c>
      <c r="C606" s="1" t="s">
        <v>104</v>
      </c>
      <c r="D606" s="1" t="s">
        <v>101</v>
      </c>
      <c r="E606" s="1" t="s">
        <v>146</v>
      </c>
      <c r="F606" s="1" t="s">
        <v>156</v>
      </c>
      <c r="G606" s="1">
        <v>168</v>
      </c>
      <c r="H606" s="1">
        <v>32</v>
      </c>
      <c r="I606" s="1">
        <v>6</v>
      </c>
      <c r="J606" s="1"/>
    </row>
    <row r="607" spans="1:10" x14ac:dyDescent="0.3">
      <c r="A607" s="5">
        <v>45834</v>
      </c>
      <c r="B607" s="1" t="s">
        <v>114</v>
      </c>
      <c r="C607" s="1" t="s">
        <v>104</v>
      </c>
      <c r="D607" s="1" t="s">
        <v>97</v>
      </c>
      <c r="E607" s="1" t="s">
        <v>146</v>
      </c>
      <c r="F607" s="1" t="s">
        <v>156</v>
      </c>
      <c r="G607" s="1">
        <v>200</v>
      </c>
      <c r="H607" s="1">
        <v>39</v>
      </c>
      <c r="I607" s="1">
        <v>7</v>
      </c>
      <c r="J607" s="1"/>
    </row>
    <row r="608" spans="1:10" x14ac:dyDescent="0.3">
      <c r="A608" s="5">
        <v>45834</v>
      </c>
      <c r="B608" s="1" t="s">
        <v>95</v>
      </c>
      <c r="C608" s="1" t="s">
        <v>104</v>
      </c>
      <c r="D608" s="1" t="s">
        <v>99</v>
      </c>
      <c r="E608" s="1" t="s">
        <v>147</v>
      </c>
      <c r="F608" s="1" t="s">
        <v>156</v>
      </c>
      <c r="G608" s="1">
        <v>240</v>
      </c>
      <c r="H608" s="1">
        <v>41</v>
      </c>
      <c r="I608" s="1">
        <v>10</v>
      </c>
      <c r="J608" s="1"/>
    </row>
    <row r="609" spans="1:10" x14ac:dyDescent="0.3">
      <c r="A609" s="5">
        <v>45834</v>
      </c>
      <c r="B609" s="1" t="s">
        <v>95</v>
      </c>
      <c r="C609" s="1" t="s">
        <v>104</v>
      </c>
      <c r="D609" s="1" t="s">
        <v>97</v>
      </c>
      <c r="E609" s="1" t="s">
        <v>144</v>
      </c>
      <c r="F609" s="1" t="s">
        <v>156</v>
      </c>
      <c r="G609" s="1">
        <v>233</v>
      </c>
      <c r="H609" s="1">
        <v>44</v>
      </c>
      <c r="I609" s="1">
        <v>9</v>
      </c>
      <c r="J609" s="1"/>
    </row>
    <row r="610" spans="1:10" x14ac:dyDescent="0.3">
      <c r="A610" s="5">
        <v>45834</v>
      </c>
      <c r="B610" s="1" t="s">
        <v>95</v>
      </c>
      <c r="C610" s="1" t="s">
        <v>104</v>
      </c>
      <c r="D610" s="1" t="s">
        <v>109</v>
      </c>
      <c r="E610" s="1" t="s">
        <v>146</v>
      </c>
      <c r="F610" s="1" t="s">
        <v>156</v>
      </c>
      <c r="G610" s="1">
        <v>240</v>
      </c>
      <c r="H610" s="1">
        <v>46</v>
      </c>
      <c r="I610" s="1">
        <v>9</v>
      </c>
      <c r="J610" s="1"/>
    </row>
    <row r="611" spans="1:10" x14ac:dyDescent="0.3">
      <c r="A611" s="5">
        <v>45834</v>
      </c>
      <c r="B611" s="1" t="s">
        <v>95</v>
      </c>
      <c r="C611" s="1" t="s">
        <v>104</v>
      </c>
      <c r="D611" s="1" t="s">
        <v>99</v>
      </c>
      <c r="E611" s="1" t="s">
        <v>146</v>
      </c>
      <c r="F611" s="1" t="s">
        <v>156</v>
      </c>
      <c r="G611" s="1">
        <v>180</v>
      </c>
      <c r="H611" s="1">
        <v>33</v>
      </c>
      <c r="I611" s="1">
        <v>6</v>
      </c>
      <c r="J611" s="1"/>
    </row>
    <row r="612" spans="1:10" x14ac:dyDescent="0.3">
      <c r="A612" s="5">
        <v>45834</v>
      </c>
      <c r="B612" s="1" t="s">
        <v>95</v>
      </c>
      <c r="C612" s="1" t="s">
        <v>104</v>
      </c>
      <c r="D612" s="1" t="s">
        <v>101</v>
      </c>
      <c r="E612" s="1" t="s">
        <v>147</v>
      </c>
      <c r="F612" s="1" t="s">
        <v>156</v>
      </c>
      <c r="G612" s="1">
        <v>275</v>
      </c>
      <c r="H612" s="1">
        <v>51</v>
      </c>
      <c r="I612" s="1">
        <v>9</v>
      </c>
      <c r="J612" s="1"/>
    </row>
    <row r="613" spans="1:10" x14ac:dyDescent="0.3">
      <c r="A613" s="5">
        <v>45834</v>
      </c>
      <c r="B613" s="1" t="s">
        <v>100</v>
      </c>
      <c r="C613" s="1" t="s">
        <v>104</v>
      </c>
      <c r="D613" s="1" t="s">
        <v>109</v>
      </c>
      <c r="E613" s="1" t="s">
        <v>144</v>
      </c>
      <c r="F613" s="1" t="s">
        <v>156</v>
      </c>
      <c r="G613" s="1">
        <v>245</v>
      </c>
      <c r="H613" s="1">
        <v>45</v>
      </c>
      <c r="I613" s="1">
        <v>8</v>
      </c>
      <c r="J613" s="1"/>
    </row>
    <row r="614" spans="1:10" x14ac:dyDescent="0.3">
      <c r="A614" s="5">
        <v>45834</v>
      </c>
      <c r="B614" s="1" t="s">
        <v>100</v>
      </c>
      <c r="C614" s="1" t="s">
        <v>104</v>
      </c>
      <c r="D614" s="1" t="s">
        <v>99</v>
      </c>
      <c r="E614" s="1" t="s">
        <v>144</v>
      </c>
      <c r="F614" s="1" t="s">
        <v>156</v>
      </c>
      <c r="G614" s="1">
        <v>170</v>
      </c>
      <c r="H614" s="1">
        <v>33</v>
      </c>
      <c r="I614" s="1">
        <v>0.33888888888888891</v>
      </c>
      <c r="J614" s="1" t="s">
        <v>113</v>
      </c>
    </row>
    <row r="615" spans="1:10" x14ac:dyDescent="0.3">
      <c r="A615" s="5">
        <v>45834</v>
      </c>
      <c r="B615" s="1" t="s">
        <v>100</v>
      </c>
      <c r="C615" s="1" t="s">
        <v>104</v>
      </c>
      <c r="D615" s="1" t="s">
        <v>101</v>
      </c>
      <c r="E615" s="1" t="s">
        <v>144</v>
      </c>
      <c r="F615" s="1" t="s">
        <v>156</v>
      </c>
      <c r="G615" s="1">
        <v>220</v>
      </c>
      <c r="H615" s="1">
        <v>39</v>
      </c>
      <c r="I615" s="1">
        <v>11</v>
      </c>
      <c r="J615" s="1" t="s">
        <v>113</v>
      </c>
    </row>
    <row r="616" spans="1:10" x14ac:dyDescent="0.3">
      <c r="A616" s="5">
        <v>45834</v>
      </c>
      <c r="B616" s="1" t="s">
        <v>100</v>
      </c>
      <c r="C616" s="1" t="s">
        <v>104</v>
      </c>
      <c r="D616" s="1" t="s">
        <v>97</v>
      </c>
      <c r="E616" s="1" t="s">
        <v>147</v>
      </c>
      <c r="F616" s="1" t="s">
        <v>156</v>
      </c>
      <c r="G616" s="1">
        <v>230</v>
      </c>
      <c r="H616" s="1">
        <v>44</v>
      </c>
      <c r="I616" s="1">
        <v>0.33888888888888891</v>
      </c>
      <c r="J616" s="1" t="s">
        <v>113</v>
      </c>
    </row>
    <row r="617" spans="1:10" x14ac:dyDescent="0.3">
      <c r="A617" s="5">
        <v>45834</v>
      </c>
      <c r="B617" s="1" t="s">
        <v>100</v>
      </c>
      <c r="C617" s="1" t="s">
        <v>104</v>
      </c>
      <c r="D617" s="1" t="s">
        <v>109</v>
      </c>
      <c r="E617" s="1" t="s">
        <v>147</v>
      </c>
      <c r="F617" s="1" t="s">
        <v>156</v>
      </c>
      <c r="G617" s="1">
        <v>230</v>
      </c>
      <c r="H617" s="1">
        <v>46</v>
      </c>
      <c r="I617" s="1">
        <v>9</v>
      </c>
      <c r="J617" s="1" t="s">
        <v>113</v>
      </c>
    </row>
    <row r="618" spans="1:10" x14ac:dyDescent="0.3">
      <c r="A618" s="5">
        <v>45930</v>
      </c>
      <c r="B618" s="1" t="s">
        <v>100</v>
      </c>
      <c r="C618" s="1" t="s">
        <v>96</v>
      </c>
      <c r="D618" s="1" t="s">
        <v>109</v>
      </c>
      <c r="E618" s="1" t="s">
        <v>144</v>
      </c>
      <c r="F618" s="1" t="s">
        <v>156</v>
      </c>
      <c r="G618" s="1">
        <v>342</v>
      </c>
      <c r="H618" s="1">
        <v>67</v>
      </c>
      <c r="I618" s="1">
        <v>13</v>
      </c>
      <c r="J618" s="1" t="s">
        <v>117</v>
      </c>
    </row>
    <row r="619" spans="1:10" x14ac:dyDescent="0.3">
      <c r="A619" s="5">
        <v>45930</v>
      </c>
      <c r="B619" s="1" t="s">
        <v>100</v>
      </c>
      <c r="C619" s="1" t="s">
        <v>96</v>
      </c>
      <c r="D619" s="1" t="s">
        <v>97</v>
      </c>
      <c r="E619" s="1" t="s">
        <v>147</v>
      </c>
      <c r="F619" s="1" t="s">
        <v>156</v>
      </c>
      <c r="G619" s="1">
        <v>290</v>
      </c>
      <c r="H619" s="1">
        <v>55</v>
      </c>
      <c r="I619" s="1">
        <v>10</v>
      </c>
      <c r="J619" s="1"/>
    </row>
    <row r="620" spans="1:10" x14ac:dyDescent="0.3">
      <c r="A620" s="5">
        <v>45925</v>
      </c>
      <c r="B620" s="1" t="s">
        <v>100</v>
      </c>
      <c r="C620" s="1" t="s">
        <v>104</v>
      </c>
      <c r="D620" s="1" t="s">
        <v>101</v>
      </c>
      <c r="E620" s="1" t="s">
        <v>147</v>
      </c>
      <c r="F620" s="1" t="s">
        <v>156</v>
      </c>
      <c r="G620" s="1">
        <v>335</v>
      </c>
      <c r="H620" s="1">
        <v>64</v>
      </c>
      <c r="I620" s="1">
        <v>14</v>
      </c>
      <c r="J620" s="1"/>
    </row>
    <row r="621" spans="1:10" x14ac:dyDescent="0.3">
      <c r="A621" s="5">
        <v>45925</v>
      </c>
      <c r="B621" s="1" t="s">
        <v>100</v>
      </c>
      <c r="C621" s="1" t="s">
        <v>104</v>
      </c>
      <c r="D621" s="1" t="s">
        <v>97</v>
      </c>
      <c r="E621" s="1" t="s">
        <v>146</v>
      </c>
      <c r="F621" s="1" t="s">
        <v>156</v>
      </c>
      <c r="G621" s="1">
        <v>235</v>
      </c>
      <c r="H621" s="1">
        <v>51</v>
      </c>
      <c r="I621" s="1">
        <v>8</v>
      </c>
      <c r="J621" s="1"/>
    </row>
    <row r="622" spans="1:10" x14ac:dyDescent="0.3">
      <c r="A622" s="5">
        <v>45925</v>
      </c>
      <c r="B622" s="1" t="s">
        <v>100</v>
      </c>
      <c r="C622" s="1" t="s">
        <v>104</v>
      </c>
      <c r="D622" s="1" t="s">
        <v>101</v>
      </c>
      <c r="E622" s="1" t="s">
        <v>146</v>
      </c>
      <c r="F622" s="1" t="s">
        <v>156</v>
      </c>
      <c r="G622" s="1">
        <v>298</v>
      </c>
      <c r="H622" s="1">
        <v>54</v>
      </c>
      <c r="I622" s="1">
        <v>13</v>
      </c>
      <c r="J622" s="1"/>
    </row>
    <row r="623" spans="1:10" x14ac:dyDescent="0.3">
      <c r="A623" s="5">
        <v>45925</v>
      </c>
      <c r="B623" s="1" t="s">
        <v>95</v>
      </c>
      <c r="C623" s="1" t="s">
        <v>104</v>
      </c>
      <c r="D623" s="1" t="s">
        <v>99</v>
      </c>
      <c r="E623" s="1" t="s">
        <v>146</v>
      </c>
      <c r="F623" s="1" t="s">
        <v>156</v>
      </c>
      <c r="G623" s="1">
        <v>304</v>
      </c>
      <c r="H623" s="1">
        <v>54</v>
      </c>
      <c r="I623" s="1">
        <v>10</v>
      </c>
      <c r="J623" s="1"/>
    </row>
    <row r="624" spans="1:10" x14ac:dyDescent="0.3">
      <c r="A624" s="5">
        <v>45925</v>
      </c>
      <c r="B624" s="1" t="s">
        <v>95</v>
      </c>
      <c r="C624" s="1" t="s">
        <v>104</v>
      </c>
      <c r="D624" s="1" t="s">
        <v>109</v>
      </c>
      <c r="E624" s="1" t="s">
        <v>147</v>
      </c>
      <c r="F624" s="1" t="s">
        <v>156</v>
      </c>
      <c r="G624" s="1">
        <v>295</v>
      </c>
      <c r="H624" s="1">
        <v>57</v>
      </c>
      <c r="I624" s="1">
        <v>11</v>
      </c>
      <c r="J624" s="1"/>
    </row>
    <row r="625" spans="1:10" x14ac:dyDescent="0.3">
      <c r="A625" s="5">
        <v>45925</v>
      </c>
      <c r="B625" s="1" t="s">
        <v>95</v>
      </c>
      <c r="C625" s="1" t="s">
        <v>104</v>
      </c>
      <c r="D625" s="1" t="s">
        <v>97</v>
      </c>
      <c r="E625" s="1" t="s">
        <v>144</v>
      </c>
      <c r="F625" s="1" t="s">
        <v>156</v>
      </c>
      <c r="G625" s="1">
        <v>305</v>
      </c>
      <c r="H625" s="1">
        <v>58</v>
      </c>
      <c r="I625" s="1">
        <v>11</v>
      </c>
      <c r="J625" s="1"/>
    </row>
    <row r="626" spans="1:10" x14ac:dyDescent="0.3">
      <c r="A626" s="5">
        <v>45923</v>
      </c>
      <c r="B626" s="1" t="s">
        <v>100</v>
      </c>
      <c r="C626" s="1" t="s">
        <v>104</v>
      </c>
      <c r="D626" s="1" t="s">
        <v>101</v>
      </c>
      <c r="E626" s="1" t="s">
        <v>144</v>
      </c>
      <c r="F626" s="1" t="s">
        <v>156</v>
      </c>
      <c r="G626" s="1">
        <v>283</v>
      </c>
      <c r="H626" s="1">
        <v>53</v>
      </c>
      <c r="I626" s="1">
        <v>10</v>
      </c>
      <c r="J626" s="1"/>
    </row>
    <row r="627" spans="1:10" x14ac:dyDescent="0.3">
      <c r="A627" s="5">
        <v>45923</v>
      </c>
      <c r="B627" s="1" t="s">
        <v>100</v>
      </c>
      <c r="C627" s="1" t="s">
        <v>104</v>
      </c>
      <c r="D627" s="1" t="s">
        <v>109</v>
      </c>
      <c r="E627" s="1" t="s">
        <v>144</v>
      </c>
      <c r="F627" s="1" t="s">
        <v>156</v>
      </c>
      <c r="G627" s="1">
        <v>311</v>
      </c>
      <c r="H627" s="1">
        <v>60</v>
      </c>
      <c r="I627" s="1">
        <v>15</v>
      </c>
      <c r="J627" s="1"/>
    </row>
    <row r="628" spans="1:10" x14ac:dyDescent="0.3">
      <c r="A628" s="5">
        <v>45923</v>
      </c>
      <c r="B628" s="1" t="s">
        <v>100</v>
      </c>
      <c r="C628" s="1" t="s">
        <v>104</v>
      </c>
      <c r="D628" s="1" t="s">
        <v>109</v>
      </c>
      <c r="E628" s="1" t="s">
        <v>146</v>
      </c>
      <c r="F628" s="1" t="s">
        <v>156</v>
      </c>
      <c r="G628" s="1">
        <v>293</v>
      </c>
      <c r="H628" s="1">
        <v>54</v>
      </c>
      <c r="I628" s="1">
        <v>13</v>
      </c>
      <c r="J628" s="1" t="s">
        <v>121</v>
      </c>
    </row>
    <row r="629" spans="1:10" x14ac:dyDescent="0.3">
      <c r="A629" s="5">
        <v>45923</v>
      </c>
      <c r="B629" s="1" t="s">
        <v>95</v>
      </c>
      <c r="C629" s="1" t="s">
        <v>104</v>
      </c>
      <c r="D629" s="1" t="s">
        <v>97</v>
      </c>
      <c r="E629" s="1" t="s">
        <v>147</v>
      </c>
      <c r="F629" s="1" t="s">
        <v>156</v>
      </c>
      <c r="G629" s="1">
        <v>290</v>
      </c>
      <c r="H629" s="1">
        <v>53</v>
      </c>
      <c r="I629" s="1">
        <v>13</v>
      </c>
      <c r="J629" s="1"/>
    </row>
    <row r="630" spans="1:10" x14ac:dyDescent="0.3">
      <c r="A630" s="5">
        <v>45923</v>
      </c>
      <c r="B630" s="1" t="s">
        <v>95</v>
      </c>
      <c r="C630" s="1" t="s">
        <v>104</v>
      </c>
      <c r="D630" s="1" t="s">
        <v>99</v>
      </c>
      <c r="E630" s="1" t="s">
        <v>147</v>
      </c>
      <c r="F630" s="1" t="s">
        <v>156</v>
      </c>
      <c r="G630" s="1">
        <v>280</v>
      </c>
      <c r="H630" s="1">
        <v>49</v>
      </c>
      <c r="I630" s="1">
        <v>10</v>
      </c>
      <c r="J630" s="1"/>
    </row>
    <row r="631" spans="1:10" x14ac:dyDescent="0.3">
      <c r="A631" s="5">
        <v>45923</v>
      </c>
      <c r="B631" s="1" t="s">
        <v>95</v>
      </c>
      <c r="C631" s="1" t="s">
        <v>104</v>
      </c>
      <c r="D631" s="1" t="s">
        <v>99</v>
      </c>
      <c r="E631" s="1" t="s">
        <v>144</v>
      </c>
      <c r="F631" s="1" t="s">
        <v>156</v>
      </c>
      <c r="G631" s="1">
        <v>302</v>
      </c>
      <c r="H631" s="1">
        <v>48</v>
      </c>
      <c r="I631" s="1">
        <v>10</v>
      </c>
      <c r="J631" s="1"/>
    </row>
    <row r="632" spans="1:10" x14ac:dyDescent="0.3">
      <c r="A632" s="5">
        <v>45933</v>
      </c>
      <c r="B632" s="1" t="s">
        <v>100</v>
      </c>
      <c r="C632" s="1" t="s">
        <v>96</v>
      </c>
      <c r="D632" s="1" t="s">
        <v>109</v>
      </c>
      <c r="E632" s="1" t="s">
        <v>147</v>
      </c>
      <c r="F632" s="1" t="s">
        <v>156</v>
      </c>
      <c r="G632" s="1">
        <v>306</v>
      </c>
      <c r="H632" s="1">
        <v>58</v>
      </c>
      <c r="I632" s="1">
        <v>12</v>
      </c>
      <c r="J632" s="1"/>
    </row>
    <row r="633" spans="1:10" x14ac:dyDescent="0.3">
      <c r="A633" s="5">
        <v>45933</v>
      </c>
      <c r="B633" s="1" t="s">
        <v>100</v>
      </c>
      <c r="C633" s="1" t="s">
        <v>96</v>
      </c>
      <c r="D633" s="1" t="s">
        <v>97</v>
      </c>
      <c r="E633" s="1" t="s">
        <v>146</v>
      </c>
      <c r="F633" s="1" t="s">
        <v>156</v>
      </c>
      <c r="G633" s="1">
        <v>310</v>
      </c>
      <c r="H633" s="1">
        <v>61</v>
      </c>
      <c r="I633" s="1">
        <v>11</v>
      </c>
      <c r="J633" s="1"/>
    </row>
    <row r="634" spans="1:10" x14ac:dyDescent="0.3">
      <c r="A634" s="5">
        <v>45932</v>
      </c>
      <c r="B634" s="1" t="s">
        <v>100</v>
      </c>
      <c r="C634" s="1" t="s">
        <v>96</v>
      </c>
      <c r="D634" s="1" t="s">
        <v>101</v>
      </c>
      <c r="E634" s="1" t="s">
        <v>147</v>
      </c>
      <c r="F634" s="1" t="s">
        <v>156</v>
      </c>
      <c r="G634" s="1">
        <v>310</v>
      </c>
      <c r="H634" s="1">
        <v>64</v>
      </c>
      <c r="I634" s="1">
        <v>12</v>
      </c>
      <c r="J634" s="1"/>
    </row>
    <row r="635" spans="1:10" x14ac:dyDescent="0.3">
      <c r="A635" s="5">
        <v>45932</v>
      </c>
      <c r="B635" s="1" t="s">
        <v>100</v>
      </c>
      <c r="C635" s="1" t="s">
        <v>96</v>
      </c>
      <c r="D635" s="1" t="s">
        <v>99</v>
      </c>
      <c r="E635" s="1" t="s">
        <v>146</v>
      </c>
      <c r="F635" s="1" t="s">
        <v>156</v>
      </c>
      <c r="G635" s="1">
        <v>300</v>
      </c>
      <c r="H635" s="1">
        <v>55</v>
      </c>
      <c r="I635" s="1">
        <v>7</v>
      </c>
      <c r="J635" s="1"/>
    </row>
    <row r="636" spans="1:10" x14ac:dyDescent="0.3">
      <c r="A636" s="5">
        <v>45931</v>
      </c>
      <c r="B636" s="1" t="s">
        <v>95</v>
      </c>
      <c r="C636" s="1" t="s">
        <v>96</v>
      </c>
      <c r="D636" s="1" t="s">
        <v>97</v>
      </c>
      <c r="E636" s="1" t="s">
        <v>144</v>
      </c>
      <c r="F636" s="1" t="s">
        <v>156</v>
      </c>
      <c r="G636" s="1">
        <v>306</v>
      </c>
      <c r="H636" s="1">
        <v>59</v>
      </c>
      <c r="I636" s="1">
        <v>12</v>
      </c>
      <c r="J636" s="1"/>
    </row>
    <row r="637" spans="1:10" x14ac:dyDescent="0.3">
      <c r="A637" s="5">
        <v>45931</v>
      </c>
      <c r="B637" s="1" t="s">
        <v>95</v>
      </c>
      <c r="C637" s="1" t="s">
        <v>96</v>
      </c>
      <c r="D637" s="1" t="s">
        <v>99</v>
      </c>
      <c r="E637" s="1" t="s">
        <v>144</v>
      </c>
      <c r="F637" s="1" t="s">
        <v>156</v>
      </c>
      <c r="G637" s="1">
        <v>314</v>
      </c>
      <c r="H637" s="1">
        <v>64</v>
      </c>
      <c r="I637" s="1">
        <v>10</v>
      </c>
      <c r="J637" s="1"/>
    </row>
    <row r="638" spans="1:10" x14ac:dyDescent="0.3">
      <c r="A638" s="5">
        <v>45931</v>
      </c>
      <c r="B638" s="1" t="s">
        <v>95</v>
      </c>
      <c r="C638" s="1" t="s">
        <v>96</v>
      </c>
      <c r="D638" s="1" t="s">
        <v>99</v>
      </c>
      <c r="E638" s="1" t="s">
        <v>147</v>
      </c>
      <c r="F638" s="1" t="s">
        <v>156</v>
      </c>
      <c r="G638" s="1">
        <v>300</v>
      </c>
      <c r="H638" s="1">
        <v>53</v>
      </c>
      <c r="I638" s="1">
        <v>12</v>
      </c>
      <c r="J638" s="1"/>
    </row>
    <row r="639" spans="1:10" x14ac:dyDescent="0.3">
      <c r="A639" s="5">
        <v>45931</v>
      </c>
      <c r="B639" s="1" t="s">
        <v>100</v>
      </c>
      <c r="C639" s="1" t="s">
        <v>96</v>
      </c>
      <c r="D639" s="1" t="s">
        <v>101</v>
      </c>
      <c r="E639" s="1" t="s">
        <v>146</v>
      </c>
      <c r="F639" s="1" t="s">
        <v>156</v>
      </c>
      <c r="G639" s="1">
        <v>290</v>
      </c>
      <c r="H639" s="1">
        <v>55</v>
      </c>
      <c r="I639" s="1">
        <v>10</v>
      </c>
      <c r="J639" s="1"/>
    </row>
    <row r="640" spans="1:10" x14ac:dyDescent="0.3">
      <c r="A640" s="5">
        <v>45931</v>
      </c>
      <c r="B640" s="1" t="s">
        <v>100</v>
      </c>
      <c r="C640" s="1" t="s">
        <v>96</v>
      </c>
      <c r="D640" s="1" t="s">
        <v>109</v>
      </c>
      <c r="E640" s="1" t="s">
        <v>146</v>
      </c>
      <c r="F640" s="1" t="s">
        <v>156</v>
      </c>
      <c r="G640" s="1">
        <v>275</v>
      </c>
      <c r="H640" s="1">
        <v>52</v>
      </c>
      <c r="I640" s="1">
        <v>10</v>
      </c>
      <c r="J640" s="1"/>
    </row>
    <row r="641" spans="1:10" x14ac:dyDescent="0.3">
      <c r="A641" s="5">
        <v>45931</v>
      </c>
      <c r="B641" s="1" t="s">
        <v>100</v>
      </c>
      <c r="C641" s="1" t="s">
        <v>96</v>
      </c>
      <c r="D641" s="1" t="s">
        <v>101</v>
      </c>
      <c r="E641" s="1" t="s">
        <v>144</v>
      </c>
      <c r="F641" s="1" t="s">
        <v>156</v>
      </c>
      <c r="G641" s="1">
        <v>260</v>
      </c>
      <c r="H641" s="1">
        <v>53</v>
      </c>
      <c r="I641" s="1">
        <v>10</v>
      </c>
      <c r="J641" s="1"/>
    </row>
    <row r="642" spans="1:10" x14ac:dyDescent="0.3">
      <c r="A642" s="5">
        <v>45737</v>
      </c>
      <c r="B642" s="1" t="s">
        <v>95</v>
      </c>
      <c r="C642" s="1" t="s">
        <v>96</v>
      </c>
      <c r="D642" s="1" t="s">
        <v>97</v>
      </c>
      <c r="E642" s="1" t="s">
        <v>144</v>
      </c>
      <c r="F642" s="1" t="s">
        <v>157</v>
      </c>
      <c r="G642" s="1">
        <v>75</v>
      </c>
      <c r="H642" s="1">
        <v>22</v>
      </c>
      <c r="I642" s="1"/>
      <c r="J642" s="1" t="s">
        <v>98</v>
      </c>
    </row>
    <row r="643" spans="1:10" x14ac:dyDescent="0.3">
      <c r="A643" s="5">
        <v>45737</v>
      </c>
      <c r="B643" s="1" t="s">
        <v>95</v>
      </c>
      <c r="C643" s="1" t="s">
        <v>96</v>
      </c>
      <c r="D643" s="1" t="s">
        <v>97</v>
      </c>
      <c r="E643" s="1" t="s">
        <v>146</v>
      </c>
      <c r="F643" s="1" t="s">
        <v>157</v>
      </c>
      <c r="G643" s="1">
        <v>75</v>
      </c>
      <c r="H643" s="1">
        <v>19</v>
      </c>
      <c r="I643" s="1"/>
      <c r="J643" s="1" t="s">
        <v>98</v>
      </c>
    </row>
    <row r="644" spans="1:10" x14ac:dyDescent="0.3">
      <c r="A644" s="5">
        <v>45737</v>
      </c>
      <c r="B644" s="1" t="s">
        <v>95</v>
      </c>
      <c r="C644" s="1" t="s">
        <v>96</v>
      </c>
      <c r="D644" s="1" t="s">
        <v>99</v>
      </c>
      <c r="E644" s="1" t="s">
        <v>144</v>
      </c>
      <c r="F644" s="1" t="s">
        <v>157</v>
      </c>
      <c r="G644" s="1">
        <v>70</v>
      </c>
      <c r="H644" s="1">
        <v>18</v>
      </c>
      <c r="I644" s="1"/>
      <c r="J644" s="1" t="s">
        <v>98</v>
      </c>
    </row>
    <row r="645" spans="1:10" x14ac:dyDescent="0.3">
      <c r="A645" s="5">
        <v>45737</v>
      </c>
      <c r="B645" s="1" t="s">
        <v>95</v>
      </c>
      <c r="C645" s="1" t="s">
        <v>96</v>
      </c>
      <c r="D645" s="1" t="s">
        <v>97</v>
      </c>
      <c r="E645" s="1" t="s">
        <v>147</v>
      </c>
      <c r="F645" s="1" t="s">
        <v>157</v>
      </c>
      <c r="G645" s="1">
        <v>86</v>
      </c>
      <c r="H645" s="1">
        <v>21</v>
      </c>
      <c r="I645" s="1"/>
      <c r="J645" s="1" t="s">
        <v>98</v>
      </c>
    </row>
    <row r="646" spans="1:10" x14ac:dyDescent="0.3">
      <c r="A646" s="5">
        <v>45737</v>
      </c>
      <c r="B646" s="1" t="s">
        <v>100</v>
      </c>
      <c r="C646" s="1" t="s">
        <v>96</v>
      </c>
      <c r="D646" s="1" t="s">
        <v>101</v>
      </c>
      <c r="E646" s="1" t="s">
        <v>146</v>
      </c>
      <c r="F646" s="1" t="s">
        <v>157</v>
      </c>
      <c r="G646" s="1">
        <v>72</v>
      </c>
      <c r="H646" s="1">
        <v>19</v>
      </c>
      <c r="I646" s="1"/>
      <c r="J646" s="1" t="s">
        <v>102</v>
      </c>
    </row>
    <row r="647" spans="1:10" x14ac:dyDescent="0.3">
      <c r="A647" s="5">
        <v>45737</v>
      </c>
      <c r="B647" s="1" t="s">
        <v>100</v>
      </c>
      <c r="C647" s="1" t="s">
        <v>96</v>
      </c>
      <c r="D647" s="1" t="s">
        <v>99</v>
      </c>
      <c r="E647" s="1" t="s">
        <v>146</v>
      </c>
      <c r="F647" s="1" t="s">
        <v>157</v>
      </c>
      <c r="G647" s="1">
        <v>78</v>
      </c>
      <c r="H647" s="1">
        <v>23</v>
      </c>
      <c r="I647" s="1"/>
      <c r="J647" s="1" t="s">
        <v>102</v>
      </c>
    </row>
    <row r="648" spans="1:10" x14ac:dyDescent="0.3">
      <c r="A648" s="5">
        <v>45737</v>
      </c>
      <c r="B648" s="1" t="s">
        <v>100</v>
      </c>
      <c r="C648" s="1" t="s">
        <v>96</v>
      </c>
      <c r="D648" s="1" t="s">
        <v>97</v>
      </c>
      <c r="E648" s="1" t="s">
        <v>146</v>
      </c>
      <c r="F648" s="1" t="s">
        <v>157</v>
      </c>
      <c r="G648" s="1">
        <v>77</v>
      </c>
      <c r="H648" s="1">
        <v>20</v>
      </c>
      <c r="I648" s="1"/>
      <c r="J648" s="1" t="s">
        <v>102</v>
      </c>
    </row>
    <row r="649" spans="1:10" x14ac:dyDescent="0.3">
      <c r="A649" s="5">
        <v>45737</v>
      </c>
      <c r="B649" s="1" t="s">
        <v>100</v>
      </c>
      <c r="C649" s="1" t="s">
        <v>96</v>
      </c>
      <c r="D649" s="1" t="s">
        <v>101</v>
      </c>
      <c r="E649" s="1" t="s">
        <v>144</v>
      </c>
      <c r="F649" s="1" t="s">
        <v>157</v>
      </c>
      <c r="G649" s="1">
        <v>100</v>
      </c>
      <c r="H649" s="1">
        <v>27</v>
      </c>
      <c r="I649" s="1"/>
      <c r="J649" s="1" t="s">
        <v>102</v>
      </c>
    </row>
    <row r="650" spans="1:10" x14ac:dyDescent="0.3">
      <c r="A650" s="5">
        <v>45729</v>
      </c>
      <c r="B650" s="1" t="s">
        <v>95</v>
      </c>
      <c r="C650" s="1" t="s">
        <v>104</v>
      </c>
      <c r="D650" s="1" t="s">
        <v>101</v>
      </c>
      <c r="E650" s="1" t="s">
        <v>144</v>
      </c>
      <c r="F650" s="1" t="s">
        <v>157</v>
      </c>
      <c r="G650" s="1">
        <v>100</v>
      </c>
      <c r="H650" s="1">
        <v>21</v>
      </c>
      <c r="I650" s="1"/>
      <c r="J650" s="1" t="s">
        <v>106</v>
      </c>
    </row>
    <row r="651" spans="1:10" x14ac:dyDescent="0.3">
      <c r="A651" s="5">
        <v>45729</v>
      </c>
      <c r="B651" s="1" t="s">
        <v>95</v>
      </c>
      <c r="C651" s="1" t="s">
        <v>104</v>
      </c>
      <c r="D651" s="1" t="s">
        <v>97</v>
      </c>
      <c r="E651" s="1" t="s">
        <v>146</v>
      </c>
      <c r="F651" s="1" t="s">
        <v>157</v>
      </c>
      <c r="G651" s="1">
        <v>80</v>
      </c>
      <c r="H651" s="1">
        <v>24</v>
      </c>
      <c r="I651" s="1"/>
      <c r="J651" s="1" t="s">
        <v>103</v>
      </c>
    </row>
    <row r="652" spans="1:10" x14ac:dyDescent="0.3">
      <c r="A652" s="5">
        <v>45729</v>
      </c>
      <c r="B652" s="1" t="s">
        <v>95</v>
      </c>
      <c r="C652" s="1" t="s">
        <v>104</v>
      </c>
      <c r="D652" s="1" t="s">
        <v>101</v>
      </c>
      <c r="E652" s="1" t="s">
        <v>146</v>
      </c>
      <c r="F652" s="1" t="s">
        <v>157</v>
      </c>
      <c r="G652" s="1">
        <v>70</v>
      </c>
      <c r="H652" s="1">
        <v>16</v>
      </c>
      <c r="I652" s="1"/>
      <c r="J652" s="1" t="s">
        <v>103</v>
      </c>
    </row>
    <row r="653" spans="1:10" x14ac:dyDescent="0.3">
      <c r="A653" s="5">
        <v>45729</v>
      </c>
      <c r="B653" s="1" t="s">
        <v>95</v>
      </c>
      <c r="C653" s="1" t="s">
        <v>104</v>
      </c>
      <c r="D653" s="1" t="s">
        <v>99</v>
      </c>
      <c r="E653" s="1" t="s">
        <v>144</v>
      </c>
      <c r="F653" s="1" t="s">
        <v>157</v>
      </c>
      <c r="G653" s="1">
        <v>90</v>
      </c>
      <c r="H653" s="1">
        <v>21</v>
      </c>
      <c r="I653" s="1"/>
      <c r="J653" s="1" t="s">
        <v>103</v>
      </c>
    </row>
    <row r="654" spans="1:10" x14ac:dyDescent="0.3">
      <c r="A654" s="5">
        <v>45729</v>
      </c>
      <c r="B654" s="1" t="s">
        <v>100</v>
      </c>
      <c r="C654" s="1" t="s">
        <v>104</v>
      </c>
      <c r="D654" s="1" t="s">
        <v>97</v>
      </c>
      <c r="E654" s="1" t="s">
        <v>147</v>
      </c>
      <c r="F654" s="1" t="s">
        <v>157</v>
      </c>
      <c r="G654" s="1">
        <v>97</v>
      </c>
      <c r="H654" s="1">
        <v>24</v>
      </c>
      <c r="I654" s="1"/>
      <c r="J654" s="1" t="s">
        <v>102</v>
      </c>
    </row>
    <row r="655" spans="1:10" x14ac:dyDescent="0.3">
      <c r="A655" s="5">
        <v>45729</v>
      </c>
      <c r="B655" s="1" t="s">
        <v>100</v>
      </c>
      <c r="C655" s="1" t="s">
        <v>104</v>
      </c>
      <c r="D655" s="1" t="s">
        <v>109</v>
      </c>
      <c r="E655" s="1" t="s">
        <v>144</v>
      </c>
      <c r="F655" s="1" t="s">
        <v>157</v>
      </c>
      <c r="G655" s="1">
        <v>98</v>
      </c>
      <c r="H655" s="1">
        <v>24</v>
      </c>
      <c r="I655" s="1"/>
      <c r="J655" s="1" t="s">
        <v>102</v>
      </c>
    </row>
    <row r="656" spans="1:10" x14ac:dyDescent="0.3">
      <c r="A656" s="5">
        <v>45729</v>
      </c>
      <c r="B656" s="1" t="s">
        <v>100</v>
      </c>
      <c r="C656" s="1" t="s">
        <v>104</v>
      </c>
      <c r="D656" s="1" t="s">
        <v>99</v>
      </c>
      <c r="E656" s="1" t="s">
        <v>147</v>
      </c>
      <c r="F656" s="1" t="s">
        <v>157</v>
      </c>
      <c r="G656" s="1">
        <v>83</v>
      </c>
      <c r="H656" s="1">
        <v>19</v>
      </c>
      <c r="I656" s="1"/>
      <c r="J656" s="1" t="s">
        <v>102</v>
      </c>
    </row>
    <row r="657" spans="1:10" x14ac:dyDescent="0.3">
      <c r="A657" s="5">
        <v>45729</v>
      </c>
      <c r="B657" s="1" t="s">
        <v>100</v>
      </c>
      <c r="C657" s="1" t="s">
        <v>104</v>
      </c>
      <c r="D657" s="1" t="s">
        <v>97</v>
      </c>
      <c r="E657" s="1" t="s">
        <v>144</v>
      </c>
      <c r="F657" s="1" t="s">
        <v>157</v>
      </c>
      <c r="G657" s="1">
        <v>80</v>
      </c>
      <c r="H657" s="1">
        <v>21</v>
      </c>
      <c r="I657" s="1"/>
      <c r="J657" s="1" t="s">
        <v>102</v>
      </c>
    </row>
    <row r="658" spans="1:10" x14ac:dyDescent="0.3">
      <c r="A658" s="5">
        <v>45835</v>
      </c>
      <c r="B658" s="1" t="s">
        <v>95</v>
      </c>
      <c r="C658" s="1" t="s">
        <v>96</v>
      </c>
      <c r="D658" s="1" t="s">
        <v>99</v>
      </c>
      <c r="E658" s="1" t="s">
        <v>146</v>
      </c>
      <c r="F658" s="1" t="s">
        <v>157</v>
      </c>
      <c r="G658" s="1">
        <v>200</v>
      </c>
      <c r="H658" s="1">
        <v>40</v>
      </c>
      <c r="I658" s="1">
        <v>8.6</v>
      </c>
      <c r="J658" s="1"/>
    </row>
    <row r="659" spans="1:10" x14ac:dyDescent="0.3">
      <c r="A659" s="5">
        <v>45835</v>
      </c>
      <c r="B659" s="1" t="s">
        <v>95</v>
      </c>
      <c r="C659" s="1" t="s">
        <v>96</v>
      </c>
      <c r="D659" s="1" t="s">
        <v>97</v>
      </c>
      <c r="E659" s="1" t="s">
        <v>146</v>
      </c>
      <c r="F659" s="1" t="s">
        <v>157</v>
      </c>
      <c r="G659" s="1">
        <v>203</v>
      </c>
      <c r="H659" s="1">
        <v>38</v>
      </c>
      <c r="I659" s="1">
        <v>7</v>
      </c>
      <c r="J659" s="1"/>
    </row>
    <row r="660" spans="1:10" x14ac:dyDescent="0.3">
      <c r="A660" s="5">
        <v>45835</v>
      </c>
      <c r="B660" s="1" t="s">
        <v>95</v>
      </c>
      <c r="C660" s="1" t="s">
        <v>96</v>
      </c>
      <c r="D660" s="1" t="s">
        <v>101</v>
      </c>
      <c r="E660" s="1" t="s">
        <v>146</v>
      </c>
      <c r="F660" s="1" t="s">
        <v>157</v>
      </c>
      <c r="G660" s="1">
        <v>217</v>
      </c>
      <c r="H660" s="1">
        <v>38</v>
      </c>
      <c r="I660" s="1">
        <v>7.8</v>
      </c>
      <c r="J660" s="1"/>
    </row>
    <row r="661" spans="1:10" x14ac:dyDescent="0.3">
      <c r="A661" s="5">
        <v>45835</v>
      </c>
      <c r="B661" s="1" t="s">
        <v>95</v>
      </c>
      <c r="C661" s="1" t="s">
        <v>96</v>
      </c>
      <c r="D661" s="1" t="s">
        <v>109</v>
      </c>
      <c r="E661" s="1" t="s">
        <v>146</v>
      </c>
      <c r="F661" s="1" t="s">
        <v>157</v>
      </c>
      <c r="G661" s="1"/>
      <c r="H661" s="1">
        <v>238</v>
      </c>
      <c r="I661" s="1">
        <v>40</v>
      </c>
      <c r="J661" s="1"/>
    </row>
    <row r="662" spans="1:10" x14ac:dyDescent="0.3">
      <c r="A662" s="5">
        <v>45835</v>
      </c>
      <c r="B662" s="1" t="s">
        <v>95</v>
      </c>
      <c r="C662" s="1" t="s">
        <v>96</v>
      </c>
      <c r="D662" s="1" t="s">
        <v>109</v>
      </c>
      <c r="E662" s="1" t="s">
        <v>144</v>
      </c>
      <c r="F662" s="1" t="s">
        <v>157</v>
      </c>
      <c r="G662" s="1">
        <v>216</v>
      </c>
      <c r="H662" s="1">
        <v>41</v>
      </c>
      <c r="I662" s="1">
        <v>9</v>
      </c>
      <c r="J662" s="1"/>
    </row>
    <row r="663" spans="1:10" x14ac:dyDescent="0.3">
      <c r="A663" s="5">
        <v>45835</v>
      </c>
      <c r="B663" s="1" t="s">
        <v>95</v>
      </c>
      <c r="C663" s="1" t="s">
        <v>96</v>
      </c>
      <c r="D663" s="1" t="s">
        <v>101</v>
      </c>
      <c r="E663" s="1" t="s">
        <v>144</v>
      </c>
      <c r="F663" s="1" t="s">
        <v>157</v>
      </c>
      <c r="G663" s="1">
        <v>210</v>
      </c>
      <c r="H663" s="1">
        <v>43</v>
      </c>
      <c r="I663" s="1">
        <v>7.2</v>
      </c>
      <c r="J663" s="1"/>
    </row>
    <row r="664" spans="1:10" x14ac:dyDescent="0.3">
      <c r="A664" s="5">
        <v>45835</v>
      </c>
      <c r="B664" s="1" t="s">
        <v>100</v>
      </c>
      <c r="C664" s="1" t="s">
        <v>96</v>
      </c>
      <c r="D664" s="1" t="s">
        <v>101</v>
      </c>
      <c r="E664" s="1" t="s">
        <v>147</v>
      </c>
      <c r="F664" s="1" t="s">
        <v>157</v>
      </c>
      <c r="G664" s="1">
        <v>210</v>
      </c>
      <c r="H664" s="1">
        <v>39</v>
      </c>
      <c r="I664" s="1">
        <v>7</v>
      </c>
      <c r="J664" s="1"/>
    </row>
    <row r="665" spans="1:10" x14ac:dyDescent="0.3">
      <c r="A665" s="5">
        <v>45835</v>
      </c>
      <c r="B665" s="1" t="s">
        <v>100</v>
      </c>
      <c r="C665" s="1"/>
      <c r="D665" s="1" t="s">
        <v>109</v>
      </c>
      <c r="E665" s="1" t="s">
        <v>147</v>
      </c>
      <c r="F665" s="1" t="s">
        <v>157</v>
      </c>
      <c r="G665" s="1">
        <v>230</v>
      </c>
      <c r="H665" s="1">
        <v>43</v>
      </c>
      <c r="I665" s="1">
        <v>0.25555555555555559</v>
      </c>
      <c r="J665" s="1"/>
    </row>
    <row r="666" spans="1:10" x14ac:dyDescent="0.3">
      <c r="A666" s="5">
        <v>45835</v>
      </c>
      <c r="B666" s="1" t="s">
        <v>100</v>
      </c>
      <c r="C666" s="1" t="s">
        <v>96</v>
      </c>
      <c r="D666" s="1" t="s">
        <v>99</v>
      </c>
      <c r="E666" s="1" t="s">
        <v>144</v>
      </c>
      <c r="F666" s="1" t="s">
        <v>157</v>
      </c>
      <c r="G666" s="1">
        <v>185</v>
      </c>
      <c r="H666" s="1">
        <v>35</v>
      </c>
      <c r="I666" s="1">
        <v>0.21388888888888891</v>
      </c>
      <c r="J666" s="1"/>
    </row>
    <row r="667" spans="1:10" x14ac:dyDescent="0.3">
      <c r="A667" s="5">
        <v>45835</v>
      </c>
      <c r="B667" s="1" t="s">
        <v>100</v>
      </c>
      <c r="C667" s="1" t="s">
        <v>96</v>
      </c>
      <c r="D667" s="1" t="s">
        <v>97</v>
      </c>
      <c r="E667" s="1" t="s">
        <v>144</v>
      </c>
      <c r="F667" s="1" t="s">
        <v>157</v>
      </c>
      <c r="G667" s="1">
        <v>215</v>
      </c>
      <c r="H667" s="1">
        <v>40</v>
      </c>
      <c r="I667" s="1">
        <v>7</v>
      </c>
      <c r="J667" s="1"/>
    </row>
    <row r="668" spans="1:10" x14ac:dyDescent="0.3">
      <c r="A668" s="5">
        <v>45835</v>
      </c>
      <c r="B668" s="1" t="s">
        <v>100</v>
      </c>
      <c r="C668" s="1" t="s">
        <v>96</v>
      </c>
      <c r="D668" s="1" t="s">
        <v>99</v>
      </c>
      <c r="E668" s="1" t="s">
        <v>147</v>
      </c>
      <c r="F668" s="1" t="s">
        <v>157</v>
      </c>
      <c r="G668" s="1">
        <v>220</v>
      </c>
      <c r="H668" s="1">
        <v>36</v>
      </c>
      <c r="I668" s="1">
        <v>10</v>
      </c>
      <c r="J668" s="1"/>
    </row>
    <row r="669" spans="1:10" x14ac:dyDescent="0.3">
      <c r="A669" s="5">
        <v>45835</v>
      </c>
      <c r="B669" s="1" t="s">
        <v>100</v>
      </c>
      <c r="C669" s="1" t="s">
        <v>96</v>
      </c>
      <c r="D669" s="1" t="s">
        <v>97</v>
      </c>
      <c r="E669" s="1" t="s">
        <v>147</v>
      </c>
      <c r="F669" s="1" t="s">
        <v>157</v>
      </c>
      <c r="G669" s="1">
        <v>210</v>
      </c>
      <c r="H669" s="1">
        <v>42</v>
      </c>
      <c r="I669" s="1">
        <v>7</v>
      </c>
      <c r="J669" s="1" t="s">
        <v>113</v>
      </c>
    </row>
    <row r="670" spans="1:10" x14ac:dyDescent="0.3">
      <c r="A670" s="5">
        <v>45834</v>
      </c>
      <c r="B670" s="1" t="s">
        <v>114</v>
      </c>
      <c r="C670" s="1" t="s">
        <v>104</v>
      </c>
      <c r="D670" s="1" t="s">
        <v>101</v>
      </c>
      <c r="E670" s="1" t="s">
        <v>146</v>
      </c>
      <c r="F670" s="1" t="s">
        <v>157</v>
      </c>
      <c r="G670" s="1">
        <v>160</v>
      </c>
      <c r="H670" s="1">
        <v>29</v>
      </c>
      <c r="I670" s="1">
        <v>6</v>
      </c>
      <c r="J670" s="1"/>
    </row>
    <row r="671" spans="1:10" x14ac:dyDescent="0.3">
      <c r="A671" s="5">
        <v>45834</v>
      </c>
      <c r="B671" s="1" t="s">
        <v>114</v>
      </c>
      <c r="C671" s="1" t="s">
        <v>104</v>
      </c>
      <c r="D671" s="1" t="s">
        <v>97</v>
      </c>
      <c r="E671" s="1" t="s">
        <v>146</v>
      </c>
      <c r="F671" s="1" t="s">
        <v>157</v>
      </c>
      <c r="G671" s="1">
        <v>155</v>
      </c>
      <c r="H671" s="1">
        <v>30</v>
      </c>
      <c r="I671" s="1">
        <v>6</v>
      </c>
      <c r="J671" s="1"/>
    </row>
    <row r="672" spans="1:10" x14ac:dyDescent="0.3">
      <c r="A672" s="5">
        <v>45834</v>
      </c>
      <c r="B672" s="1" t="s">
        <v>95</v>
      </c>
      <c r="C672" s="1" t="s">
        <v>104</v>
      </c>
      <c r="D672" s="1" t="s">
        <v>99</v>
      </c>
      <c r="E672" s="1" t="s">
        <v>147</v>
      </c>
      <c r="F672" s="1" t="s">
        <v>157</v>
      </c>
      <c r="G672" s="1">
        <v>183</v>
      </c>
      <c r="H672" s="1">
        <v>33</v>
      </c>
      <c r="I672" s="1">
        <v>6</v>
      </c>
      <c r="J672" s="1"/>
    </row>
    <row r="673" spans="1:10" x14ac:dyDescent="0.3">
      <c r="A673" s="5">
        <v>45834</v>
      </c>
      <c r="B673" s="1" t="s">
        <v>95</v>
      </c>
      <c r="C673" s="1" t="s">
        <v>104</v>
      </c>
      <c r="D673" s="1" t="s">
        <v>97</v>
      </c>
      <c r="E673" s="1" t="s">
        <v>144</v>
      </c>
      <c r="F673" s="1" t="s">
        <v>157</v>
      </c>
      <c r="G673" s="1">
        <v>240</v>
      </c>
      <c r="H673" s="1">
        <v>40</v>
      </c>
      <c r="I673" s="1">
        <v>10</v>
      </c>
      <c r="J673" s="1"/>
    </row>
    <row r="674" spans="1:10" x14ac:dyDescent="0.3">
      <c r="A674" s="5">
        <v>45834</v>
      </c>
      <c r="B674" s="1" t="s">
        <v>95</v>
      </c>
      <c r="C674" s="1" t="s">
        <v>104</v>
      </c>
      <c r="D674" s="1" t="s">
        <v>109</v>
      </c>
      <c r="E674" s="1" t="s">
        <v>146</v>
      </c>
      <c r="F674" s="1" t="s">
        <v>157</v>
      </c>
      <c r="G674" s="1">
        <v>253</v>
      </c>
      <c r="H674" s="1">
        <v>42</v>
      </c>
      <c r="I674" s="1">
        <v>6</v>
      </c>
      <c r="J674" s="1"/>
    </row>
    <row r="675" spans="1:10" x14ac:dyDescent="0.3">
      <c r="A675" s="5">
        <v>45834</v>
      </c>
      <c r="B675" s="1" t="s">
        <v>95</v>
      </c>
      <c r="C675" s="1" t="s">
        <v>104</v>
      </c>
      <c r="D675" s="1" t="s">
        <v>99</v>
      </c>
      <c r="E675" s="1" t="s">
        <v>146</v>
      </c>
      <c r="F675" s="1" t="s">
        <v>157</v>
      </c>
      <c r="G675" s="1">
        <v>205</v>
      </c>
      <c r="H675" s="1">
        <v>36</v>
      </c>
      <c r="I675" s="1">
        <v>6</v>
      </c>
      <c r="J675" s="1"/>
    </row>
    <row r="676" spans="1:10" x14ac:dyDescent="0.3">
      <c r="A676" s="5">
        <v>45834</v>
      </c>
      <c r="B676" s="1" t="s">
        <v>95</v>
      </c>
      <c r="C676" s="1" t="s">
        <v>104</v>
      </c>
      <c r="D676" s="1" t="s">
        <v>101</v>
      </c>
      <c r="E676" s="1" t="s">
        <v>147</v>
      </c>
      <c r="F676" s="1" t="s">
        <v>157</v>
      </c>
      <c r="G676" s="1">
        <v>252</v>
      </c>
      <c r="H676" s="1">
        <v>47</v>
      </c>
      <c r="I676" s="1">
        <v>10</v>
      </c>
      <c r="J676" s="1"/>
    </row>
    <row r="677" spans="1:10" x14ac:dyDescent="0.3">
      <c r="A677" s="5">
        <v>45834</v>
      </c>
      <c r="B677" s="1" t="s">
        <v>100</v>
      </c>
      <c r="C677" s="1" t="s">
        <v>104</v>
      </c>
      <c r="D677" s="1" t="s">
        <v>109</v>
      </c>
      <c r="E677" s="1" t="s">
        <v>144</v>
      </c>
      <c r="F677" s="1" t="s">
        <v>157</v>
      </c>
      <c r="G677" s="1">
        <v>215</v>
      </c>
      <c r="H677" s="1">
        <v>36</v>
      </c>
      <c r="I677" s="1">
        <v>8</v>
      </c>
      <c r="J677" s="1"/>
    </row>
    <row r="678" spans="1:10" x14ac:dyDescent="0.3">
      <c r="A678" s="5">
        <v>45834</v>
      </c>
      <c r="B678" s="1" t="s">
        <v>100</v>
      </c>
      <c r="C678" s="1" t="s">
        <v>104</v>
      </c>
      <c r="D678" s="1" t="s">
        <v>99</v>
      </c>
      <c r="E678" s="1" t="s">
        <v>144</v>
      </c>
      <c r="F678" s="1" t="s">
        <v>157</v>
      </c>
      <c r="G678" s="1">
        <v>210</v>
      </c>
      <c r="H678" s="1">
        <v>37</v>
      </c>
      <c r="I678" s="1">
        <v>0.4597222222222222</v>
      </c>
      <c r="J678" s="1" t="s">
        <v>113</v>
      </c>
    </row>
    <row r="679" spans="1:10" x14ac:dyDescent="0.3">
      <c r="A679" s="5">
        <v>45834</v>
      </c>
      <c r="B679" s="1" t="s">
        <v>100</v>
      </c>
      <c r="C679" s="1" t="s">
        <v>104</v>
      </c>
      <c r="D679" s="1" t="s">
        <v>101</v>
      </c>
      <c r="E679" s="1" t="s">
        <v>144</v>
      </c>
      <c r="F679" s="1" t="s">
        <v>157</v>
      </c>
      <c r="G679" s="1">
        <v>223</v>
      </c>
      <c r="H679" s="1">
        <v>41</v>
      </c>
      <c r="I679" s="1">
        <v>0.29305555555555562</v>
      </c>
      <c r="J679" s="1" t="s">
        <v>113</v>
      </c>
    </row>
    <row r="680" spans="1:10" x14ac:dyDescent="0.3">
      <c r="A680" s="5">
        <v>45834</v>
      </c>
      <c r="B680" s="1" t="s">
        <v>100</v>
      </c>
      <c r="C680" s="1" t="s">
        <v>104</v>
      </c>
      <c r="D680" s="1" t="s">
        <v>97</v>
      </c>
      <c r="E680" s="1" t="s">
        <v>147</v>
      </c>
      <c r="F680" s="1" t="s">
        <v>157</v>
      </c>
      <c r="G680" s="1">
        <v>200</v>
      </c>
      <c r="H680" s="1">
        <v>38</v>
      </c>
      <c r="I680" s="1">
        <v>9</v>
      </c>
      <c r="J680" s="1" t="s">
        <v>113</v>
      </c>
    </row>
    <row r="681" spans="1:10" x14ac:dyDescent="0.3">
      <c r="A681" s="5">
        <v>45834</v>
      </c>
      <c r="B681" s="1" t="s">
        <v>100</v>
      </c>
      <c r="C681" s="1" t="s">
        <v>104</v>
      </c>
      <c r="D681" s="1" t="s">
        <v>109</v>
      </c>
      <c r="E681" s="1" t="s">
        <v>147</v>
      </c>
      <c r="F681" s="1" t="s">
        <v>157</v>
      </c>
      <c r="G681" s="1">
        <v>260</v>
      </c>
      <c r="H681" s="1">
        <v>50</v>
      </c>
      <c r="I681" s="1">
        <v>0.3347222222222222</v>
      </c>
      <c r="J681" s="1" t="s">
        <v>113</v>
      </c>
    </row>
    <row r="682" spans="1:10" x14ac:dyDescent="0.3">
      <c r="A682" s="5">
        <v>45930</v>
      </c>
      <c r="B682" s="1" t="s">
        <v>100</v>
      </c>
      <c r="C682" s="1" t="s">
        <v>96</v>
      </c>
      <c r="D682" s="1" t="s">
        <v>109</v>
      </c>
      <c r="E682" s="1" t="s">
        <v>144</v>
      </c>
      <c r="F682" s="1" t="s">
        <v>157</v>
      </c>
      <c r="G682" s="1">
        <v>305</v>
      </c>
      <c r="H682" s="1">
        <v>56</v>
      </c>
      <c r="I682" s="1">
        <v>14</v>
      </c>
      <c r="J682" s="1"/>
    </row>
    <row r="683" spans="1:10" x14ac:dyDescent="0.3">
      <c r="A683" s="5">
        <v>45930</v>
      </c>
      <c r="B683" s="1" t="s">
        <v>100</v>
      </c>
      <c r="C683" s="1" t="s">
        <v>96</v>
      </c>
      <c r="D683" s="1" t="s">
        <v>97</v>
      </c>
      <c r="E683" s="1" t="s">
        <v>147</v>
      </c>
      <c r="F683" s="1" t="s">
        <v>157</v>
      </c>
      <c r="G683" s="1">
        <v>290</v>
      </c>
      <c r="H683" s="1">
        <v>57</v>
      </c>
      <c r="I683" s="1">
        <v>13</v>
      </c>
      <c r="J683" s="1"/>
    </row>
    <row r="684" spans="1:10" x14ac:dyDescent="0.3">
      <c r="A684" s="5">
        <v>45925</v>
      </c>
      <c r="B684" s="1" t="s">
        <v>100</v>
      </c>
      <c r="C684" s="1" t="s">
        <v>104</v>
      </c>
      <c r="D684" s="1" t="s">
        <v>101</v>
      </c>
      <c r="E684" s="1" t="s">
        <v>147</v>
      </c>
      <c r="F684" s="1" t="s">
        <v>157</v>
      </c>
      <c r="G684" s="1">
        <v>305</v>
      </c>
      <c r="H684" s="1">
        <v>61</v>
      </c>
      <c r="I684" s="1">
        <v>11</v>
      </c>
      <c r="J684" s="1"/>
    </row>
    <row r="685" spans="1:10" x14ac:dyDescent="0.3">
      <c r="A685" s="5">
        <v>45925</v>
      </c>
      <c r="B685" s="1" t="s">
        <v>100</v>
      </c>
      <c r="C685" s="1" t="s">
        <v>104</v>
      </c>
      <c r="D685" s="1" t="s">
        <v>97</v>
      </c>
      <c r="E685" s="1" t="s">
        <v>146</v>
      </c>
      <c r="F685" s="1" t="s">
        <v>157</v>
      </c>
      <c r="G685" s="1">
        <v>280</v>
      </c>
      <c r="H685" s="1">
        <v>57</v>
      </c>
      <c r="I685" s="1">
        <v>10</v>
      </c>
      <c r="J685" s="1"/>
    </row>
    <row r="686" spans="1:10" x14ac:dyDescent="0.3">
      <c r="A686" s="5">
        <v>45925</v>
      </c>
      <c r="B686" s="1" t="s">
        <v>100</v>
      </c>
      <c r="C686" s="1" t="s">
        <v>104</v>
      </c>
      <c r="D686" s="1" t="s">
        <v>101</v>
      </c>
      <c r="E686" s="1" t="s">
        <v>146</v>
      </c>
      <c r="F686" s="1" t="s">
        <v>157</v>
      </c>
      <c r="G686" s="1">
        <v>272</v>
      </c>
      <c r="H686" s="1">
        <v>51</v>
      </c>
      <c r="I686" s="1">
        <v>10</v>
      </c>
      <c r="J686" s="1"/>
    </row>
    <row r="687" spans="1:10" x14ac:dyDescent="0.3">
      <c r="A687" s="5">
        <v>45925</v>
      </c>
      <c r="B687" s="1" t="s">
        <v>95</v>
      </c>
      <c r="C687" s="1" t="s">
        <v>104</v>
      </c>
      <c r="D687" s="1" t="s">
        <v>99</v>
      </c>
      <c r="E687" s="1" t="s">
        <v>146</v>
      </c>
      <c r="F687" s="1" t="s">
        <v>157</v>
      </c>
      <c r="G687" s="1">
        <v>284</v>
      </c>
      <c r="H687" s="1">
        <v>54</v>
      </c>
      <c r="I687" s="1">
        <v>12</v>
      </c>
      <c r="J687" s="1"/>
    </row>
    <row r="688" spans="1:10" x14ac:dyDescent="0.3">
      <c r="A688" s="5">
        <v>45925</v>
      </c>
      <c r="B688" s="1" t="s">
        <v>95</v>
      </c>
      <c r="C688" s="1" t="s">
        <v>104</v>
      </c>
      <c r="D688" s="1" t="s">
        <v>109</v>
      </c>
      <c r="E688" s="1" t="s">
        <v>147</v>
      </c>
      <c r="F688" s="1" t="s">
        <v>157</v>
      </c>
      <c r="G688" s="1">
        <v>333</v>
      </c>
      <c r="H688" s="1">
        <v>66</v>
      </c>
      <c r="I688" s="1">
        <v>12</v>
      </c>
      <c r="J688" s="1"/>
    </row>
    <row r="689" spans="1:10" x14ac:dyDescent="0.3">
      <c r="A689" s="5">
        <v>45925</v>
      </c>
      <c r="B689" s="1" t="s">
        <v>95</v>
      </c>
      <c r="C689" s="1" t="s">
        <v>104</v>
      </c>
      <c r="D689" s="1" t="s">
        <v>97</v>
      </c>
      <c r="E689" s="1" t="s">
        <v>144</v>
      </c>
      <c r="F689" s="1" t="s">
        <v>157</v>
      </c>
      <c r="G689" s="1">
        <v>303</v>
      </c>
      <c r="H689" s="1">
        <v>53</v>
      </c>
      <c r="I689" s="1">
        <v>11</v>
      </c>
      <c r="J689" s="1"/>
    </row>
    <row r="690" spans="1:10" x14ac:dyDescent="0.3">
      <c r="A690" s="5">
        <v>45923</v>
      </c>
      <c r="B690" s="1" t="s">
        <v>100</v>
      </c>
      <c r="C690" s="1" t="s">
        <v>104</v>
      </c>
      <c r="D690" s="1" t="s">
        <v>101</v>
      </c>
      <c r="E690" s="1" t="s">
        <v>144</v>
      </c>
      <c r="F690" s="1" t="s">
        <v>157</v>
      </c>
      <c r="G690" s="1">
        <v>280</v>
      </c>
      <c r="H690" s="1">
        <v>51</v>
      </c>
      <c r="I690" s="1">
        <v>12</v>
      </c>
      <c r="J690" s="1"/>
    </row>
    <row r="691" spans="1:10" x14ac:dyDescent="0.3">
      <c r="A691" s="5">
        <v>45923</v>
      </c>
      <c r="B691" s="1" t="s">
        <v>100</v>
      </c>
      <c r="C691" s="1" t="s">
        <v>104</v>
      </c>
      <c r="D691" s="1" t="s">
        <v>109</v>
      </c>
      <c r="E691" s="1" t="s">
        <v>144</v>
      </c>
      <c r="F691" s="1" t="s">
        <v>157</v>
      </c>
      <c r="G691" s="1">
        <v>297</v>
      </c>
      <c r="H691" s="1">
        <v>57</v>
      </c>
      <c r="I691" s="1">
        <v>13</v>
      </c>
      <c r="J691" s="1"/>
    </row>
    <row r="692" spans="1:10" x14ac:dyDescent="0.3">
      <c r="A692" s="5">
        <v>45923</v>
      </c>
      <c r="B692" s="1" t="s">
        <v>100</v>
      </c>
      <c r="C692" s="1" t="s">
        <v>104</v>
      </c>
      <c r="D692" s="1" t="s">
        <v>109</v>
      </c>
      <c r="E692" s="1" t="s">
        <v>146</v>
      </c>
      <c r="F692" s="1" t="s">
        <v>157</v>
      </c>
      <c r="G692" s="1">
        <v>290</v>
      </c>
      <c r="H692" s="1">
        <v>52</v>
      </c>
      <c r="I692" s="1">
        <v>13</v>
      </c>
      <c r="J692" s="1" t="s">
        <v>121</v>
      </c>
    </row>
    <row r="693" spans="1:10" x14ac:dyDescent="0.3">
      <c r="A693" s="5">
        <v>45923</v>
      </c>
      <c r="B693" s="1" t="s">
        <v>95</v>
      </c>
      <c r="C693" s="1" t="s">
        <v>104</v>
      </c>
      <c r="D693" s="1" t="s">
        <v>97</v>
      </c>
      <c r="E693" s="1" t="s">
        <v>147</v>
      </c>
      <c r="F693" s="1" t="s">
        <v>157</v>
      </c>
      <c r="G693" s="1">
        <v>320</v>
      </c>
      <c r="H693" s="1">
        <v>57</v>
      </c>
      <c r="I693" s="1">
        <v>13</v>
      </c>
      <c r="J693" s="1"/>
    </row>
    <row r="694" spans="1:10" x14ac:dyDescent="0.3">
      <c r="A694" s="5">
        <v>45923</v>
      </c>
      <c r="B694" s="1" t="s">
        <v>95</v>
      </c>
      <c r="C694" s="1" t="s">
        <v>104</v>
      </c>
      <c r="D694" s="1" t="s">
        <v>99</v>
      </c>
      <c r="E694" s="1" t="s">
        <v>147</v>
      </c>
      <c r="F694" s="1" t="s">
        <v>157</v>
      </c>
      <c r="G694" s="1">
        <v>286</v>
      </c>
      <c r="H694" s="1">
        <v>52</v>
      </c>
      <c r="I694" s="1">
        <v>11</v>
      </c>
      <c r="J694" s="1"/>
    </row>
    <row r="695" spans="1:10" x14ac:dyDescent="0.3">
      <c r="A695" s="5">
        <v>45923</v>
      </c>
      <c r="B695" s="1" t="s">
        <v>95</v>
      </c>
      <c r="C695" s="1" t="s">
        <v>104</v>
      </c>
      <c r="D695" s="1" t="s">
        <v>99</v>
      </c>
      <c r="E695" s="1" t="s">
        <v>144</v>
      </c>
      <c r="F695" s="1" t="s">
        <v>157</v>
      </c>
      <c r="G695" s="1">
        <v>333</v>
      </c>
      <c r="H695" s="1">
        <v>58</v>
      </c>
      <c r="I695" s="1">
        <v>13</v>
      </c>
      <c r="J695" s="1"/>
    </row>
    <row r="696" spans="1:10" x14ac:dyDescent="0.3">
      <c r="A696" s="5">
        <v>45933</v>
      </c>
      <c r="B696" s="1" t="s">
        <v>100</v>
      </c>
      <c r="C696" s="1" t="s">
        <v>96</v>
      </c>
      <c r="D696" s="1" t="s">
        <v>109</v>
      </c>
      <c r="E696" s="1" t="s">
        <v>147</v>
      </c>
      <c r="F696" s="1" t="s">
        <v>157</v>
      </c>
      <c r="G696" s="1">
        <v>320</v>
      </c>
      <c r="H696" s="1">
        <v>62</v>
      </c>
      <c r="I696" s="1">
        <v>11</v>
      </c>
      <c r="J696" s="1"/>
    </row>
    <row r="697" spans="1:10" x14ac:dyDescent="0.3">
      <c r="A697" s="5">
        <v>45933</v>
      </c>
      <c r="B697" s="1" t="s">
        <v>100</v>
      </c>
      <c r="C697" s="1" t="s">
        <v>96</v>
      </c>
      <c r="D697" s="1" t="s">
        <v>97</v>
      </c>
      <c r="E697" s="1" t="s">
        <v>146</v>
      </c>
      <c r="F697" s="1" t="s">
        <v>157</v>
      </c>
      <c r="G697" s="1">
        <v>295</v>
      </c>
      <c r="H697" s="1">
        <v>55</v>
      </c>
      <c r="I697" s="1">
        <v>11</v>
      </c>
      <c r="J697" s="1"/>
    </row>
    <row r="698" spans="1:10" x14ac:dyDescent="0.3">
      <c r="A698" s="5">
        <v>45932</v>
      </c>
      <c r="B698" s="1" t="s">
        <v>100</v>
      </c>
      <c r="C698" s="1" t="s">
        <v>96</v>
      </c>
      <c r="D698" s="1" t="s">
        <v>101</v>
      </c>
      <c r="E698" s="1" t="s">
        <v>147</v>
      </c>
      <c r="F698" s="1" t="s">
        <v>157</v>
      </c>
      <c r="G698" s="1">
        <v>310</v>
      </c>
      <c r="H698" s="1">
        <v>60</v>
      </c>
      <c r="I698" s="1">
        <v>12</v>
      </c>
      <c r="J698" s="1"/>
    </row>
    <row r="699" spans="1:10" x14ac:dyDescent="0.3">
      <c r="A699" s="5">
        <v>45932</v>
      </c>
      <c r="B699" s="1" t="s">
        <v>100</v>
      </c>
      <c r="C699" s="1" t="s">
        <v>96</v>
      </c>
      <c r="D699" s="1" t="s">
        <v>99</v>
      </c>
      <c r="E699" s="1" t="s">
        <v>146</v>
      </c>
      <c r="F699" s="1" t="s">
        <v>157</v>
      </c>
      <c r="G699" s="1">
        <v>260</v>
      </c>
      <c r="H699" s="1">
        <v>57</v>
      </c>
      <c r="I699" s="1">
        <v>10</v>
      </c>
      <c r="J699" s="1"/>
    </row>
    <row r="700" spans="1:10" x14ac:dyDescent="0.3">
      <c r="A700" s="5">
        <v>45931</v>
      </c>
      <c r="B700" s="1" t="s">
        <v>95</v>
      </c>
      <c r="C700" s="1" t="s">
        <v>96</v>
      </c>
      <c r="D700" s="1" t="s">
        <v>97</v>
      </c>
      <c r="E700" s="1" t="s">
        <v>144</v>
      </c>
      <c r="F700" s="1" t="s">
        <v>157</v>
      </c>
      <c r="G700" s="1">
        <v>305</v>
      </c>
      <c r="H700" s="1">
        <v>58</v>
      </c>
      <c r="I700" s="1">
        <v>11</v>
      </c>
      <c r="J700" s="1"/>
    </row>
    <row r="701" spans="1:10" x14ac:dyDescent="0.3">
      <c r="A701" s="5">
        <v>45931</v>
      </c>
      <c r="B701" s="1" t="s">
        <v>95</v>
      </c>
      <c r="C701" s="1" t="s">
        <v>96</v>
      </c>
      <c r="D701" s="1" t="s">
        <v>99</v>
      </c>
      <c r="E701" s="1" t="s">
        <v>144</v>
      </c>
      <c r="F701" s="1" t="s">
        <v>157</v>
      </c>
      <c r="G701" s="1">
        <v>307</v>
      </c>
      <c r="H701" s="1">
        <v>59</v>
      </c>
      <c r="I701" s="1">
        <v>11</v>
      </c>
      <c r="J701" s="1"/>
    </row>
    <row r="702" spans="1:10" x14ac:dyDescent="0.3">
      <c r="A702" s="5">
        <v>45931</v>
      </c>
      <c r="B702" s="1" t="s">
        <v>95</v>
      </c>
      <c r="C702" s="1" t="s">
        <v>96</v>
      </c>
      <c r="D702" s="1" t="s">
        <v>99</v>
      </c>
      <c r="E702" s="1" t="s">
        <v>147</v>
      </c>
      <c r="F702" s="1" t="s">
        <v>157</v>
      </c>
      <c r="G702" s="1">
        <v>300</v>
      </c>
      <c r="H702" s="1">
        <v>53</v>
      </c>
      <c r="I702" s="1">
        <v>10</v>
      </c>
      <c r="J702" s="1"/>
    </row>
    <row r="703" spans="1:10" x14ac:dyDescent="0.3">
      <c r="A703" s="5">
        <v>45931</v>
      </c>
      <c r="B703" s="1" t="s">
        <v>100</v>
      </c>
      <c r="C703" s="1" t="s">
        <v>96</v>
      </c>
      <c r="D703" s="1" t="s">
        <v>101</v>
      </c>
      <c r="E703" s="1" t="s">
        <v>146</v>
      </c>
      <c r="F703" s="1" t="s">
        <v>157</v>
      </c>
      <c r="G703" s="1">
        <v>340</v>
      </c>
      <c r="H703" s="1">
        <v>64</v>
      </c>
      <c r="I703" s="1">
        <v>12</v>
      </c>
      <c r="J703" s="1"/>
    </row>
    <row r="704" spans="1:10" x14ac:dyDescent="0.3">
      <c r="A704" s="5">
        <v>45931</v>
      </c>
      <c r="B704" s="1" t="s">
        <v>100</v>
      </c>
      <c r="C704" s="1" t="s">
        <v>96</v>
      </c>
      <c r="D704" s="1" t="s">
        <v>109</v>
      </c>
      <c r="E704" s="1" t="s">
        <v>146</v>
      </c>
      <c r="F704" s="1" t="s">
        <v>157</v>
      </c>
      <c r="G704" s="1">
        <v>340</v>
      </c>
      <c r="H704" s="1">
        <v>65</v>
      </c>
      <c r="I704" s="1">
        <v>12</v>
      </c>
      <c r="J704" s="1"/>
    </row>
    <row r="705" spans="1:10" x14ac:dyDescent="0.3">
      <c r="A705" s="5">
        <v>45931</v>
      </c>
      <c r="B705" s="1" t="s">
        <v>100</v>
      </c>
      <c r="C705" s="1" t="s">
        <v>96</v>
      </c>
      <c r="D705" s="1" t="s">
        <v>101</v>
      </c>
      <c r="E705" s="1" t="s">
        <v>144</v>
      </c>
      <c r="F705" s="1" t="s">
        <v>157</v>
      </c>
      <c r="G705" s="1">
        <v>285</v>
      </c>
      <c r="H705" s="1">
        <v>56</v>
      </c>
      <c r="I705" s="1">
        <v>11</v>
      </c>
      <c r="J705" s="1"/>
    </row>
    <row r="706" spans="1:10" x14ac:dyDescent="0.3">
      <c r="A706" s="5">
        <v>45737</v>
      </c>
      <c r="B706" s="1" t="s">
        <v>95</v>
      </c>
      <c r="C706" s="1" t="s">
        <v>96</v>
      </c>
      <c r="D706" s="1" t="s">
        <v>97</v>
      </c>
      <c r="E706" s="1" t="s">
        <v>144</v>
      </c>
      <c r="F706" s="1" t="s">
        <v>158</v>
      </c>
      <c r="G706" s="1">
        <v>70</v>
      </c>
      <c r="H706" s="1">
        <v>21</v>
      </c>
      <c r="I706" s="1"/>
      <c r="J706" s="1" t="s">
        <v>98</v>
      </c>
    </row>
    <row r="707" spans="1:10" x14ac:dyDescent="0.3">
      <c r="A707" s="5">
        <v>45737</v>
      </c>
      <c r="B707" s="1" t="s">
        <v>95</v>
      </c>
      <c r="C707" s="1" t="s">
        <v>96</v>
      </c>
      <c r="D707" s="1" t="s">
        <v>97</v>
      </c>
      <c r="E707" s="1" t="s">
        <v>146</v>
      </c>
      <c r="F707" s="1" t="s">
        <v>158</v>
      </c>
      <c r="G707" s="1">
        <v>82</v>
      </c>
      <c r="H707" s="1">
        <v>22</v>
      </c>
      <c r="I707" s="1"/>
      <c r="J707" s="1" t="s">
        <v>98</v>
      </c>
    </row>
    <row r="708" spans="1:10" x14ac:dyDescent="0.3">
      <c r="A708" s="5">
        <v>45737</v>
      </c>
      <c r="B708" s="1" t="s">
        <v>95</v>
      </c>
      <c r="C708" s="1" t="s">
        <v>96</v>
      </c>
      <c r="D708" s="1" t="s">
        <v>99</v>
      </c>
      <c r="E708" s="1" t="s">
        <v>144</v>
      </c>
      <c r="F708" s="1" t="s">
        <v>158</v>
      </c>
      <c r="G708" s="1">
        <v>80</v>
      </c>
      <c r="H708" s="1">
        <v>22</v>
      </c>
      <c r="I708" s="1"/>
      <c r="J708" s="1" t="s">
        <v>98</v>
      </c>
    </row>
    <row r="709" spans="1:10" x14ac:dyDescent="0.3">
      <c r="A709" s="5">
        <v>45737</v>
      </c>
      <c r="B709" s="1" t="s">
        <v>95</v>
      </c>
      <c r="C709" s="1" t="s">
        <v>96</v>
      </c>
      <c r="D709" s="1" t="s">
        <v>97</v>
      </c>
      <c r="E709" s="1" t="s">
        <v>147</v>
      </c>
      <c r="F709" s="1" t="s">
        <v>158</v>
      </c>
      <c r="G709" s="1">
        <v>78</v>
      </c>
      <c r="H709" s="1">
        <v>23</v>
      </c>
      <c r="I709" s="1"/>
      <c r="J709" s="1" t="s">
        <v>98</v>
      </c>
    </row>
    <row r="710" spans="1:10" x14ac:dyDescent="0.3">
      <c r="A710" s="5">
        <v>45737</v>
      </c>
      <c r="B710" s="1" t="s">
        <v>100</v>
      </c>
      <c r="C710" s="1" t="s">
        <v>96</v>
      </c>
      <c r="D710" s="1" t="s">
        <v>101</v>
      </c>
      <c r="E710" s="1" t="s">
        <v>146</v>
      </c>
      <c r="F710" s="1" t="s">
        <v>158</v>
      </c>
      <c r="G710" s="1">
        <v>110</v>
      </c>
      <c r="H710" s="1">
        <v>26</v>
      </c>
      <c r="I710" s="1"/>
      <c r="J710" s="1" t="s">
        <v>102</v>
      </c>
    </row>
    <row r="711" spans="1:10" x14ac:dyDescent="0.3">
      <c r="A711" s="5">
        <v>45737</v>
      </c>
      <c r="B711" s="1" t="s">
        <v>100</v>
      </c>
      <c r="C711" s="1" t="s">
        <v>96</v>
      </c>
      <c r="D711" s="1" t="s">
        <v>99</v>
      </c>
      <c r="E711" s="1" t="s">
        <v>146</v>
      </c>
      <c r="F711" s="1" t="s">
        <v>158</v>
      </c>
      <c r="G711" s="1">
        <v>70</v>
      </c>
      <c r="H711" s="1">
        <v>20</v>
      </c>
      <c r="I711" s="1"/>
      <c r="J711" s="1" t="s">
        <v>102</v>
      </c>
    </row>
    <row r="712" spans="1:10" x14ac:dyDescent="0.3">
      <c r="A712" s="5">
        <v>45737</v>
      </c>
      <c r="B712" s="1" t="s">
        <v>100</v>
      </c>
      <c r="C712" s="1" t="s">
        <v>96</v>
      </c>
      <c r="D712" s="1" t="s">
        <v>97</v>
      </c>
      <c r="E712" s="1" t="s">
        <v>146</v>
      </c>
      <c r="F712" s="1" t="s">
        <v>158</v>
      </c>
      <c r="G712" s="1">
        <v>105</v>
      </c>
      <c r="H712" s="1">
        <v>24</v>
      </c>
      <c r="I712" s="1"/>
      <c r="J712" s="1" t="s">
        <v>102</v>
      </c>
    </row>
    <row r="713" spans="1:10" x14ac:dyDescent="0.3">
      <c r="A713" s="5">
        <v>45737</v>
      </c>
      <c r="B713" s="1" t="s">
        <v>100</v>
      </c>
      <c r="C713" s="1" t="s">
        <v>96</v>
      </c>
      <c r="D713" s="1" t="s">
        <v>101</v>
      </c>
      <c r="E713" s="1" t="s">
        <v>144</v>
      </c>
      <c r="F713" s="1" t="s">
        <v>158</v>
      </c>
      <c r="G713" s="1">
        <v>98</v>
      </c>
      <c r="H713" s="1">
        <v>27</v>
      </c>
      <c r="I713" s="1"/>
      <c r="J713" s="1" t="s">
        <v>102</v>
      </c>
    </row>
    <row r="714" spans="1:10" x14ac:dyDescent="0.3">
      <c r="A714" s="5">
        <v>45729</v>
      </c>
      <c r="B714" s="1" t="s">
        <v>95</v>
      </c>
      <c r="C714" s="1" t="s">
        <v>104</v>
      </c>
      <c r="D714" s="1" t="s">
        <v>101</v>
      </c>
      <c r="E714" s="1" t="s">
        <v>144</v>
      </c>
      <c r="F714" s="1" t="s">
        <v>158</v>
      </c>
      <c r="G714" s="1">
        <v>90</v>
      </c>
      <c r="H714" s="1">
        <v>19</v>
      </c>
      <c r="I714" s="1"/>
      <c r="J714" s="1" t="s">
        <v>103</v>
      </c>
    </row>
    <row r="715" spans="1:10" x14ac:dyDescent="0.3">
      <c r="A715" s="5">
        <v>45729</v>
      </c>
      <c r="B715" s="1" t="s">
        <v>95</v>
      </c>
      <c r="C715" s="1" t="s">
        <v>104</v>
      </c>
      <c r="D715" s="1" t="s">
        <v>97</v>
      </c>
      <c r="E715" s="1" t="s">
        <v>146</v>
      </c>
      <c r="F715" s="1" t="s">
        <v>158</v>
      </c>
      <c r="G715" s="1">
        <v>73</v>
      </c>
      <c r="H715" s="1">
        <v>24</v>
      </c>
      <c r="I715" s="1"/>
      <c r="J715" s="1" t="s">
        <v>103</v>
      </c>
    </row>
    <row r="716" spans="1:10" x14ac:dyDescent="0.3">
      <c r="A716" s="5">
        <v>45729</v>
      </c>
      <c r="B716" s="1" t="s">
        <v>95</v>
      </c>
      <c r="C716" s="1" t="s">
        <v>104</v>
      </c>
      <c r="D716" s="1" t="s">
        <v>101</v>
      </c>
      <c r="E716" s="1" t="s">
        <v>146</v>
      </c>
      <c r="F716" s="1" t="s">
        <v>158</v>
      </c>
      <c r="G716" s="1">
        <v>74</v>
      </c>
      <c r="H716" s="1">
        <v>18</v>
      </c>
      <c r="I716" s="1"/>
      <c r="J716" s="1" t="s">
        <v>103</v>
      </c>
    </row>
    <row r="717" spans="1:10" x14ac:dyDescent="0.3">
      <c r="A717" s="5">
        <v>45729</v>
      </c>
      <c r="B717" s="1" t="s">
        <v>95</v>
      </c>
      <c r="C717" s="1" t="s">
        <v>104</v>
      </c>
      <c r="D717" s="1" t="s">
        <v>99</v>
      </c>
      <c r="E717" s="1" t="s">
        <v>144</v>
      </c>
      <c r="F717" s="1" t="s">
        <v>158</v>
      </c>
      <c r="G717" s="1">
        <v>96</v>
      </c>
      <c r="H717" s="1">
        <v>22</v>
      </c>
      <c r="I717" s="1"/>
      <c r="J717" s="1" t="s">
        <v>103</v>
      </c>
    </row>
    <row r="718" spans="1:10" x14ac:dyDescent="0.3">
      <c r="A718" s="5">
        <v>45729</v>
      </c>
      <c r="B718" s="1" t="s">
        <v>100</v>
      </c>
      <c r="C718" s="1" t="s">
        <v>104</v>
      </c>
      <c r="D718" s="1" t="s">
        <v>97</v>
      </c>
      <c r="E718" s="1" t="s">
        <v>147</v>
      </c>
      <c r="F718" s="1" t="s">
        <v>158</v>
      </c>
      <c r="G718" s="1">
        <v>88</v>
      </c>
      <c r="H718" s="1">
        <v>22</v>
      </c>
      <c r="I718" s="1"/>
      <c r="J718" s="1" t="s">
        <v>102</v>
      </c>
    </row>
    <row r="719" spans="1:10" x14ac:dyDescent="0.3">
      <c r="A719" s="5">
        <v>45729</v>
      </c>
      <c r="B719" s="1" t="s">
        <v>100</v>
      </c>
      <c r="C719" s="1" t="s">
        <v>104</v>
      </c>
      <c r="D719" s="1" t="s">
        <v>109</v>
      </c>
      <c r="E719" s="1" t="s">
        <v>144</v>
      </c>
      <c r="F719" s="1" t="s">
        <v>158</v>
      </c>
      <c r="G719" s="1">
        <v>74</v>
      </c>
      <c r="H719" s="1">
        <v>16</v>
      </c>
      <c r="I719" s="1"/>
      <c r="J719" s="1" t="s">
        <v>102</v>
      </c>
    </row>
    <row r="720" spans="1:10" x14ac:dyDescent="0.3">
      <c r="A720" s="5">
        <v>45729</v>
      </c>
      <c r="B720" s="1" t="s">
        <v>100</v>
      </c>
      <c r="C720" s="1" t="s">
        <v>104</v>
      </c>
      <c r="D720" s="1" t="s">
        <v>99</v>
      </c>
      <c r="E720" s="1" t="s">
        <v>147</v>
      </c>
      <c r="F720" s="1" t="s">
        <v>158</v>
      </c>
      <c r="G720" s="1">
        <v>80</v>
      </c>
      <c r="H720" s="1">
        <v>23</v>
      </c>
      <c r="I720" s="1"/>
      <c r="J720" s="1" t="s">
        <v>102</v>
      </c>
    </row>
    <row r="721" spans="1:10" x14ac:dyDescent="0.3">
      <c r="A721" s="5">
        <v>45729</v>
      </c>
      <c r="B721" s="1" t="s">
        <v>100</v>
      </c>
      <c r="C721" s="1" t="s">
        <v>104</v>
      </c>
      <c r="D721" s="1" t="s">
        <v>97</v>
      </c>
      <c r="E721" s="1" t="s">
        <v>144</v>
      </c>
      <c r="F721" s="1" t="s">
        <v>158</v>
      </c>
      <c r="G721" s="1">
        <v>81</v>
      </c>
      <c r="H721" s="1">
        <v>22</v>
      </c>
      <c r="I721" s="1"/>
      <c r="J721" s="1" t="s">
        <v>102</v>
      </c>
    </row>
    <row r="722" spans="1:10" x14ac:dyDescent="0.3">
      <c r="A722" s="5">
        <v>45835</v>
      </c>
      <c r="B722" s="1" t="s">
        <v>95</v>
      </c>
      <c r="C722" s="1" t="s">
        <v>96</v>
      </c>
      <c r="D722" s="1" t="s">
        <v>99</v>
      </c>
      <c r="E722" s="1" t="s">
        <v>146</v>
      </c>
      <c r="F722" s="1" t="s">
        <v>158</v>
      </c>
      <c r="G722" s="1">
        <v>225</v>
      </c>
      <c r="H722" s="1">
        <v>37</v>
      </c>
      <c r="I722" s="1">
        <v>8.4</v>
      </c>
      <c r="J722" s="1"/>
    </row>
    <row r="723" spans="1:10" x14ac:dyDescent="0.3">
      <c r="A723" s="5">
        <v>45835</v>
      </c>
      <c r="B723" s="1" t="s">
        <v>95</v>
      </c>
      <c r="C723" s="1" t="s">
        <v>96</v>
      </c>
      <c r="D723" s="1" t="s">
        <v>97</v>
      </c>
      <c r="E723" s="1" t="s">
        <v>146</v>
      </c>
      <c r="F723" s="1" t="s">
        <v>158</v>
      </c>
      <c r="G723" s="1">
        <v>255</v>
      </c>
      <c r="H723" s="1">
        <v>42</v>
      </c>
      <c r="I723" s="1">
        <v>8</v>
      </c>
      <c r="J723" s="1"/>
    </row>
    <row r="724" spans="1:10" x14ac:dyDescent="0.3">
      <c r="A724" s="5">
        <v>45835</v>
      </c>
      <c r="B724" s="1" t="s">
        <v>95</v>
      </c>
      <c r="C724" s="1" t="s">
        <v>96</v>
      </c>
      <c r="D724" s="1" t="s">
        <v>101</v>
      </c>
      <c r="E724" s="1" t="s">
        <v>146</v>
      </c>
      <c r="F724" s="1" t="s">
        <v>158</v>
      </c>
      <c r="G724" s="1">
        <v>273</v>
      </c>
      <c r="H724" s="1">
        <v>51</v>
      </c>
      <c r="I724" s="1">
        <v>10.8</v>
      </c>
      <c r="J724" s="1"/>
    </row>
    <row r="725" spans="1:10" x14ac:dyDescent="0.3">
      <c r="A725" s="5">
        <v>45835</v>
      </c>
      <c r="B725" s="1" t="s">
        <v>95</v>
      </c>
      <c r="C725" s="1" t="s">
        <v>96</v>
      </c>
      <c r="D725" s="1" t="s">
        <v>109</v>
      </c>
      <c r="E725" s="1" t="s">
        <v>146</v>
      </c>
      <c r="F725" s="1" t="s">
        <v>158</v>
      </c>
      <c r="G725" s="1">
        <v>265</v>
      </c>
      <c r="H725" s="1">
        <v>47</v>
      </c>
      <c r="I725" s="1">
        <v>9.4</v>
      </c>
      <c r="J725" s="1"/>
    </row>
    <row r="726" spans="1:10" x14ac:dyDescent="0.3">
      <c r="A726" s="5">
        <v>45835</v>
      </c>
      <c r="B726" s="1" t="s">
        <v>95</v>
      </c>
      <c r="C726" s="1" t="s">
        <v>96</v>
      </c>
      <c r="D726" s="1" t="s">
        <v>109</v>
      </c>
      <c r="E726" s="1" t="s">
        <v>144</v>
      </c>
      <c r="F726" s="1" t="s">
        <v>158</v>
      </c>
      <c r="G726" s="1">
        <v>202</v>
      </c>
      <c r="H726" s="1">
        <v>43</v>
      </c>
      <c r="I726" s="1">
        <v>7</v>
      </c>
      <c r="J726" s="1"/>
    </row>
    <row r="727" spans="1:10" x14ac:dyDescent="0.3">
      <c r="A727" s="5">
        <v>45835</v>
      </c>
      <c r="B727" s="1" t="s">
        <v>95</v>
      </c>
      <c r="C727" s="1" t="s">
        <v>96</v>
      </c>
      <c r="D727" s="1" t="s">
        <v>101</v>
      </c>
      <c r="E727" s="1" t="s">
        <v>144</v>
      </c>
      <c r="F727" s="1" t="s">
        <v>158</v>
      </c>
      <c r="G727" s="1">
        <v>230</v>
      </c>
      <c r="H727" s="1">
        <v>42</v>
      </c>
      <c r="I727" s="1">
        <v>8.8000000000000007</v>
      </c>
      <c r="J727" s="1"/>
    </row>
    <row r="728" spans="1:10" x14ac:dyDescent="0.3">
      <c r="A728" s="5">
        <v>45835</v>
      </c>
      <c r="B728" s="1" t="s">
        <v>100</v>
      </c>
      <c r="C728" s="1" t="s">
        <v>96</v>
      </c>
      <c r="D728" s="1" t="s">
        <v>101</v>
      </c>
      <c r="E728" s="1" t="s">
        <v>147</v>
      </c>
      <c r="F728" s="1" t="s">
        <v>158</v>
      </c>
      <c r="G728" s="1">
        <v>188</v>
      </c>
      <c r="H728" s="1">
        <v>37</v>
      </c>
      <c r="I728" s="1">
        <v>5</v>
      </c>
      <c r="J728" s="1"/>
    </row>
    <row r="729" spans="1:10" x14ac:dyDescent="0.3">
      <c r="A729" s="5">
        <v>45835</v>
      </c>
      <c r="B729" s="1" t="s">
        <v>100</v>
      </c>
      <c r="C729" s="1"/>
      <c r="D729" s="1" t="s">
        <v>109</v>
      </c>
      <c r="E729" s="1" t="s">
        <v>147</v>
      </c>
      <c r="F729" s="1" t="s">
        <v>158</v>
      </c>
      <c r="G729" s="1">
        <v>235</v>
      </c>
      <c r="H729" s="1">
        <v>47</v>
      </c>
      <c r="I729" s="1">
        <v>0.41805555555555562</v>
      </c>
      <c r="J729" s="1"/>
    </row>
    <row r="730" spans="1:10" x14ac:dyDescent="0.3">
      <c r="A730" s="5">
        <v>45835</v>
      </c>
      <c r="B730" s="1" t="s">
        <v>100</v>
      </c>
      <c r="C730" s="1" t="s">
        <v>96</v>
      </c>
      <c r="D730" s="1" t="s">
        <v>99</v>
      </c>
      <c r="E730" s="1" t="s">
        <v>144</v>
      </c>
      <c r="F730" s="1" t="s">
        <v>158</v>
      </c>
      <c r="G730" s="1">
        <v>160</v>
      </c>
      <c r="H730" s="1">
        <v>30</v>
      </c>
      <c r="I730" s="1">
        <v>7</v>
      </c>
      <c r="J730" s="1"/>
    </row>
    <row r="731" spans="1:10" x14ac:dyDescent="0.3">
      <c r="A731" s="5">
        <v>45835</v>
      </c>
      <c r="B731" s="1" t="s">
        <v>100</v>
      </c>
      <c r="C731" s="1" t="s">
        <v>96</v>
      </c>
      <c r="D731" s="1" t="s">
        <v>97</v>
      </c>
      <c r="E731" s="1" t="s">
        <v>144</v>
      </c>
      <c r="F731" s="1" t="s">
        <v>158</v>
      </c>
      <c r="G731" s="1">
        <v>208</v>
      </c>
      <c r="H731" s="1">
        <v>39</v>
      </c>
      <c r="I731" s="1">
        <v>8</v>
      </c>
      <c r="J731" s="1"/>
    </row>
    <row r="732" spans="1:10" x14ac:dyDescent="0.3">
      <c r="A732" s="5">
        <v>45835</v>
      </c>
      <c r="B732" s="1" t="s">
        <v>100</v>
      </c>
      <c r="C732" s="1" t="s">
        <v>96</v>
      </c>
      <c r="D732" s="1" t="s">
        <v>99</v>
      </c>
      <c r="E732" s="1" t="s">
        <v>147</v>
      </c>
      <c r="F732" s="1" t="s">
        <v>158</v>
      </c>
      <c r="G732" s="1">
        <v>235</v>
      </c>
      <c r="H732" s="1">
        <v>43</v>
      </c>
      <c r="I732" s="1">
        <v>9</v>
      </c>
      <c r="J732" s="1"/>
    </row>
    <row r="733" spans="1:10" x14ac:dyDescent="0.3">
      <c r="A733" s="5">
        <v>45835</v>
      </c>
      <c r="B733" s="1" t="s">
        <v>100</v>
      </c>
      <c r="C733" s="1" t="s">
        <v>96</v>
      </c>
      <c r="D733" s="1" t="s">
        <v>97</v>
      </c>
      <c r="E733" s="1" t="s">
        <v>147</v>
      </c>
      <c r="F733" s="1" t="s">
        <v>158</v>
      </c>
      <c r="G733" s="1">
        <v>220</v>
      </c>
      <c r="H733" s="1">
        <v>44</v>
      </c>
      <c r="I733" s="1">
        <v>0.29583333333333328</v>
      </c>
      <c r="J733" s="1" t="s">
        <v>113</v>
      </c>
    </row>
    <row r="734" spans="1:10" x14ac:dyDescent="0.3">
      <c r="A734" s="5">
        <v>45834</v>
      </c>
      <c r="B734" s="1" t="s">
        <v>114</v>
      </c>
      <c r="C734" s="1" t="s">
        <v>104</v>
      </c>
      <c r="D734" s="1" t="s">
        <v>101</v>
      </c>
      <c r="E734" s="1" t="s">
        <v>146</v>
      </c>
      <c r="F734" s="1" t="s">
        <v>158</v>
      </c>
      <c r="G734" s="1">
        <v>222</v>
      </c>
      <c r="H734" s="1">
        <v>36</v>
      </c>
      <c r="I734" s="1">
        <v>8</v>
      </c>
      <c r="J734" s="1"/>
    </row>
    <row r="735" spans="1:10" x14ac:dyDescent="0.3">
      <c r="A735" s="5">
        <v>45834</v>
      </c>
      <c r="B735" s="1" t="s">
        <v>114</v>
      </c>
      <c r="C735" s="1" t="s">
        <v>104</v>
      </c>
      <c r="D735" s="1" t="s">
        <v>97</v>
      </c>
      <c r="E735" s="1" t="s">
        <v>146</v>
      </c>
      <c r="F735" s="1" t="s">
        <v>158</v>
      </c>
      <c r="G735" s="1">
        <v>155</v>
      </c>
      <c r="H735" s="1">
        <v>31</v>
      </c>
      <c r="I735" s="1">
        <v>6</v>
      </c>
      <c r="J735" s="1"/>
    </row>
    <row r="736" spans="1:10" x14ac:dyDescent="0.3">
      <c r="A736" s="5">
        <v>45834</v>
      </c>
      <c r="B736" s="1" t="s">
        <v>95</v>
      </c>
      <c r="C736" s="1" t="s">
        <v>104</v>
      </c>
      <c r="D736" s="1" t="s">
        <v>99</v>
      </c>
      <c r="E736" s="1" t="s">
        <v>147</v>
      </c>
      <c r="F736" s="1" t="s">
        <v>158</v>
      </c>
      <c r="G736" s="1">
        <v>180</v>
      </c>
      <c r="H736" s="1">
        <v>35</v>
      </c>
      <c r="I736" s="1">
        <v>6</v>
      </c>
      <c r="J736" s="1"/>
    </row>
    <row r="737" spans="1:10" x14ac:dyDescent="0.3">
      <c r="A737" s="5">
        <v>45834</v>
      </c>
      <c r="B737" s="1" t="s">
        <v>95</v>
      </c>
      <c r="C737" s="1" t="s">
        <v>104</v>
      </c>
      <c r="D737" s="1" t="s">
        <v>97</v>
      </c>
      <c r="E737" s="1" t="s">
        <v>144</v>
      </c>
      <c r="F737" s="1" t="s">
        <v>158</v>
      </c>
      <c r="G737" s="1">
        <v>266</v>
      </c>
      <c r="H737" s="1">
        <v>46</v>
      </c>
      <c r="I737" s="1">
        <v>9</v>
      </c>
      <c r="J737" s="1"/>
    </row>
    <row r="738" spans="1:10" x14ac:dyDescent="0.3">
      <c r="A738" s="5">
        <v>45834</v>
      </c>
      <c r="B738" s="1" t="s">
        <v>95</v>
      </c>
      <c r="C738" s="1" t="s">
        <v>104</v>
      </c>
      <c r="D738" s="1" t="s">
        <v>109</v>
      </c>
      <c r="E738" s="1" t="s">
        <v>146</v>
      </c>
      <c r="F738" s="1" t="s">
        <v>158</v>
      </c>
      <c r="G738" s="1">
        <v>233</v>
      </c>
      <c r="H738" s="1">
        <v>43</v>
      </c>
      <c r="I738" s="1">
        <v>8</v>
      </c>
      <c r="J738" s="1"/>
    </row>
    <row r="739" spans="1:10" x14ac:dyDescent="0.3">
      <c r="A739" s="5">
        <v>45834</v>
      </c>
      <c r="B739" s="1" t="s">
        <v>95</v>
      </c>
      <c r="C739" s="1" t="s">
        <v>104</v>
      </c>
      <c r="D739" s="1" t="s">
        <v>99</v>
      </c>
      <c r="E739" s="1" t="s">
        <v>146</v>
      </c>
      <c r="F739" s="1" t="s">
        <v>158</v>
      </c>
      <c r="G739" s="1">
        <v>240</v>
      </c>
      <c r="H739" s="1">
        <v>43</v>
      </c>
      <c r="I739" s="1">
        <v>8</v>
      </c>
      <c r="J739" s="1" t="s">
        <v>115</v>
      </c>
    </row>
    <row r="740" spans="1:10" x14ac:dyDescent="0.3">
      <c r="A740" s="5">
        <v>45834</v>
      </c>
      <c r="B740" s="1" t="s">
        <v>95</v>
      </c>
      <c r="C740" s="1" t="s">
        <v>104</v>
      </c>
      <c r="D740" s="1" t="s">
        <v>101</v>
      </c>
      <c r="E740" s="1" t="s">
        <v>147</v>
      </c>
      <c r="F740" s="1" t="s">
        <v>158</v>
      </c>
      <c r="G740" s="1">
        <v>225</v>
      </c>
      <c r="H740" s="1">
        <v>41</v>
      </c>
      <c r="I740" s="1">
        <v>9</v>
      </c>
      <c r="J740" s="1"/>
    </row>
    <row r="741" spans="1:10" x14ac:dyDescent="0.3">
      <c r="A741" s="5">
        <v>45834</v>
      </c>
      <c r="B741" s="1" t="s">
        <v>100</v>
      </c>
      <c r="C741" s="1" t="s">
        <v>104</v>
      </c>
      <c r="D741" s="1" t="s">
        <v>109</v>
      </c>
      <c r="E741" s="1" t="s">
        <v>144</v>
      </c>
      <c r="F741" s="1" t="s">
        <v>158</v>
      </c>
      <c r="G741" s="1">
        <v>190</v>
      </c>
      <c r="H741" s="1">
        <v>32</v>
      </c>
      <c r="I741" s="1">
        <v>7.6</v>
      </c>
      <c r="J741" s="1"/>
    </row>
    <row r="742" spans="1:10" x14ac:dyDescent="0.3">
      <c r="A742" s="5">
        <v>45834</v>
      </c>
      <c r="B742" s="1" t="s">
        <v>100</v>
      </c>
      <c r="C742" s="1" t="s">
        <v>104</v>
      </c>
      <c r="D742" s="1" t="s">
        <v>99</v>
      </c>
      <c r="E742" s="1" t="s">
        <v>144</v>
      </c>
      <c r="F742" s="1" t="s">
        <v>158</v>
      </c>
      <c r="G742" s="1">
        <v>252</v>
      </c>
      <c r="H742" s="1">
        <v>41</v>
      </c>
      <c r="I742" s="1">
        <v>10</v>
      </c>
      <c r="J742" s="1" t="s">
        <v>113</v>
      </c>
    </row>
    <row r="743" spans="1:10" x14ac:dyDescent="0.3">
      <c r="A743" s="5">
        <v>45834</v>
      </c>
      <c r="B743" s="1" t="s">
        <v>100</v>
      </c>
      <c r="C743" s="1" t="s">
        <v>104</v>
      </c>
      <c r="D743" s="1" t="s">
        <v>101</v>
      </c>
      <c r="E743" s="1" t="s">
        <v>144</v>
      </c>
      <c r="F743" s="1" t="s">
        <v>158</v>
      </c>
      <c r="G743" s="1">
        <v>200</v>
      </c>
      <c r="H743" s="1">
        <v>34</v>
      </c>
      <c r="I743" s="1">
        <v>0.21388888888888891</v>
      </c>
      <c r="J743" s="1" t="s">
        <v>113</v>
      </c>
    </row>
    <row r="744" spans="1:10" x14ac:dyDescent="0.3">
      <c r="A744" s="5">
        <v>45834</v>
      </c>
      <c r="B744" s="1" t="s">
        <v>100</v>
      </c>
      <c r="C744" s="1" t="s">
        <v>104</v>
      </c>
      <c r="D744" s="1" t="s">
        <v>97</v>
      </c>
      <c r="E744" s="1" t="s">
        <v>147</v>
      </c>
      <c r="F744" s="1" t="s">
        <v>158</v>
      </c>
      <c r="G744" s="1">
        <v>230</v>
      </c>
      <c r="H744" s="1">
        <v>45</v>
      </c>
      <c r="I744" s="1">
        <v>0.33888888888888891</v>
      </c>
      <c r="J744" s="1" t="s">
        <v>113</v>
      </c>
    </row>
    <row r="745" spans="1:10" x14ac:dyDescent="0.3">
      <c r="A745" s="5">
        <v>45834</v>
      </c>
      <c r="B745" s="1" t="s">
        <v>100</v>
      </c>
      <c r="C745" s="1" t="s">
        <v>104</v>
      </c>
      <c r="D745" s="1" t="s">
        <v>109</v>
      </c>
      <c r="E745" s="1" t="s">
        <v>147</v>
      </c>
      <c r="F745" s="1" t="s">
        <v>158</v>
      </c>
      <c r="G745" s="1">
        <v>240</v>
      </c>
      <c r="H745" s="1">
        <v>45</v>
      </c>
      <c r="I745" s="1">
        <v>7</v>
      </c>
      <c r="J745" s="1" t="s">
        <v>113</v>
      </c>
    </row>
    <row r="746" spans="1:10" x14ac:dyDescent="0.3">
      <c r="A746" s="5">
        <v>45930</v>
      </c>
      <c r="B746" s="1" t="s">
        <v>100</v>
      </c>
      <c r="C746" s="1" t="s">
        <v>96</v>
      </c>
      <c r="D746" s="1" t="s">
        <v>109</v>
      </c>
      <c r="E746" s="1" t="s">
        <v>144</v>
      </c>
      <c r="F746" s="1" t="s">
        <v>158</v>
      </c>
      <c r="G746" s="1">
        <v>285</v>
      </c>
      <c r="H746" s="1">
        <v>59</v>
      </c>
      <c r="I746" s="1">
        <v>13</v>
      </c>
      <c r="J746" s="1"/>
    </row>
    <row r="747" spans="1:10" x14ac:dyDescent="0.3">
      <c r="A747" s="5">
        <v>45930</v>
      </c>
      <c r="B747" s="1" t="s">
        <v>100</v>
      </c>
      <c r="C747" s="1" t="s">
        <v>96</v>
      </c>
      <c r="D747" s="1" t="s">
        <v>97</v>
      </c>
      <c r="E747" s="1" t="s">
        <v>147</v>
      </c>
      <c r="F747" s="1" t="s">
        <v>158</v>
      </c>
      <c r="G747" s="1">
        <v>310</v>
      </c>
      <c r="H747" s="1">
        <v>62</v>
      </c>
      <c r="I747" s="1">
        <v>14</v>
      </c>
      <c r="J747" s="1"/>
    </row>
    <row r="748" spans="1:10" x14ac:dyDescent="0.3">
      <c r="A748" s="5">
        <v>45925</v>
      </c>
      <c r="B748" s="1" t="s">
        <v>100</v>
      </c>
      <c r="C748" s="1" t="s">
        <v>104</v>
      </c>
      <c r="D748" s="1" t="s">
        <v>101</v>
      </c>
      <c r="E748" s="1" t="s">
        <v>147</v>
      </c>
      <c r="F748" s="1" t="s">
        <v>158</v>
      </c>
      <c r="G748" s="1">
        <v>295</v>
      </c>
      <c r="H748" s="1">
        <v>58</v>
      </c>
      <c r="I748" s="1">
        <v>11</v>
      </c>
      <c r="J748" s="1"/>
    </row>
    <row r="749" spans="1:10" x14ac:dyDescent="0.3">
      <c r="A749" s="5">
        <v>45925</v>
      </c>
      <c r="B749" s="1" t="s">
        <v>100</v>
      </c>
      <c r="C749" s="1" t="s">
        <v>104</v>
      </c>
      <c r="D749" s="1" t="s">
        <v>97</v>
      </c>
      <c r="E749" s="1" t="s">
        <v>146</v>
      </c>
      <c r="F749" s="1" t="s">
        <v>158</v>
      </c>
      <c r="G749" s="1">
        <v>283</v>
      </c>
      <c r="H749" s="1">
        <v>50</v>
      </c>
      <c r="I749" s="1">
        <v>11</v>
      </c>
      <c r="J749" s="1"/>
    </row>
    <row r="750" spans="1:10" x14ac:dyDescent="0.3">
      <c r="A750" s="5">
        <v>45925</v>
      </c>
      <c r="B750" s="1" t="s">
        <v>100</v>
      </c>
      <c r="C750" s="1" t="s">
        <v>104</v>
      </c>
      <c r="D750" s="1" t="s">
        <v>101</v>
      </c>
      <c r="E750" s="1" t="s">
        <v>146</v>
      </c>
      <c r="F750" s="1" t="s">
        <v>158</v>
      </c>
      <c r="G750" s="1">
        <v>283</v>
      </c>
      <c r="H750" s="1">
        <v>53</v>
      </c>
      <c r="I750" s="1">
        <v>11</v>
      </c>
      <c r="J750" s="1"/>
    </row>
    <row r="751" spans="1:10" x14ac:dyDescent="0.3">
      <c r="A751" s="5">
        <v>45925</v>
      </c>
      <c r="B751" s="1" t="s">
        <v>95</v>
      </c>
      <c r="C751" s="1" t="s">
        <v>104</v>
      </c>
      <c r="D751" s="1" t="s">
        <v>99</v>
      </c>
      <c r="E751" s="1" t="s">
        <v>146</v>
      </c>
      <c r="F751" s="1" t="s">
        <v>158</v>
      </c>
      <c r="G751" s="1">
        <v>315</v>
      </c>
      <c r="H751" s="1">
        <v>61</v>
      </c>
      <c r="I751" s="1">
        <v>14</v>
      </c>
      <c r="J751" s="1"/>
    </row>
    <row r="752" spans="1:10" x14ac:dyDescent="0.3">
      <c r="A752" s="5">
        <v>45925</v>
      </c>
      <c r="B752" s="1" t="s">
        <v>95</v>
      </c>
      <c r="C752" s="1" t="s">
        <v>104</v>
      </c>
      <c r="D752" s="1" t="s">
        <v>109</v>
      </c>
      <c r="E752" s="1" t="s">
        <v>147</v>
      </c>
      <c r="F752" s="1" t="s">
        <v>158</v>
      </c>
      <c r="G752" s="1">
        <v>287</v>
      </c>
      <c r="H752" s="1">
        <v>54</v>
      </c>
      <c r="I752" s="1">
        <v>10</v>
      </c>
      <c r="J752" s="1"/>
    </row>
    <row r="753" spans="1:10" x14ac:dyDescent="0.3">
      <c r="A753" s="5">
        <v>45925</v>
      </c>
      <c r="B753" s="1" t="s">
        <v>95</v>
      </c>
      <c r="C753" s="1" t="s">
        <v>104</v>
      </c>
      <c r="D753" s="1" t="s">
        <v>97</v>
      </c>
      <c r="E753" s="1" t="s">
        <v>144</v>
      </c>
      <c r="F753" s="1" t="s">
        <v>158</v>
      </c>
      <c r="G753" s="1">
        <v>330</v>
      </c>
      <c r="H753" s="1">
        <v>61</v>
      </c>
      <c r="I753" s="1">
        <v>12</v>
      </c>
      <c r="J753" s="1"/>
    </row>
    <row r="754" spans="1:10" x14ac:dyDescent="0.3">
      <c r="A754" s="5">
        <v>45923</v>
      </c>
      <c r="B754" s="1" t="s">
        <v>100</v>
      </c>
      <c r="C754" s="1" t="s">
        <v>104</v>
      </c>
      <c r="D754" s="1" t="s">
        <v>101</v>
      </c>
      <c r="E754" s="1" t="s">
        <v>144</v>
      </c>
      <c r="F754" s="1" t="s">
        <v>158</v>
      </c>
      <c r="G754" s="1">
        <v>268</v>
      </c>
      <c r="H754" s="1">
        <v>50</v>
      </c>
      <c r="I754" s="1">
        <v>11</v>
      </c>
      <c r="J754" s="1"/>
    </row>
    <row r="755" spans="1:10" x14ac:dyDescent="0.3">
      <c r="A755" s="5">
        <v>45923</v>
      </c>
      <c r="B755" s="1" t="s">
        <v>100</v>
      </c>
      <c r="C755" s="1" t="s">
        <v>104</v>
      </c>
      <c r="D755" s="1" t="s">
        <v>109</v>
      </c>
      <c r="E755" s="1" t="s">
        <v>144</v>
      </c>
      <c r="F755" s="1" t="s">
        <v>158</v>
      </c>
      <c r="G755" s="1">
        <v>270</v>
      </c>
      <c r="H755" s="1">
        <v>47</v>
      </c>
      <c r="I755" s="1">
        <v>9</v>
      </c>
      <c r="J755" s="1"/>
    </row>
    <row r="756" spans="1:10" x14ac:dyDescent="0.3">
      <c r="A756" s="5">
        <v>45923</v>
      </c>
      <c r="B756" s="1" t="s">
        <v>100</v>
      </c>
      <c r="C756" s="1" t="s">
        <v>104</v>
      </c>
      <c r="D756" s="1" t="s">
        <v>109</v>
      </c>
      <c r="E756" s="1" t="s">
        <v>146</v>
      </c>
      <c r="F756" s="1" t="s">
        <v>158</v>
      </c>
      <c r="G756" s="1">
        <v>303</v>
      </c>
      <c r="H756" s="1">
        <v>57</v>
      </c>
      <c r="I756" s="1">
        <v>11</v>
      </c>
      <c r="J756" s="1" t="s">
        <v>121</v>
      </c>
    </row>
    <row r="757" spans="1:10" x14ac:dyDescent="0.3">
      <c r="A757" s="5">
        <v>45923</v>
      </c>
      <c r="B757" s="1" t="s">
        <v>95</v>
      </c>
      <c r="C757" s="1" t="s">
        <v>104</v>
      </c>
      <c r="D757" s="1" t="s">
        <v>97</v>
      </c>
      <c r="E757" s="1" t="s">
        <v>147</v>
      </c>
      <c r="F757" s="1" t="s">
        <v>158</v>
      </c>
      <c r="G757" s="1">
        <v>311</v>
      </c>
      <c r="H757" s="1">
        <v>55</v>
      </c>
      <c r="I757" s="1">
        <v>13</v>
      </c>
      <c r="J757" s="1"/>
    </row>
    <row r="758" spans="1:10" x14ac:dyDescent="0.3">
      <c r="A758" s="5">
        <v>45923</v>
      </c>
      <c r="B758" s="1" t="s">
        <v>95</v>
      </c>
      <c r="C758" s="1" t="s">
        <v>104</v>
      </c>
      <c r="D758" s="1" t="s">
        <v>99</v>
      </c>
      <c r="E758" s="1" t="s">
        <v>147</v>
      </c>
      <c r="F758" s="1" t="s">
        <v>158</v>
      </c>
      <c r="G758" s="1">
        <v>300</v>
      </c>
      <c r="H758" s="1">
        <v>50</v>
      </c>
      <c r="I758" s="1">
        <v>12</v>
      </c>
      <c r="J758" s="1"/>
    </row>
    <row r="759" spans="1:10" x14ac:dyDescent="0.3">
      <c r="A759" s="5">
        <v>45923</v>
      </c>
      <c r="B759" s="1" t="s">
        <v>95</v>
      </c>
      <c r="C759" s="1" t="s">
        <v>104</v>
      </c>
      <c r="D759" s="1" t="s">
        <v>99</v>
      </c>
      <c r="E759" s="1" t="s">
        <v>144</v>
      </c>
      <c r="F759" s="1" t="s">
        <v>158</v>
      </c>
      <c r="G759" s="1">
        <v>310</v>
      </c>
      <c r="H759" s="1">
        <v>54</v>
      </c>
      <c r="I759" s="1">
        <v>11</v>
      </c>
      <c r="J759" s="1"/>
    </row>
    <row r="760" spans="1:10" x14ac:dyDescent="0.3">
      <c r="A760" s="5">
        <v>45933</v>
      </c>
      <c r="B760" s="1" t="s">
        <v>100</v>
      </c>
      <c r="C760" s="1" t="s">
        <v>96</v>
      </c>
      <c r="D760" s="1" t="s">
        <v>109</v>
      </c>
      <c r="E760" s="1" t="s">
        <v>147</v>
      </c>
      <c r="F760" s="1" t="s">
        <v>158</v>
      </c>
      <c r="G760" s="1">
        <v>300</v>
      </c>
      <c r="H760" s="1">
        <v>60</v>
      </c>
      <c r="I760" s="1">
        <v>12</v>
      </c>
      <c r="J760" s="1"/>
    </row>
    <row r="761" spans="1:10" x14ac:dyDescent="0.3">
      <c r="A761" s="5">
        <v>45933</v>
      </c>
      <c r="B761" s="1" t="s">
        <v>100</v>
      </c>
      <c r="C761" s="1" t="s">
        <v>96</v>
      </c>
      <c r="D761" s="1" t="s">
        <v>97</v>
      </c>
      <c r="E761" s="1" t="s">
        <v>146</v>
      </c>
      <c r="F761" s="1" t="s">
        <v>158</v>
      </c>
      <c r="G761" s="1">
        <v>340</v>
      </c>
      <c r="H761" s="1">
        <v>67</v>
      </c>
      <c r="I761" s="1">
        <v>13</v>
      </c>
      <c r="J761" s="1"/>
    </row>
    <row r="762" spans="1:10" x14ac:dyDescent="0.3">
      <c r="A762" s="5">
        <v>45932</v>
      </c>
      <c r="B762" s="1" t="s">
        <v>100</v>
      </c>
      <c r="C762" s="1" t="s">
        <v>96</v>
      </c>
      <c r="D762" s="1" t="s">
        <v>101</v>
      </c>
      <c r="E762" s="1" t="s">
        <v>147</v>
      </c>
      <c r="F762" s="1" t="s">
        <v>158</v>
      </c>
      <c r="G762" s="1">
        <v>290</v>
      </c>
      <c r="H762" s="1">
        <v>54</v>
      </c>
      <c r="I762" s="1">
        <v>13</v>
      </c>
      <c r="J762" s="1"/>
    </row>
    <row r="763" spans="1:10" x14ac:dyDescent="0.3">
      <c r="A763" s="5">
        <v>45932</v>
      </c>
      <c r="B763" s="1" t="s">
        <v>100</v>
      </c>
      <c r="C763" s="1" t="s">
        <v>96</v>
      </c>
      <c r="D763" s="1" t="s">
        <v>99</v>
      </c>
      <c r="E763" s="1" t="s">
        <v>146</v>
      </c>
      <c r="F763" s="1" t="s">
        <v>158</v>
      </c>
      <c r="G763" s="1">
        <v>284</v>
      </c>
      <c r="H763" s="1">
        <v>52</v>
      </c>
      <c r="I763" s="1">
        <v>9</v>
      </c>
      <c r="J763" s="1"/>
    </row>
    <row r="764" spans="1:10" x14ac:dyDescent="0.3">
      <c r="A764" s="5">
        <v>45931</v>
      </c>
      <c r="B764" s="1" t="s">
        <v>95</v>
      </c>
      <c r="C764" s="1" t="s">
        <v>96</v>
      </c>
      <c r="D764" s="1" t="s">
        <v>97</v>
      </c>
      <c r="E764" s="1" t="s">
        <v>144</v>
      </c>
      <c r="F764" s="1" t="s">
        <v>158</v>
      </c>
      <c r="G764" s="1">
        <v>300</v>
      </c>
      <c r="H764" s="1">
        <v>56</v>
      </c>
      <c r="I764" s="1">
        <v>11</v>
      </c>
      <c r="J764" s="1"/>
    </row>
    <row r="765" spans="1:10" x14ac:dyDescent="0.3">
      <c r="A765" s="5">
        <v>45931</v>
      </c>
      <c r="B765" s="1" t="s">
        <v>95</v>
      </c>
      <c r="C765" s="1" t="s">
        <v>96</v>
      </c>
      <c r="D765" s="1" t="s">
        <v>99</v>
      </c>
      <c r="E765" s="1" t="s">
        <v>144</v>
      </c>
      <c r="F765" s="1" t="s">
        <v>158</v>
      </c>
      <c r="G765" s="1">
        <v>260</v>
      </c>
      <c r="H765" s="1">
        <v>49</v>
      </c>
      <c r="I765" s="1">
        <v>10</v>
      </c>
      <c r="J765" s="1"/>
    </row>
    <row r="766" spans="1:10" x14ac:dyDescent="0.3">
      <c r="A766" s="5">
        <v>45931</v>
      </c>
      <c r="B766" s="1" t="s">
        <v>95</v>
      </c>
      <c r="C766" s="1" t="s">
        <v>96</v>
      </c>
      <c r="D766" s="1" t="s">
        <v>99</v>
      </c>
      <c r="E766" s="1" t="s">
        <v>147</v>
      </c>
      <c r="F766" s="1" t="s">
        <v>158</v>
      </c>
      <c r="G766" s="1">
        <v>332</v>
      </c>
      <c r="H766" s="1">
        <v>60</v>
      </c>
      <c r="I766" s="1">
        <v>13</v>
      </c>
      <c r="J766" s="1"/>
    </row>
    <row r="767" spans="1:10" x14ac:dyDescent="0.3">
      <c r="A767" s="5">
        <v>45931</v>
      </c>
      <c r="B767" s="1" t="s">
        <v>100</v>
      </c>
      <c r="C767" s="1" t="s">
        <v>96</v>
      </c>
      <c r="D767" s="1" t="s">
        <v>101</v>
      </c>
      <c r="E767" s="1" t="s">
        <v>146</v>
      </c>
      <c r="F767" s="1" t="s">
        <v>158</v>
      </c>
      <c r="G767" s="1">
        <v>345</v>
      </c>
      <c r="H767" s="1">
        <v>70</v>
      </c>
      <c r="I767" s="1">
        <v>13</v>
      </c>
      <c r="J767" s="1"/>
    </row>
    <row r="768" spans="1:10" x14ac:dyDescent="0.3">
      <c r="A768" s="5">
        <v>45931</v>
      </c>
      <c r="B768" s="1" t="s">
        <v>100</v>
      </c>
      <c r="C768" s="1" t="s">
        <v>96</v>
      </c>
      <c r="D768" s="1" t="s">
        <v>109</v>
      </c>
      <c r="E768" s="1" t="s">
        <v>146</v>
      </c>
      <c r="F768" s="1" t="s">
        <v>158</v>
      </c>
      <c r="G768" s="1">
        <v>335</v>
      </c>
      <c r="H768" s="1">
        <v>64</v>
      </c>
      <c r="I768" s="1">
        <v>11</v>
      </c>
      <c r="J768" s="1"/>
    </row>
    <row r="769" spans="1:10" x14ac:dyDescent="0.3">
      <c r="A769" s="5">
        <v>45931</v>
      </c>
      <c r="B769" s="1" t="s">
        <v>100</v>
      </c>
      <c r="C769" s="1" t="s">
        <v>96</v>
      </c>
      <c r="D769" s="1" t="s">
        <v>101</v>
      </c>
      <c r="E769" s="1" t="s">
        <v>144</v>
      </c>
      <c r="F769" s="1" t="s">
        <v>158</v>
      </c>
      <c r="G769" s="1">
        <v>310</v>
      </c>
      <c r="H769" s="1">
        <v>58</v>
      </c>
      <c r="I769" s="1">
        <v>9</v>
      </c>
      <c r="J769" s="1"/>
    </row>
    <row r="770" spans="1:10" x14ac:dyDescent="0.3">
      <c r="A770" s="5">
        <v>45737</v>
      </c>
      <c r="B770" s="1" t="s">
        <v>95</v>
      </c>
      <c r="C770" s="1" t="s">
        <v>96</v>
      </c>
      <c r="D770" s="1" t="s">
        <v>97</v>
      </c>
      <c r="E770" s="1" t="s">
        <v>144</v>
      </c>
      <c r="F770" s="1" t="s">
        <v>159</v>
      </c>
      <c r="G770" s="1">
        <v>85</v>
      </c>
      <c r="H770" s="1">
        <v>23</v>
      </c>
      <c r="I770" s="1"/>
      <c r="J770" s="1" t="s">
        <v>98</v>
      </c>
    </row>
    <row r="771" spans="1:10" x14ac:dyDescent="0.3">
      <c r="A771" s="5">
        <v>45737</v>
      </c>
      <c r="B771" s="1" t="s">
        <v>95</v>
      </c>
      <c r="C771" s="1" t="s">
        <v>96</v>
      </c>
      <c r="D771" s="1" t="s">
        <v>97</v>
      </c>
      <c r="E771" s="1" t="s">
        <v>146</v>
      </c>
      <c r="F771" s="1" t="s">
        <v>159</v>
      </c>
      <c r="G771" s="1">
        <v>95</v>
      </c>
      <c r="H771" s="1">
        <v>22</v>
      </c>
      <c r="I771" s="1"/>
      <c r="J771" s="1" t="s">
        <v>98</v>
      </c>
    </row>
    <row r="772" spans="1:10" x14ac:dyDescent="0.3">
      <c r="A772" s="5">
        <v>45737</v>
      </c>
      <c r="B772" s="1" t="s">
        <v>95</v>
      </c>
      <c r="C772" s="1" t="s">
        <v>96</v>
      </c>
      <c r="D772" s="1" t="s">
        <v>99</v>
      </c>
      <c r="E772" s="1" t="s">
        <v>144</v>
      </c>
      <c r="F772" s="1" t="s">
        <v>159</v>
      </c>
      <c r="G772" s="1">
        <v>87</v>
      </c>
      <c r="H772" s="1">
        <v>24</v>
      </c>
      <c r="I772" s="1"/>
      <c r="J772" s="1" t="s">
        <v>98</v>
      </c>
    </row>
    <row r="773" spans="1:10" x14ac:dyDescent="0.3">
      <c r="A773" s="5">
        <v>45737</v>
      </c>
      <c r="B773" s="1" t="s">
        <v>95</v>
      </c>
      <c r="C773" s="1" t="s">
        <v>96</v>
      </c>
      <c r="D773" s="1" t="s">
        <v>97</v>
      </c>
      <c r="E773" s="1" t="s">
        <v>147</v>
      </c>
      <c r="F773" s="1" t="s">
        <v>159</v>
      </c>
      <c r="G773" s="1">
        <v>100</v>
      </c>
      <c r="H773" s="1">
        <v>24</v>
      </c>
      <c r="I773" s="1"/>
      <c r="J773" s="1" t="s">
        <v>98</v>
      </c>
    </row>
    <row r="774" spans="1:10" x14ac:dyDescent="0.3">
      <c r="A774" s="5">
        <v>45737</v>
      </c>
      <c r="B774" s="1" t="s">
        <v>100</v>
      </c>
      <c r="C774" s="1" t="s">
        <v>96</v>
      </c>
      <c r="D774" s="1" t="s">
        <v>101</v>
      </c>
      <c r="E774" s="1" t="s">
        <v>146</v>
      </c>
      <c r="F774" s="1" t="s">
        <v>159</v>
      </c>
      <c r="G774" s="1">
        <v>100</v>
      </c>
      <c r="H774" s="1">
        <v>24</v>
      </c>
      <c r="I774" s="1"/>
      <c r="J774" s="1" t="s">
        <v>102</v>
      </c>
    </row>
    <row r="775" spans="1:10" x14ac:dyDescent="0.3">
      <c r="A775" s="5">
        <v>45737</v>
      </c>
      <c r="B775" s="1" t="s">
        <v>100</v>
      </c>
      <c r="C775" s="1" t="s">
        <v>96</v>
      </c>
      <c r="D775" s="1" t="s">
        <v>99</v>
      </c>
      <c r="E775" s="1" t="s">
        <v>146</v>
      </c>
      <c r="F775" s="1" t="s">
        <v>159</v>
      </c>
      <c r="G775" s="1">
        <v>71</v>
      </c>
      <c r="H775" s="1">
        <v>22</v>
      </c>
      <c r="I775" s="1"/>
      <c r="J775" s="1" t="s">
        <v>102</v>
      </c>
    </row>
    <row r="776" spans="1:10" x14ac:dyDescent="0.3">
      <c r="A776" s="5">
        <v>45737</v>
      </c>
      <c r="B776" s="1" t="s">
        <v>100</v>
      </c>
      <c r="C776" s="1" t="s">
        <v>96</v>
      </c>
      <c r="D776" s="1" t="s">
        <v>97</v>
      </c>
      <c r="E776" s="1" t="s">
        <v>146</v>
      </c>
      <c r="F776" s="1" t="s">
        <v>159</v>
      </c>
      <c r="G776" s="1">
        <v>77</v>
      </c>
      <c r="H776" s="1">
        <v>25</v>
      </c>
      <c r="I776" s="1"/>
      <c r="J776" s="1" t="s">
        <v>102</v>
      </c>
    </row>
    <row r="777" spans="1:10" x14ac:dyDescent="0.3">
      <c r="A777" s="5">
        <v>45737</v>
      </c>
      <c r="B777" s="1" t="s">
        <v>100</v>
      </c>
      <c r="C777" s="1" t="s">
        <v>96</v>
      </c>
      <c r="D777" s="1" t="s">
        <v>101</v>
      </c>
      <c r="E777" s="1" t="s">
        <v>144</v>
      </c>
      <c r="F777" s="1" t="s">
        <v>159</v>
      </c>
      <c r="G777" s="1">
        <v>105</v>
      </c>
      <c r="H777" s="1">
        <v>24</v>
      </c>
      <c r="I777" s="1"/>
      <c r="J777" s="1" t="s">
        <v>102</v>
      </c>
    </row>
    <row r="778" spans="1:10" x14ac:dyDescent="0.3">
      <c r="A778" s="5">
        <v>45729</v>
      </c>
      <c r="B778" s="1" t="s">
        <v>95</v>
      </c>
      <c r="C778" s="1" t="s">
        <v>104</v>
      </c>
      <c r="D778" s="1" t="s">
        <v>101</v>
      </c>
      <c r="E778" s="1" t="s">
        <v>144</v>
      </c>
      <c r="F778" s="1" t="s">
        <v>159</v>
      </c>
      <c r="G778" s="1">
        <v>80</v>
      </c>
      <c r="H778" s="1">
        <v>17</v>
      </c>
      <c r="I778" s="1"/>
      <c r="J778" s="1" t="s">
        <v>103</v>
      </c>
    </row>
    <row r="779" spans="1:10" x14ac:dyDescent="0.3">
      <c r="A779" s="5">
        <v>45729</v>
      </c>
      <c r="B779" s="1" t="s">
        <v>95</v>
      </c>
      <c r="C779" s="1" t="s">
        <v>104</v>
      </c>
      <c r="D779" s="1" t="s">
        <v>97</v>
      </c>
      <c r="E779" s="1" t="s">
        <v>146</v>
      </c>
      <c r="F779" s="1" t="s">
        <v>159</v>
      </c>
      <c r="G779" s="1">
        <v>96</v>
      </c>
      <c r="H779" s="1">
        <v>20</v>
      </c>
      <c r="I779" s="1"/>
      <c r="J779" s="1" t="s">
        <v>103</v>
      </c>
    </row>
    <row r="780" spans="1:10" x14ac:dyDescent="0.3">
      <c r="A780" s="5">
        <v>45729</v>
      </c>
      <c r="B780" s="1" t="s">
        <v>95</v>
      </c>
      <c r="C780" s="1" t="s">
        <v>104</v>
      </c>
      <c r="D780" s="1" t="s">
        <v>101</v>
      </c>
      <c r="E780" s="1" t="s">
        <v>146</v>
      </c>
      <c r="F780" s="1" t="s">
        <v>159</v>
      </c>
      <c r="G780" s="1">
        <v>70</v>
      </c>
      <c r="H780" s="1">
        <v>19</v>
      </c>
      <c r="I780" s="1"/>
      <c r="J780" s="1" t="s">
        <v>103</v>
      </c>
    </row>
    <row r="781" spans="1:10" x14ac:dyDescent="0.3">
      <c r="A781" s="5">
        <v>45729</v>
      </c>
      <c r="B781" s="1" t="s">
        <v>95</v>
      </c>
      <c r="C781" s="1" t="s">
        <v>104</v>
      </c>
      <c r="D781" s="1" t="s">
        <v>99</v>
      </c>
      <c r="E781" s="1" t="s">
        <v>144</v>
      </c>
      <c r="F781" s="1" t="s">
        <v>159</v>
      </c>
      <c r="G781" s="1">
        <v>90</v>
      </c>
      <c r="H781" s="1">
        <v>23</v>
      </c>
      <c r="I781" s="1"/>
      <c r="J781" s="1" t="s">
        <v>103</v>
      </c>
    </row>
    <row r="782" spans="1:10" x14ac:dyDescent="0.3">
      <c r="A782" s="5">
        <v>45729</v>
      </c>
      <c r="B782" s="1" t="s">
        <v>100</v>
      </c>
      <c r="C782" s="1" t="s">
        <v>104</v>
      </c>
      <c r="D782" s="1" t="s">
        <v>97</v>
      </c>
      <c r="E782" s="1" t="s">
        <v>147</v>
      </c>
      <c r="F782" s="1" t="s">
        <v>159</v>
      </c>
      <c r="G782" s="1">
        <v>97</v>
      </c>
      <c r="H782" s="1">
        <v>21</v>
      </c>
      <c r="I782" s="1"/>
      <c r="J782" s="1" t="s">
        <v>102</v>
      </c>
    </row>
    <row r="783" spans="1:10" x14ac:dyDescent="0.3">
      <c r="A783" s="5">
        <v>45729</v>
      </c>
      <c r="B783" s="1" t="s">
        <v>100</v>
      </c>
      <c r="C783" s="1" t="s">
        <v>104</v>
      </c>
      <c r="D783" s="1" t="s">
        <v>109</v>
      </c>
      <c r="E783" s="1" t="s">
        <v>144</v>
      </c>
      <c r="F783" s="1" t="s">
        <v>159</v>
      </c>
      <c r="G783" s="1">
        <v>87</v>
      </c>
      <c r="H783" s="1">
        <v>20</v>
      </c>
      <c r="I783" s="1"/>
      <c r="J783" s="1" t="s">
        <v>102</v>
      </c>
    </row>
    <row r="784" spans="1:10" x14ac:dyDescent="0.3">
      <c r="A784" s="5">
        <v>45729</v>
      </c>
      <c r="B784" s="1" t="s">
        <v>100</v>
      </c>
      <c r="C784" s="1" t="s">
        <v>104</v>
      </c>
      <c r="D784" s="1" t="s">
        <v>99</v>
      </c>
      <c r="E784" s="1" t="s">
        <v>147</v>
      </c>
      <c r="F784" s="1" t="s">
        <v>159</v>
      </c>
      <c r="G784" s="1">
        <v>99</v>
      </c>
      <c r="H784" s="1">
        <v>24</v>
      </c>
      <c r="I784" s="1"/>
      <c r="J784" s="1" t="s">
        <v>102</v>
      </c>
    </row>
    <row r="785" spans="1:10" x14ac:dyDescent="0.3">
      <c r="A785" s="5">
        <v>45729</v>
      </c>
      <c r="B785" s="1" t="s">
        <v>100</v>
      </c>
      <c r="C785" s="1" t="s">
        <v>104</v>
      </c>
      <c r="D785" s="1" t="s">
        <v>97</v>
      </c>
      <c r="E785" s="1" t="s">
        <v>144</v>
      </c>
      <c r="F785" s="1" t="s">
        <v>159</v>
      </c>
      <c r="G785" s="1">
        <v>87</v>
      </c>
      <c r="H785" s="1">
        <v>24</v>
      </c>
      <c r="I785" s="1"/>
      <c r="J785" s="1" t="s">
        <v>102</v>
      </c>
    </row>
    <row r="786" spans="1:10" x14ac:dyDescent="0.3">
      <c r="A786" s="5">
        <v>45835</v>
      </c>
      <c r="B786" s="1" t="s">
        <v>95</v>
      </c>
      <c r="C786" s="1" t="s">
        <v>96</v>
      </c>
      <c r="D786" s="1" t="s">
        <v>99</v>
      </c>
      <c r="E786" s="1" t="s">
        <v>146</v>
      </c>
      <c r="F786" s="1" t="s">
        <v>159</v>
      </c>
      <c r="G786" s="1">
        <v>230</v>
      </c>
      <c r="H786" s="1">
        <v>40</v>
      </c>
      <c r="I786" s="1">
        <v>7.2</v>
      </c>
      <c r="J786" s="1"/>
    </row>
    <row r="787" spans="1:10" x14ac:dyDescent="0.3">
      <c r="A787" s="5">
        <v>45835</v>
      </c>
      <c r="B787" s="1" t="s">
        <v>95</v>
      </c>
      <c r="C787" s="1" t="s">
        <v>96</v>
      </c>
      <c r="D787" s="1" t="s">
        <v>97</v>
      </c>
      <c r="E787" s="1" t="s">
        <v>146</v>
      </c>
      <c r="F787" s="1" t="s">
        <v>159</v>
      </c>
      <c r="G787" s="1">
        <v>222</v>
      </c>
      <c r="H787" s="1">
        <v>39</v>
      </c>
      <c r="I787" s="1">
        <v>8</v>
      </c>
      <c r="J787" s="1"/>
    </row>
    <row r="788" spans="1:10" x14ac:dyDescent="0.3">
      <c r="A788" s="5">
        <v>45835</v>
      </c>
      <c r="B788" s="1" t="s">
        <v>95</v>
      </c>
      <c r="C788" s="1" t="s">
        <v>96</v>
      </c>
      <c r="D788" s="1" t="s">
        <v>101</v>
      </c>
      <c r="E788" s="1" t="s">
        <v>146</v>
      </c>
      <c r="F788" s="1" t="s">
        <v>159</v>
      </c>
      <c r="G788" s="1">
        <v>275</v>
      </c>
      <c r="H788" s="1">
        <v>47</v>
      </c>
      <c r="I788" s="1">
        <v>8.1999999999999993</v>
      </c>
      <c r="J788" s="1"/>
    </row>
    <row r="789" spans="1:10" x14ac:dyDescent="0.3">
      <c r="A789" s="5">
        <v>45835</v>
      </c>
      <c r="B789" s="1" t="s">
        <v>95</v>
      </c>
      <c r="C789" s="1" t="s">
        <v>96</v>
      </c>
      <c r="D789" s="1" t="s">
        <v>109</v>
      </c>
      <c r="E789" s="1" t="s">
        <v>146</v>
      </c>
      <c r="F789" s="1" t="s">
        <v>159</v>
      </c>
      <c r="G789" s="1">
        <v>225</v>
      </c>
      <c r="H789" s="1">
        <v>45</v>
      </c>
      <c r="I789" s="1">
        <v>5.8</v>
      </c>
      <c r="J789" s="1"/>
    </row>
    <row r="790" spans="1:10" x14ac:dyDescent="0.3">
      <c r="A790" s="5">
        <v>45835</v>
      </c>
      <c r="B790" s="1" t="s">
        <v>95</v>
      </c>
      <c r="C790" s="1" t="s">
        <v>96</v>
      </c>
      <c r="D790" s="1" t="s">
        <v>109</v>
      </c>
      <c r="E790" s="1" t="s">
        <v>144</v>
      </c>
      <c r="F790" s="1" t="s">
        <v>159</v>
      </c>
      <c r="G790" s="1">
        <v>210</v>
      </c>
      <c r="H790" s="1">
        <v>44</v>
      </c>
      <c r="I790" s="1">
        <v>7.8</v>
      </c>
      <c r="J790" s="1"/>
    </row>
    <row r="791" spans="1:10" x14ac:dyDescent="0.3">
      <c r="A791" s="5">
        <v>45835</v>
      </c>
      <c r="B791" s="1" t="s">
        <v>95</v>
      </c>
      <c r="C791" s="1" t="s">
        <v>96</v>
      </c>
      <c r="D791" s="1" t="s">
        <v>101</v>
      </c>
      <c r="E791" s="1" t="s">
        <v>144</v>
      </c>
      <c r="F791" s="1" t="s">
        <v>159</v>
      </c>
      <c r="G791" s="1">
        <v>280</v>
      </c>
      <c r="H791" s="1">
        <v>50</v>
      </c>
      <c r="I791" s="1">
        <v>10.199999999999999</v>
      </c>
      <c r="J791" s="1"/>
    </row>
    <row r="792" spans="1:10" x14ac:dyDescent="0.3">
      <c r="A792" s="5">
        <v>45835</v>
      </c>
      <c r="B792" s="1" t="s">
        <v>100</v>
      </c>
      <c r="C792" s="1" t="s">
        <v>96</v>
      </c>
      <c r="D792" s="1" t="s">
        <v>101</v>
      </c>
      <c r="E792" s="1" t="s">
        <v>147</v>
      </c>
      <c r="F792" s="1" t="s">
        <v>159</v>
      </c>
      <c r="G792" s="1">
        <v>192</v>
      </c>
      <c r="H792" s="1">
        <v>38</v>
      </c>
      <c r="I792" s="1">
        <v>7</v>
      </c>
      <c r="J792" s="1"/>
    </row>
    <row r="793" spans="1:10" x14ac:dyDescent="0.3">
      <c r="A793" s="5">
        <v>45835</v>
      </c>
      <c r="B793" s="1" t="s">
        <v>100</v>
      </c>
      <c r="C793" s="1"/>
      <c r="D793" s="1" t="s">
        <v>109</v>
      </c>
      <c r="E793" s="1" t="s">
        <v>147</v>
      </c>
      <c r="F793" s="1" t="s">
        <v>159</v>
      </c>
      <c r="G793" s="1">
        <v>255</v>
      </c>
      <c r="H793" s="1">
        <v>46</v>
      </c>
      <c r="I793" s="1">
        <v>0.37638888888888888</v>
      </c>
      <c r="J793" s="1"/>
    </row>
    <row r="794" spans="1:10" x14ac:dyDescent="0.3">
      <c r="A794" s="5">
        <v>45835</v>
      </c>
      <c r="B794" s="1" t="s">
        <v>100</v>
      </c>
      <c r="C794" s="1" t="s">
        <v>96</v>
      </c>
      <c r="D794" s="1" t="s">
        <v>99</v>
      </c>
      <c r="E794" s="1" t="s">
        <v>144</v>
      </c>
      <c r="F794" s="1" t="s">
        <v>159</v>
      </c>
      <c r="G794" s="1">
        <v>195</v>
      </c>
      <c r="H794" s="1">
        <v>35</v>
      </c>
      <c r="I794" s="1">
        <v>6</v>
      </c>
      <c r="J794" s="1"/>
    </row>
    <row r="795" spans="1:10" x14ac:dyDescent="0.3">
      <c r="A795" s="5">
        <v>45835</v>
      </c>
      <c r="B795" s="1" t="s">
        <v>100</v>
      </c>
      <c r="C795" s="1" t="s">
        <v>96</v>
      </c>
      <c r="D795" s="1" t="s">
        <v>97</v>
      </c>
      <c r="E795" s="1" t="s">
        <v>144</v>
      </c>
      <c r="F795" s="1" t="s">
        <v>159</v>
      </c>
      <c r="G795" s="1">
        <v>213</v>
      </c>
      <c r="H795" s="1">
        <v>44</v>
      </c>
      <c r="I795" s="1">
        <v>8</v>
      </c>
      <c r="J795" s="1"/>
    </row>
    <row r="796" spans="1:10" x14ac:dyDescent="0.3">
      <c r="A796" s="5">
        <v>45835</v>
      </c>
      <c r="B796" s="1" t="s">
        <v>100</v>
      </c>
      <c r="C796" s="1" t="s">
        <v>96</v>
      </c>
      <c r="D796" s="1" t="s">
        <v>99</v>
      </c>
      <c r="E796" s="1" t="s">
        <v>147</v>
      </c>
      <c r="F796" s="1" t="s">
        <v>159</v>
      </c>
      <c r="G796" s="1">
        <v>255</v>
      </c>
      <c r="H796" s="1">
        <v>46</v>
      </c>
      <c r="I796" s="1">
        <v>7</v>
      </c>
      <c r="J796" s="1"/>
    </row>
    <row r="797" spans="1:10" x14ac:dyDescent="0.3">
      <c r="A797" s="5">
        <v>45835</v>
      </c>
      <c r="B797" s="1" t="s">
        <v>100</v>
      </c>
      <c r="C797" s="1" t="s">
        <v>96</v>
      </c>
      <c r="D797" s="1" t="s">
        <v>97</v>
      </c>
      <c r="E797" s="1" t="s">
        <v>147</v>
      </c>
      <c r="F797" s="1" t="s">
        <v>159</v>
      </c>
      <c r="G797" s="1">
        <v>230</v>
      </c>
      <c r="H797" s="1">
        <v>48</v>
      </c>
      <c r="I797" s="1">
        <v>8</v>
      </c>
      <c r="J797" s="1" t="s">
        <v>113</v>
      </c>
    </row>
    <row r="798" spans="1:10" x14ac:dyDescent="0.3">
      <c r="A798" s="5">
        <v>45834</v>
      </c>
      <c r="B798" s="1" t="s">
        <v>114</v>
      </c>
      <c r="C798" s="1" t="s">
        <v>104</v>
      </c>
      <c r="D798" s="1" t="s">
        <v>101</v>
      </c>
      <c r="E798" s="1" t="s">
        <v>146</v>
      </c>
      <c r="F798" s="1" t="s">
        <v>159</v>
      </c>
      <c r="G798" s="1">
        <v>189</v>
      </c>
      <c r="H798" s="1">
        <v>32</v>
      </c>
      <c r="I798" s="1">
        <v>7</v>
      </c>
      <c r="J798" s="1"/>
    </row>
    <row r="799" spans="1:10" x14ac:dyDescent="0.3">
      <c r="A799" s="5">
        <v>45834</v>
      </c>
      <c r="B799" s="1" t="s">
        <v>114</v>
      </c>
      <c r="C799" s="1" t="s">
        <v>104</v>
      </c>
      <c r="D799" s="1" t="s">
        <v>97</v>
      </c>
      <c r="E799" s="1" t="s">
        <v>146</v>
      </c>
      <c r="F799" s="1" t="s">
        <v>159</v>
      </c>
      <c r="G799" s="1">
        <v>225</v>
      </c>
      <c r="H799" s="1">
        <v>46</v>
      </c>
      <c r="I799" s="1">
        <v>10</v>
      </c>
      <c r="J799" s="1"/>
    </row>
    <row r="800" spans="1:10" x14ac:dyDescent="0.3">
      <c r="A800" s="5">
        <v>45834</v>
      </c>
      <c r="B800" s="1" t="s">
        <v>95</v>
      </c>
      <c r="C800" s="1" t="s">
        <v>104</v>
      </c>
      <c r="D800" s="1" t="s">
        <v>99</v>
      </c>
      <c r="E800" s="1" t="s">
        <v>147</v>
      </c>
      <c r="F800" s="1" t="s">
        <v>159</v>
      </c>
      <c r="G800" s="1">
        <v>230</v>
      </c>
      <c r="H800" s="1">
        <v>44</v>
      </c>
      <c r="I800" s="1">
        <v>9</v>
      </c>
      <c r="J800" s="1"/>
    </row>
    <row r="801" spans="1:10" x14ac:dyDescent="0.3">
      <c r="A801" s="5">
        <v>45834</v>
      </c>
      <c r="B801" s="1" t="s">
        <v>95</v>
      </c>
      <c r="C801" s="1" t="s">
        <v>104</v>
      </c>
      <c r="D801" s="1" t="s">
        <v>97</v>
      </c>
      <c r="E801" s="1" t="s">
        <v>144</v>
      </c>
      <c r="F801" s="1" t="s">
        <v>159</v>
      </c>
      <c r="G801" s="1">
        <v>233</v>
      </c>
      <c r="H801" s="1">
        <v>39</v>
      </c>
      <c r="I801" s="1">
        <v>7</v>
      </c>
      <c r="J801" s="1"/>
    </row>
    <row r="802" spans="1:10" x14ac:dyDescent="0.3">
      <c r="A802" s="5">
        <v>45834</v>
      </c>
      <c r="B802" s="1" t="s">
        <v>95</v>
      </c>
      <c r="C802" s="1" t="s">
        <v>104</v>
      </c>
      <c r="D802" s="1" t="s">
        <v>109</v>
      </c>
      <c r="E802" s="1" t="s">
        <v>146</v>
      </c>
      <c r="F802" s="1" t="s">
        <v>159</v>
      </c>
      <c r="G802" s="1">
        <v>160</v>
      </c>
      <c r="H802" s="1">
        <v>32</v>
      </c>
      <c r="I802" s="1">
        <v>6</v>
      </c>
      <c r="J802" s="1"/>
    </row>
    <row r="803" spans="1:10" x14ac:dyDescent="0.3">
      <c r="A803" s="5">
        <v>45834</v>
      </c>
      <c r="B803" s="1" t="s">
        <v>95</v>
      </c>
      <c r="C803" s="1" t="s">
        <v>104</v>
      </c>
      <c r="D803" s="1" t="s">
        <v>99</v>
      </c>
      <c r="E803" s="1" t="s">
        <v>146</v>
      </c>
      <c r="F803" s="1" t="s">
        <v>159</v>
      </c>
      <c r="G803" s="1">
        <v>224</v>
      </c>
      <c r="H803" s="1">
        <v>38</v>
      </c>
      <c r="I803" s="1">
        <v>9</v>
      </c>
      <c r="J803" s="1"/>
    </row>
    <row r="804" spans="1:10" x14ac:dyDescent="0.3">
      <c r="A804" s="5">
        <v>45834</v>
      </c>
      <c r="B804" s="1" t="s">
        <v>95</v>
      </c>
      <c r="C804" s="1" t="s">
        <v>104</v>
      </c>
      <c r="D804" s="1" t="s">
        <v>101</v>
      </c>
      <c r="E804" s="1" t="s">
        <v>147</v>
      </c>
      <c r="F804" s="1" t="s">
        <v>159</v>
      </c>
      <c r="G804" s="1">
        <v>200</v>
      </c>
      <c r="H804" s="1">
        <v>36</v>
      </c>
      <c r="I804" s="1">
        <v>8</v>
      </c>
      <c r="J804" s="1" t="s">
        <v>115</v>
      </c>
    </row>
    <row r="805" spans="1:10" x14ac:dyDescent="0.3">
      <c r="A805" s="5">
        <v>45834</v>
      </c>
      <c r="B805" s="1" t="s">
        <v>100</v>
      </c>
      <c r="C805" s="1" t="s">
        <v>104</v>
      </c>
      <c r="D805" s="1" t="s">
        <v>109</v>
      </c>
      <c r="E805" s="1" t="s">
        <v>144</v>
      </c>
      <c r="F805" s="1" t="s">
        <v>159</v>
      </c>
      <c r="G805" s="1">
        <v>200</v>
      </c>
      <c r="H805" s="1">
        <v>34</v>
      </c>
      <c r="I805" s="1">
        <v>9.4</v>
      </c>
      <c r="J805" s="1"/>
    </row>
    <row r="806" spans="1:10" x14ac:dyDescent="0.3">
      <c r="A806" s="5">
        <v>45834</v>
      </c>
      <c r="B806" s="1" t="s">
        <v>100</v>
      </c>
      <c r="C806" s="1" t="s">
        <v>104</v>
      </c>
      <c r="D806" s="1" t="s">
        <v>99</v>
      </c>
      <c r="E806" s="1" t="s">
        <v>144</v>
      </c>
      <c r="F806" s="1" t="s">
        <v>159</v>
      </c>
      <c r="G806" s="1">
        <v>255</v>
      </c>
      <c r="H806" s="1">
        <v>48</v>
      </c>
      <c r="I806" s="1">
        <v>0.42222222222222222</v>
      </c>
      <c r="J806" s="1" t="s">
        <v>113</v>
      </c>
    </row>
    <row r="807" spans="1:10" x14ac:dyDescent="0.3">
      <c r="A807" s="5">
        <v>45834</v>
      </c>
      <c r="B807" s="1" t="s">
        <v>100</v>
      </c>
      <c r="C807" s="1" t="s">
        <v>104</v>
      </c>
      <c r="D807" s="1" t="s">
        <v>101</v>
      </c>
      <c r="E807" s="1" t="s">
        <v>144</v>
      </c>
      <c r="F807" s="1" t="s">
        <v>159</v>
      </c>
      <c r="G807" s="1">
        <v>220</v>
      </c>
      <c r="H807" s="1">
        <v>40</v>
      </c>
      <c r="I807" s="1">
        <v>0.37638888888888888</v>
      </c>
      <c r="J807" s="1" t="s">
        <v>113</v>
      </c>
    </row>
    <row r="808" spans="1:10" x14ac:dyDescent="0.3">
      <c r="A808" s="5">
        <v>45834</v>
      </c>
      <c r="B808" s="1" t="s">
        <v>100</v>
      </c>
      <c r="C808" s="1" t="s">
        <v>104</v>
      </c>
      <c r="D808" s="1" t="s">
        <v>97</v>
      </c>
      <c r="E808" s="1" t="s">
        <v>147</v>
      </c>
      <c r="F808" s="1" t="s">
        <v>159</v>
      </c>
      <c r="G808" s="1">
        <v>234</v>
      </c>
      <c r="H808" s="1">
        <v>41</v>
      </c>
      <c r="I808" s="1">
        <v>0.33750000000000002</v>
      </c>
      <c r="J808" s="1" t="s">
        <v>113</v>
      </c>
    </row>
    <row r="809" spans="1:10" x14ac:dyDescent="0.3">
      <c r="A809" s="5">
        <v>45834</v>
      </c>
      <c r="B809" s="1" t="s">
        <v>100</v>
      </c>
      <c r="C809" s="1" t="s">
        <v>104</v>
      </c>
      <c r="D809" s="1" t="s">
        <v>109</v>
      </c>
      <c r="E809" s="1" t="s">
        <v>147</v>
      </c>
      <c r="F809" s="1" t="s">
        <v>159</v>
      </c>
      <c r="G809" s="1">
        <v>245</v>
      </c>
      <c r="H809" s="1">
        <v>45</v>
      </c>
      <c r="I809" s="1">
        <v>0.33750000000000002</v>
      </c>
      <c r="J809" s="1" t="s">
        <v>113</v>
      </c>
    </row>
    <row r="810" spans="1:10" x14ac:dyDescent="0.3">
      <c r="A810" s="5">
        <v>45930</v>
      </c>
      <c r="B810" s="1" t="s">
        <v>100</v>
      </c>
      <c r="C810" s="1" t="s">
        <v>96</v>
      </c>
      <c r="D810" s="1" t="s">
        <v>109</v>
      </c>
      <c r="E810" s="1" t="s">
        <v>144</v>
      </c>
      <c r="F810" s="1" t="s">
        <v>159</v>
      </c>
      <c r="G810" s="1">
        <v>280</v>
      </c>
      <c r="H810" s="1">
        <v>55</v>
      </c>
      <c r="I810" s="1">
        <v>12</v>
      </c>
      <c r="J810" s="1"/>
    </row>
    <row r="811" spans="1:10" x14ac:dyDescent="0.3">
      <c r="A811" s="5">
        <v>45930</v>
      </c>
      <c r="B811" s="1" t="s">
        <v>100</v>
      </c>
      <c r="C811" s="1" t="s">
        <v>96</v>
      </c>
      <c r="D811" s="1" t="s">
        <v>97</v>
      </c>
      <c r="E811" s="1" t="s">
        <v>147</v>
      </c>
      <c r="F811" s="1" t="s">
        <v>159</v>
      </c>
      <c r="G811" s="1">
        <v>310</v>
      </c>
      <c r="H811" s="1">
        <v>65</v>
      </c>
      <c r="I811" s="1">
        <v>13</v>
      </c>
      <c r="J811" s="1"/>
    </row>
    <row r="812" spans="1:10" x14ac:dyDescent="0.3">
      <c r="A812" s="5">
        <v>45925</v>
      </c>
      <c r="B812" s="1" t="s">
        <v>100</v>
      </c>
      <c r="C812" s="1" t="s">
        <v>104</v>
      </c>
      <c r="D812" s="1" t="s">
        <v>101</v>
      </c>
      <c r="E812" s="1" t="s">
        <v>147</v>
      </c>
      <c r="F812" s="1" t="s">
        <v>159</v>
      </c>
      <c r="G812" s="1">
        <v>276</v>
      </c>
      <c r="H812" s="1">
        <v>52</v>
      </c>
      <c r="I812" s="1">
        <v>10</v>
      </c>
      <c r="J812" s="1"/>
    </row>
    <row r="813" spans="1:10" x14ac:dyDescent="0.3">
      <c r="A813" s="5">
        <v>45925</v>
      </c>
      <c r="B813" s="1" t="s">
        <v>100</v>
      </c>
      <c r="C813" s="1" t="s">
        <v>104</v>
      </c>
      <c r="D813" s="1" t="s">
        <v>97</v>
      </c>
      <c r="E813" s="1" t="s">
        <v>146</v>
      </c>
      <c r="F813" s="1" t="s">
        <v>159</v>
      </c>
      <c r="G813" s="1">
        <v>253</v>
      </c>
      <c r="H813" s="1">
        <v>58</v>
      </c>
      <c r="I813" s="1">
        <v>12</v>
      </c>
      <c r="J813" s="1"/>
    </row>
    <row r="814" spans="1:10" x14ac:dyDescent="0.3">
      <c r="A814" s="5">
        <v>45925</v>
      </c>
      <c r="B814" s="1" t="s">
        <v>100</v>
      </c>
      <c r="C814" s="1" t="s">
        <v>104</v>
      </c>
      <c r="D814" s="1" t="s">
        <v>101</v>
      </c>
      <c r="E814" s="1" t="s">
        <v>146</v>
      </c>
      <c r="F814" s="1" t="s">
        <v>159</v>
      </c>
      <c r="G814" s="1">
        <v>256</v>
      </c>
      <c r="H814" s="1">
        <v>47</v>
      </c>
      <c r="I814" s="1">
        <v>12</v>
      </c>
      <c r="J814" s="1"/>
    </row>
    <row r="815" spans="1:10" x14ac:dyDescent="0.3">
      <c r="A815" s="5">
        <v>45925</v>
      </c>
      <c r="B815" s="1" t="s">
        <v>95</v>
      </c>
      <c r="C815" s="1" t="s">
        <v>104</v>
      </c>
      <c r="D815" s="1" t="s">
        <v>99</v>
      </c>
      <c r="E815" s="1" t="s">
        <v>146</v>
      </c>
      <c r="F815" s="1" t="s">
        <v>159</v>
      </c>
      <c r="G815" s="1">
        <v>260</v>
      </c>
      <c r="H815" s="1">
        <v>51</v>
      </c>
      <c r="I815" s="1">
        <v>10</v>
      </c>
      <c r="J815" s="1" t="s">
        <v>119</v>
      </c>
    </row>
    <row r="816" spans="1:10" x14ac:dyDescent="0.3">
      <c r="A816" s="5">
        <v>45925</v>
      </c>
      <c r="B816" s="1" t="s">
        <v>95</v>
      </c>
      <c r="C816" s="1" t="s">
        <v>104</v>
      </c>
      <c r="D816" s="1" t="s">
        <v>109</v>
      </c>
      <c r="E816" s="1" t="s">
        <v>147</v>
      </c>
      <c r="F816" s="1" t="s">
        <v>159</v>
      </c>
      <c r="G816" s="1">
        <v>320</v>
      </c>
      <c r="H816" s="1">
        <v>65</v>
      </c>
      <c r="I816" s="1">
        <v>13</v>
      </c>
      <c r="J816" s="1"/>
    </row>
    <row r="817" spans="1:10" x14ac:dyDescent="0.3">
      <c r="A817" s="5">
        <v>45925</v>
      </c>
      <c r="B817" s="1" t="s">
        <v>95</v>
      </c>
      <c r="C817" s="1" t="s">
        <v>104</v>
      </c>
      <c r="D817" s="1" t="s">
        <v>97</v>
      </c>
      <c r="E817" s="1" t="s">
        <v>144</v>
      </c>
      <c r="F817" s="1" t="s">
        <v>159</v>
      </c>
      <c r="G817" s="1">
        <v>310</v>
      </c>
      <c r="H817" s="1">
        <v>58</v>
      </c>
      <c r="I817" s="1">
        <v>12</v>
      </c>
      <c r="J817" s="1"/>
    </row>
    <row r="818" spans="1:10" x14ac:dyDescent="0.3">
      <c r="A818" s="5">
        <v>45923</v>
      </c>
      <c r="B818" s="1" t="s">
        <v>100</v>
      </c>
      <c r="C818" s="1" t="s">
        <v>104</v>
      </c>
      <c r="D818" s="1" t="s">
        <v>101</v>
      </c>
      <c r="E818" s="1" t="s">
        <v>144</v>
      </c>
      <c r="F818" s="1" t="s">
        <v>159</v>
      </c>
      <c r="G818" s="1">
        <v>241</v>
      </c>
      <c r="H818" s="1">
        <v>48</v>
      </c>
      <c r="I818" s="1">
        <v>10</v>
      </c>
      <c r="J818" s="1"/>
    </row>
    <row r="819" spans="1:10" x14ac:dyDescent="0.3">
      <c r="A819" s="5">
        <v>45923</v>
      </c>
      <c r="B819" s="1" t="s">
        <v>100</v>
      </c>
      <c r="C819" s="1" t="s">
        <v>104</v>
      </c>
      <c r="D819" s="1" t="s">
        <v>109</v>
      </c>
      <c r="E819" s="1" t="s">
        <v>144</v>
      </c>
      <c r="F819" s="1" t="s">
        <v>159</v>
      </c>
      <c r="G819" s="1">
        <v>270</v>
      </c>
      <c r="H819" s="1">
        <v>49</v>
      </c>
      <c r="I819" s="1">
        <v>11</v>
      </c>
      <c r="J819" s="1"/>
    </row>
    <row r="820" spans="1:10" x14ac:dyDescent="0.3">
      <c r="A820" s="5">
        <v>45923</v>
      </c>
      <c r="B820" s="1" t="s">
        <v>100</v>
      </c>
      <c r="C820" s="1" t="s">
        <v>104</v>
      </c>
      <c r="D820" s="1" t="s">
        <v>109</v>
      </c>
      <c r="E820" s="1" t="s">
        <v>146</v>
      </c>
      <c r="F820" s="1" t="s">
        <v>159</v>
      </c>
      <c r="G820" s="1">
        <v>271</v>
      </c>
      <c r="H820" s="1">
        <v>51</v>
      </c>
      <c r="I820" s="1">
        <v>14</v>
      </c>
      <c r="J820" s="1" t="s">
        <v>113</v>
      </c>
    </row>
    <row r="821" spans="1:10" x14ac:dyDescent="0.3">
      <c r="A821" s="5">
        <v>45923</v>
      </c>
      <c r="B821" s="1" t="s">
        <v>95</v>
      </c>
      <c r="C821" s="1" t="s">
        <v>104</v>
      </c>
      <c r="D821" s="1" t="s">
        <v>97</v>
      </c>
      <c r="E821" s="1" t="s">
        <v>147</v>
      </c>
      <c r="F821" s="1" t="s">
        <v>159</v>
      </c>
      <c r="G821" s="1">
        <v>308</v>
      </c>
      <c r="H821" s="1">
        <v>53</v>
      </c>
      <c r="I821" s="1">
        <v>13</v>
      </c>
      <c r="J821" s="1"/>
    </row>
    <row r="822" spans="1:10" x14ac:dyDescent="0.3">
      <c r="A822" s="5">
        <v>45923</v>
      </c>
      <c r="B822" s="1" t="s">
        <v>95</v>
      </c>
      <c r="C822" s="1" t="s">
        <v>104</v>
      </c>
      <c r="D822" s="1" t="s">
        <v>99</v>
      </c>
      <c r="E822" s="1" t="s">
        <v>147</v>
      </c>
      <c r="F822" s="1" t="s">
        <v>159</v>
      </c>
      <c r="G822" s="1">
        <v>290</v>
      </c>
      <c r="H822" s="1">
        <v>56</v>
      </c>
      <c r="I822" s="1">
        <v>12</v>
      </c>
      <c r="J822" s="1"/>
    </row>
    <row r="823" spans="1:10" x14ac:dyDescent="0.3">
      <c r="A823" s="5">
        <v>45923</v>
      </c>
      <c r="B823" s="1" t="s">
        <v>95</v>
      </c>
      <c r="C823" s="1" t="s">
        <v>104</v>
      </c>
      <c r="D823" s="1" t="s">
        <v>99</v>
      </c>
      <c r="E823" s="1" t="s">
        <v>144</v>
      </c>
      <c r="F823" s="1" t="s">
        <v>159</v>
      </c>
      <c r="G823" s="1">
        <v>337</v>
      </c>
      <c r="H823" s="1">
        <v>68</v>
      </c>
      <c r="I823" s="1">
        <v>12</v>
      </c>
      <c r="J823" s="1"/>
    </row>
    <row r="824" spans="1:10" x14ac:dyDescent="0.3">
      <c r="A824" s="5">
        <v>45933</v>
      </c>
      <c r="B824" s="1" t="s">
        <v>100</v>
      </c>
      <c r="C824" s="1" t="s">
        <v>96</v>
      </c>
      <c r="D824" s="1" t="s">
        <v>109</v>
      </c>
      <c r="E824" s="1" t="s">
        <v>147</v>
      </c>
      <c r="F824" s="1" t="s">
        <v>159</v>
      </c>
      <c r="G824" s="1">
        <v>313</v>
      </c>
      <c r="H824" s="1">
        <v>58</v>
      </c>
      <c r="I824" s="1">
        <v>10</v>
      </c>
      <c r="J824" s="1"/>
    </row>
    <row r="825" spans="1:10" x14ac:dyDescent="0.3">
      <c r="A825" s="5">
        <v>45933</v>
      </c>
      <c r="B825" s="1" t="s">
        <v>100</v>
      </c>
      <c r="C825" s="1" t="s">
        <v>96</v>
      </c>
      <c r="D825" s="1" t="s">
        <v>97</v>
      </c>
      <c r="E825" s="1" t="s">
        <v>146</v>
      </c>
      <c r="F825" s="1" t="s">
        <v>159</v>
      </c>
      <c r="G825" s="1">
        <v>330</v>
      </c>
      <c r="H825" s="1">
        <v>64</v>
      </c>
      <c r="I825" s="1">
        <v>14</v>
      </c>
      <c r="J825" s="1"/>
    </row>
    <row r="826" spans="1:10" x14ac:dyDescent="0.3">
      <c r="A826" s="5">
        <v>45932</v>
      </c>
      <c r="B826" s="1" t="s">
        <v>100</v>
      </c>
      <c r="C826" s="1" t="s">
        <v>96</v>
      </c>
      <c r="D826" s="1" t="s">
        <v>101</v>
      </c>
      <c r="E826" s="1" t="s">
        <v>147</v>
      </c>
      <c r="F826" s="1" t="s">
        <v>159</v>
      </c>
      <c r="G826" s="1">
        <v>252</v>
      </c>
      <c r="H826" s="1">
        <v>50</v>
      </c>
      <c r="I826" s="1">
        <v>11</v>
      </c>
      <c r="J826" s="1"/>
    </row>
    <row r="827" spans="1:10" x14ac:dyDescent="0.3">
      <c r="A827" s="5">
        <v>45932</v>
      </c>
      <c r="B827" s="1" t="s">
        <v>100</v>
      </c>
      <c r="C827" s="1" t="s">
        <v>96</v>
      </c>
      <c r="D827" s="1" t="s">
        <v>99</v>
      </c>
      <c r="E827" s="1" t="s">
        <v>146</v>
      </c>
      <c r="F827" s="1" t="s">
        <v>159</v>
      </c>
      <c r="G827" s="1">
        <v>293</v>
      </c>
      <c r="H827" s="1">
        <v>62</v>
      </c>
      <c r="I827" s="1">
        <v>10</v>
      </c>
      <c r="J827" s="1"/>
    </row>
    <row r="828" spans="1:10" x14ac:dyDescent="0.3">
      <c r="A828" s="5">
        <v>45931</v>
      </c>
      <c r="B828" s="1" t="s">
        <v>95</v>
      </c>
      <c r="C828" s="1" t="s">
        <v>96</v>
      </c>
      <c r="D828" s="1" t="s">
        <v>97</v>
      </c>
      <c r="E828" s="1" t="s">
        <v>144</v>
      </c>
      <c r="F828" s="1" t="s">
        <v>159</v>
      </c>
      <c r="G828" s="1">
        <v>312</v>
      </c>
      <c r="H828" s="1">
        <v>61</v>
      </c>
      <c r="I828" s="1">
        <v>12</v>
      </c>
      <c r="J828" s="1"/>
    </row>
    <row r="829" spans="1:10" x14ac:dyDescent="0.3">
      <c r="A829" s="5">
        <v>45931</v>
      </c>
      <c r="B829" s="1" t="s">
        <v>95</v>
      </c>
      <c r="C829" s="1" t="s">
        <v>96</v>
      </c>
      <c r="D829" s="1" t="s">
        <v>99</v>
      </c>
      <c r="E829" s="1" t="s">
        <v>144</v>
      </c>
      <c r="F829" s="1" t="s">
        <v>159</v>
      </c>
      <c r="G829" s="1">
        <v>274</v>
      </c>
      <c r="H829" s="1">
        <v>54</v>
      </c>
      <c r="I829" s="1">
        <v>9</v>
      </c>
      <c r="J829" s="1"/>
    </row>
    <row r="830" spans="1:10" x14ac:dyDescent="0.3">
      <c r="A830" s="5">
        <v>45931</v>
      </c>
      <c r="B830" s="1" t="s">
        <v>95</v>
      </c>
      <c r="C830" s="1" t="s">
        <v>96</v>
      </c>
      <c r="D830" s="1" t="s">
        <v>99</v>
      </c>
      <c r="E830" s="1" t="s">
        <v>147</v>
      </c>
      <c r="F830" s="1" t="s">
        <v>159</v>
      </c>
      <c r="G830" s="1">
        <v>345</v>
      </c>
      <c r="H830" s="1">
        <v>67</v>
      </c>
      <c r="I830" s="1">
        <v>12</v>
      </c>
      <c r="J830" s="1"/>
    </row>
    <row r="831" spans="1:10" x14ac:dyDescent="0.3">
      <c r="A831" s="5">
        <v>45931</v>
      </c>
      <c r="B831" s="1" t="s">
        <v>100</v>
      </c>
      <c r="C831" s="1" t="s">
        <v>96</v>
      </c>
      <c r="D831" s="1" t="s">
        <v>101</v>
      </c>
      <c r="E831" s="1" t="s">
        <v>146</v>
      </c>
      <c r="F831" s="1" t="s">
        <v>159</v>
      </c>
      <c r="G831" s="1">
        <v>330</v>
      </c>
      <c r="H831" s="1">
        <v>69</v>
      </c>
      <c r="I831" s="1">
        <v>12</v>
      </c>
      <c r="J831" s="1"/>
    </row>
    <row r="832" spans="1:10" x14ac:dyDescent="0.3">
      <c r="A832" s="5">
        <v>45931</v>
      </c>
      <c r="B832" s="1" t="s">
        <v>100</v>
      </c>
      <c r="C832" s="1" t="s">
        <v>96</v>
      </c>
      <c r="D832" s="1" t="s">
        <v>109</v>
      </c>
      <c r="E832" s="1" t="s">
        <v>146</v>
      </c>
      <c r="F832" s="1" t="s">
        <v>159</v>
      </c>
      <c r="G832" s="1">
        <v>356</v>
      </c>
      <c r="H832" s="1">
        <v>68</v>
      </c>
      <c r="I832" s="1">
        <v>13</v>
      </c>
      <c r="J832" s="1"/>
    </row>
    <row r="833" spans="1:10" x14ac:dyDescent="0.3">
      <c r="A833" s="5">
        <v>45931</v>
      </c>
      <c r="B833" s="1" t="s">
        <v>100</v>
      </c>
      <c r="C833" s="1" t="s">
        <v>96</v>
      </c>
      <c r="D833" s="1" t="s">
        <v>101</v>
      </c>
      <c r="E833" s="1" t="s">
        <v>144</v>
      </c>
      <c r="F833" s="1" t="s">
        <v>159</v>
      </c>
      <c r="G833" s="1">
        <v>330</v>
      </c>
      <c r="H833" s="1">
        <v>68</v>
      </c>
      <c r="I833" s="1">
        <v>12</v>
      </c>
      <c r="J833" s="1"/>
    </row>
    <row r="834" spans="1:10" x14ac:dyDescent="0.3">
      <c r="A834" s="5">
        <v>45737</v>
      </c>
      <c r="B834" s="1" t="s">
        <v>95</v>
      </c>
      <c r="C834" s="1" t="s">
        <v>96</v>
      </c>
      <c r="D834" s="1" t="s">
        <v>97</v>
      </c>
      <c r="E834" s="1" t="s">
        <v>144</v>
      </c>
      <c r="F834" s="1" t="s">
        <v>160</v>
      </c>
      <c r="G834" s="1">
        <v>77</v>
      </c>
      <c r="H834" s="1">
        <v>21</v>
      </c>
      <c r="I834" s="1"/>
      <c r="J834" s="1" t="s">
        <v>98</v>
      </c>
    </row>
    <row r="835" spans="1:10" x14ac:dyDescent="0.3">
      <c r="A835" s="5">
        <v>45737</v>
      </c>
      <c r="B835" s="1" t="s">
        <v>95</v>
      </c>
      <c r="C835" s="1" t="s">
        <v>96</v>
      </c>
      <c r="D835" s="1" t="s">
        <v>97</v>
      </c>
      <c r="E835" s="1" t="s">
        <v>146</v>
      </c>
      <c r="F835" s="1" t="s">
        <v>160</v>
      </c>
      <c r="G835" s="1">
        <v>95</v>
      </c>
      <c r="H835" s="1">
        <v>21</v>
      </c>
      <c r="I835" s="1"/>
      <c r="J835" s="1" t="s">
        <v>98</v>
      </c>
    </row>
    <row r="836" spans="1:10" x14ac:dyDescent="0.3">
      <c r="A836" s="5">
        <v>45737</v>
      </c>
      <c r="B836" s="1" t="s">
        <v>95</v>
      </c>
      <c r="C836" s="1" t="s">
        <v>96</v>
      </c>
      <c r="D836" s="1" t="s">
        <v>99</v>
      </c>
      <c r="E836" s="1" t="s">
        <v>144</v>
      </c>
      <c r="F836" s="1" t="s">
        <v>160</v>
      </c>
      <c r="G836" s="1">
        <v>85</v>
      </c>
      <c r="H836" s="1">
        <v>23</v>
      </c>
      <c r="I836" s="1"/>
      <c r="J836" s="1" t="s">
        <v>98</v>
      </c>
    </row>
    <row r="837" spans="1:10" x14ac:dyDescent="0.3">
      <c r="A837" s="5">
        <v>45737</v>
      </c>
      <c r="B837" s="1" t="s">
        <v>95</v>
      </c>
      <c r="C837" s="1" t="s">
        <v>96</v>
      </c>
      <c r="D837" s="1" t="s">
        <v>97</v>
      </c>
      <c r="E837" s="1" t="s">
        <v>147</v>
      </c>
      <c r="F837" s="1" t="s">
        <v>160</v>
      </c>
      <c r="G837" s="1">
        <v>85</v>
      </c>
      <c r="H837" s="1">
        <v>23</v>
      </c>
      <c r="I837" s="1"/>
      <c r="J837" s="1" t="s">
        <v>98</v>
      </c>
    </row>
    <row r="838" spans="1:10" x14ac:dyDescent="0.3">
      <c r="A838" s="5">
        <v>45737</v>
      </c>
      <c r="B838" s="1" t="s">
        <v>100</v>
      </c>
      <c r="C838" s="1" t="s">
        <v>96</v>
      </c>
      <c r="D838" s="1" t="s">
        <v>101</v>
      </c>
      <c r="E838" s="1" t="s">
        <v>146</v>
      </c>
      <c r="F838" s="1" t="s">
        <v>160</v>
      </c>
      <c r="G838" s="1">
        <v>110</v>
      </c>
      <c r="H838" s="1">
        <v>25</v>
      </c>
      <c r="I838" s="1"/>
      <c r="J838" s="1" t="s">
        <v>102</v>
      </c>
    </row>
    <row r="839" spans="1:10" x14ac:dyDescent="0.3">
      <c r="A839" s="5">
        <v>45737</v>
      </c>
      <c r="B839" s="1" t="s">
        <v>100</v>
      </c>
      <c r="C839" s="1" t="s">
        <v>96</v>
      </c>
      <c r="D839" s="1" t="s">
        <v>99</v>
      </c>
      <c r="E839" s="1" t="s">
        <v>146</v>
      </c>
      <c r="F839" s="1" t="s">
        <v>160</v>
      </c>
      <c r="G839" s="1">
        <v>85</v>
      </c>
      <c r="H839" s="1">
        <v>26</v>
      </c>
      <c r="I839" s="1"/>
      <c r="J839" s="1" t="s">
        <v>103</v>
      </c>
    </row>
    <row r="840" spans="1:10" x14ac:dyDescent="0.3">
      <c r="A840" s="5">
        <v>45737</v>
      </c>
      <c r="B840" s="1" t="s">
        <v>100</v>
      </c>
      <c r="C840" s="1" t="s">
        <v>96</v>
      </c>
      <c r="D840" s="1" t="s">
        <v>97</v>
      </c>
      <c r="E840" s="1" t="s">
        <v>146</v>
      </c>
      <c r="F840" s="1" t="s">
        <v>160</v>
      </c>
      <c r="G840" s="1">
        <v>97</v>
      </c>
      <c r="H840" s="1">
        <v>23</v>
      </c>
      <c r="I840" s="1"/>
      <c r="J840" s="1" t="s">
        <v>102</v>
      </c>
    </row>
    <row r="841" spans="1:10" x14ac:dyDescent="0.3">
      <c r="A841" s="5">
        <v>45737</v>
      </c>
      <c r="B841" s="1" t="s">
        <v>100</v>
      </c>
      <c r="C841" s="1" t="s">
        <v>96</v>
      </c>
      <c r="D841" s="1" t="s">
        <v>101</v>
      </c>
      <c r="E841" s="1" t="s">
        <v>144</v>
      </c>
      <c r="F841" s="1" t="s">
        <v>160</v>
      </c>
      <c r="G841" s="1">
        <v>85</v>
      </c>
      <c r="H841" s="1">
        <v>24</v>
      </c>
      <c r="I841" s="1"/>
      <c r="J841" s="1" t="s">
        <v>102</v>
      </c>
    </row>
    <row r="842" spans="1:10" x14ac:dyDescent="0.3">
      <c r="A842" s="5">
        <v>45729</v>
      </c>
      <c r="B842" s="1" t="s">
        <v>95</v>
      </c>
      <c r="C842" s="1" t="s">
        <v>104</v>
      </c>
      <c r="D842" s="1" t="s">
        <v>101</v>
      </c>
      <c r="E842" s="1" t="s">
        <v>144</v>
      </c>
      <c r="F842" s="1" t="s">
        <v>160</v>
      </c>
      <c r="G842" s="1">
        <v>70</v>
      </c>
      <c r="H842" s="1">
        <v>16</v>
      </c>
      <c r="I842" s="1"/>
      <c r="J842" s="1" t="s">
        <v>103</v>
      </c>
    </row>
    <row r="843" spans="1:10" x14ac:dyDescent="0.3">
      <c r="A843" s="5">
        <v>45729</v>
      </c>
      <c r="B843" s="1" t="s">
        <v>95</v>
      </c>
      <c r="C843" s="1" t="s">
        <v>104</v>
      </c>
      <c r="D843" s="1" t="s">
        <v>97</v>
      </c>
      <c r="E843" s="1" t="s">
        <v>146</v>
      </c>
      <c r="F843" s="1" t="s">
        <v>160</v>
      </c>
      <c r="G843" s="1">
        <v>75</v>
      </c>
      <c r="H843" s="1">
        <v>17</v>
      </c>
      <c r="I843" s="1"/>
      <c r="J843" s="1" t="s">
        <v>103</v>
      </c>
    </row>
    <row r="844" spans="1:10" x14ac:dyDescent="0.3">
      <c r="A844" s="5">
        <v>45729</v>
      </c>
      <c r="B844" s="1" t="s">
        <v>95</v>
      </c>
      <c r="C844" s="1" t="s">
        <v>104</v>
      </c>
      <c r="D844" s="1" t="s">
        <v>101</v>
      </c>
      <c r="E844" s="1" t="s">
        <v>146</v>
      </c>
      <c r="F844" s="1" t="s">
        <v>160</v>
      </c>
      <c r="G844" s="1">
        <v>72</v>
      </c>
      <c r="H844" s="1">
        <v>17</v>
      </c>
      <c r="I844" s="1"/>
      <c r="J844" s="1" t="s">
        <v>103</v>
      </c>
    </row>
    <row r="845" spans="1:10" x14ac:dyDescent="0.3">
      <c r="A845" s="5">
        <v>45729</v>
      </c>
      <c r="B845" s="1" t="s">
        <v>95</v>
      </c>
      <c r="C845" s="1" t="s">
        <v>104</v>
      </c>
      <c r="D845" s="1" t="s">
        <v>99</v>
      </c>
      <c r="E845" s="1" t="s">
        <v>144</v>
      </c>
      <c r="F845" s="1" t="s">
        <v>160</v>
      </c>
      <c r="G845" s="1">
        <v>96</v>
      </c>
      <c r="H845" s="1">
        <v>18</v>
      </c>
      <c r="I845" s="1"/>
      <c r="J845" s="1" t="s">
        <v>103</v>
      </c>
    </row>
    <row r="846" spans="1:10" x14ac:dyDescent="0.3">
      <c r="A846" s="5">
        <v>45729</v>
      </c>
      <c r="B846" s="1" t="s">
        <v>100</v>
      </c>
      <c r="C846" s="1" t="s">
        <v>104</v>
      </c>
      <c r="D846" s="1" t="s">
        <v>97</v>
      </c>
      <c r="E846" s="1" t="s">
        <v>147</v>
      </c>
      <c r="F846" s="1" t="s">
        <v>160</v>
      </c>
      <c r="G846" s="1">
        <v>89</v>
      </c>
      <c r="H846" s="1">
        <v>24</v>
      </c>
      <c r="I846" s="1"/>
      <c r="J846" s="1" t="s">
        <v>102</v>
      </c>
    </row>
    <row r="847" spans="1:10" x14ac:dyDescent="0.3">
      <c r="A847" s="5">
        <v>45729</v>
      </c>
      <c r="B847" s="1" t="s">
        <v>100</v>
      </c>
      <c r="C847" s="1" t="s">
        <v>104</v>
      </c>
      <c r="D847" s="1" t="s">
        <v>109</v>
      </c>
      <c r="E847" s="1" t="s">
        <v>144</v>
      </c>
      <c r="F847" s="1" t="s">
        <v>160</v>
      </c>
      <c r="G847" s="1">
        <v>98</v>
      </c>
      <c r="H847" s="1">
        <v>27</v>
      </c>
      <c r="I847" s="1"/>
      <c r="J847" s="1" t="s">
        <v>102</v>
      </c>
    </row>
    <row r="848" spans="1:10" x14ac:dyDescent="0.3">
      <c r="A848" s="5">
        <v>45729</v>
      </c>
      <c r="B848" s="1" t="s">
        <v>100</v>
      </c>
      <c r="C848" s="1" t="s">
        <v>104</v>
      </c>
      <c r="D848" s="1" t="s">
        <v>99</v>
      </c>
      <c r="E848" s="1" t="s">
        <v>147</v>
      </c>
      <c r="F848" s="1" t="s">
        <v>160</v>
      </c>
      <c r="G848" s="1">
        <v>100</v>
      </c>
      <c r="H848" s="1">
        <v>28</v>
      </c>
      <c r="I848" s="1"/>
      <c r="J848" s="1" t="s">
        <v>102</v>
      </c>
    </row>
    <row r="849" spans="1:10" x14ac:dyDescent="0.3">
      <c r="A849" s="5">
        <v>45729</v>
      </c>
      <c r="B849" s="1" t="s">
        <v>100</v>
      </c>
      <c r="C849" s="1" t="s">
        <v>104</v>
      </c>
      <c r="D849" s="1" t="s">
        <v>97</v>
      </c>
      <c r="E849" s="1" t="s">
        <v>144</v>
      </c>
      <c r="F849" s="1" t="s">
        <v>160</v>
      </c>
      <c r="G849" s="1">
        <v>100</v>
      </c>
      <c r="H849" s="1">
        <v>27</v>
      </c>
      <c r="I849" s="1"/>
      <c r="J849" s="1" t="s">
        <v>102</v>
      </c>
    </row>
    <row r="850" spans="1:10" x14ac:dyDescent="0.3">
      <c r="A850" s="5">
        <v>45835</v>
      </c>
      <c r="B850" s="1" t="s">
        <v>95</v>
      </c>
      <c r="C850" s="1" t="s">
        <v>96</v>
      </c>
      <c r="D850" s="1" t="s">
        <v>99</v>
      </c>
      <c r="E850" s="1" t="s">
        <v>146</v>
      </c>
      <c r="F850" s="1" t="s">
        <v>160</v>
      </c>
      <c r="G850" s="1">
        <v>210</v>
      </c>
      <c r="H850" s="1">
        <v>41</v>
      </c>
      <c r="I850" s="1">
        <v>7.8</v>
      </c>
      <c r="J850" s="1"/>
    </row>
    <row r="851" spans="1:10" x14ac:dyDescent="0.3">
      <c r="A851" s="5">
        <v>45835</v>
      </c>
      <c r="B851" s="1" t="s">
        <v>95</v>
      </c>
      <c r="C851" s="1" t="s">
        <v>96</v>
      </c>
      <c r="D851" s="1" t="s">
        <v>97</v>
      </c>
      <c r="E851" s="1" t="s">
        <v>146</v>
      </c>
      <c r="F851" s="1" t="s">
        <v>160</v>
      </c>
      <c r="G851" s="1">
        <v>275</v>
      </c>
      <c r="H851" s="1">
        <v>45</v>
      </c>
      <c r="I851" s="1">
        <v>7</v>
      </c>
      <c r="J851" s="1"/>
    </row>
    <row r="852" spans="1:10" x14ac:dyDescent="0.3">
      <c r="A852" s="5">
        <v>45835</v>
      </c>
      <c r="B852" s="1" t="s">
        <v>95</v>
      </c>
      <c r="C852" s="1" t="s">
        <v>96</v>
      </c>
      <c r="D852" s="1" t="s">
        <v>101</v>
      </c>
      <c r="E852" s="1" t="s">
        <v>146</v>
      </c>
      <c r="F852" s="1" t="s">
        <v>160</v>
      </c>
      <c r="G852" s="1">
        <v>215</v>
      </c>
      <c r="H852" s="1">
        <v>39</v>
      </c>
      <c r="I852" s="1">
        <v>6.6</v>
      </c>
      <c r="J852" s="1"/>
    </row>
    <row r="853" spans="1:10" x14ac:dyDescent="0.3">
      <c r="A853" s="5">
        <v>45835</v>
      </c>
      <c r="B853" s="1" t="s">
        <v>95</v>
      </c>
      <c r="C853" s="1" t="s">
        <v>96</v>
      </c>
      <c r="D853" s="1" t="s">
        <v>109</v>
      </c>
      <c r="E853" s="1" t="s">
        <v>146</v>
      </c>
      <c r="F853" s="1" t="s">
        <v>160</v>
      </c>
      <c r="G853" s="1">
        <v>225</v>
      </c>
      <c r="H853" s="1">
        <v>41</v>
      </c>
      <c r="I853" s="1">
        <v>8</v>
      </c>
      <c r="J853" s="1"/>
    </row>
    <row r="854" spans="1:10" x14ac:dyDescent="0.3">
      <c r="A854" s="5">
        <v>45835</v>
      </c>
      <c r="B854" s="1" t="s">
        <v>95</v>
      </c>
      <c r="C854" s="1" t="s">
        <v>96</v>
      </c>
      <c r="D854" s="1" t="s">
        <v>109</v>
      </c>
      <c r="E854" s="1" t="s">
        <v>144</v>
      </c>
      <c r="F854" s="1" t="s">
        <v>160</v>
      </c>
      <c r="G854" s="1">
        <v>207</v>
      </c>
      <c r="H854" s="1">
        <v>41</v>
      </c>
      <c r="I854" s="1">
        <v>8.4</v>
      </c>
      <c r="J854" s="1"/>
    </row>
    <row r="855" spans="1:10" x14ac:dyDescent="0.3">
      <c r="A855" s="5">
        <v>45835</v>
      </c>
      <c r="B855" s="1" t="s">
        <v>95</v>
      </c>
      <c r="C855" s="1" t="s">
        <v>96</v>
      </c>
      <c r="D855" s="1" t="s">
        <v>101</v>
      </c>
      <c r="E855" s="1" t="s">
        <v>144</v>
      </c>
      <c r="F855" s="1" t="s">
        <v>160</v>
      </c>
      <c r="G855" s="1">
        <v>248</v>
      </c>
      <c r="H855" s="1">
        <v>45</v>
      </c>
      <c r="I855" s="1">
        <v>10.199999999999999</v>
      </c>
      <c r="J855" s="1"/>
    </row>
    <row r="856" spans="1:10" x14ac:dyDescent="0.3">
      <c r="A856" s="5">
        <v>45835</v>
      </c>
      <c r="B856" s="1" t="s">
        <v>100</v>
      </c>
      <c r="C856" s="1" t="s">
        <v>96</v>
      </c>
      <c r="D856" s="1" t="s">
        <v>101</v>
      </c>
      <c r="E856" s="1" t="s">
        <v>147</v>
      </c>
      <c r="F856" s="1" t="s">
        <v>160</v>
      </c>
      <c r="G856" s="1">
        <v>190</v>
      </c>
      <c r="H856" s="1">
        <v>39</v>
      </c>
      <c r="I856" s="1">
        <v>0.25555555555555559</v>
      </c>
      <c r="J856" s="1"/>
    </row>
    <row r="857" spans="1:10" x14ac:dyDescent="0.3">
      <c r="A857" s="5">
        <v>45835</v>
      </c>
      <c r="B857" s="1" t="s">
        <v>100</v>
      </c>
      <c r="C857" s="1"/>
      <c r="D857" s="1" t="s">
        <v>109</v>
      </c>
      <c r="E857" s="1" t="s">
        <v>147</v>
      </c>
      <c r="F857" s="1" t="s">
        <v>160</v>
      </c>
      <c r="G857" s="1">
        <v>157</v>
      </c>
      <c r="H857" s="1">
        <v>12.29305555555556</v>
      </c>
      <c r="I857" s="1"/>
      <c r="J857" s="1"/>
    </row>
    <row r="858" spans="1:10" x14ac:dyDescent="0.3">
      <c r="A858" s="5">
        <v>45835</v>
      </c>
      <c r="B858" s="1" t="s">
        <v>100</v>
      </c>
      <c r="C858" s="1" t="s">
        <v>96</v>
      </c>
      <c r="D858" s="1" t="s">
        <v>99</v>
      </c>
      <c r="E858" s="1" t="s">
        <v>144</v>
      </c>
      <c r="F858" s="1" t="s">
        <v>160</v>
      </c>
      <c r="G858" s="1">
        <v>185</v>
      </c>
      <c r="H858" s="1">
        <v>35</v>
      </c>
      <c r="I858" s="1">
        <v>9</v>
      </c>
      <c r="J858" s="1"/>
    </row>
    <row r="859" spans="1:10" x14ac:dyDescent="0.3">
      <c r="A859" s="5">
        <v>45835</v>
      </c>
      <c r="B859" s="1" t="s">
        <v>100</v>
      </c>
      <c r="C859" s="1" t="s">
        <v>96</v>
      </c>
      <c r="D859" s="1" t="s">
        <v>97</v>
      </c>
      <c r="E859" s="1" t="s">
        <v>144</v>
      </c>
      <c r="F859" s="1" t="s">
        <v>160</v>
      </c>
      <c r="G859" s="1">
        <v>183</v>
      </c>
      <c r="H859" s="1">
        <v>38</v>
      </c>
      <c r="I859" s="1">
        <v>0.25138888888888888</v>
      </c>
      <c r="J859" s="1"/>
    </row>
    <row r="860" spans="1:10" x14ac:dyDescent="0.3">
      <c r="A860" s="5">
        <v>45835</v>
      </c>
      <c r="B860" s="1" t="s">
        <v>100</v>
      </c>
      <c r="C860" s="1" t="s">
        <v>96</v>
      </c>
      <c r="D860" s="1" t="s">
        <v>99</v>
      </c>
      <c r="E860" s="1" t="s">
        <v>147</v>
      </c>
      <c r="F860" s="1" t="s">
        <v>160</v>
      </c>
      <c r="G860" s="1">
        <v>240</v>
      </c>
      <c r="H860" s="1">
        <v>46</v>
      </c>
      <c r="I860" s="1">
        <v>8</v>
      </c>
      <c r="J860" s="1"/>
    </row>
    <row r="861" spans="1:10" x14ac:dyDescent="0.3">
      <c r="A861" s="5">
        <v>45835</v>
      </c>
      <c r="B861" s="1" t="s">
        <v>100</v>
      </c>
      <c r="C861" s="1" t="s">
        <v>96</v>
      </c>
      <c r="D861" s="1" t="s">
        <v>97</v>
      </c>
      <c r="E861" s="1" t="s">
        <v>147</v>
      </c>
      <c r="F861" s="1" t="s">
        <v>160</v>
      </c>
      <c r="G861" s="1">
        <v>215</v>
      </c>
      <c r="H861" s="1">
        <v>43</v>
      </c>
      <c r="I861" s="1">
        <v>0.29722222222222222</v>
      </c>
      <c r="J861" s="1" t="s">
        <v>113</v>
      </c>
    </row>
    <row r="862" spans="1:10" x14ac:dyDescent="0.3">
      <c r="A862" s="5">
        <v>45834</v>
      </c>
      <c r="B862" s="1" t="s">
        <v>114</v>
      </c>
      <c r="C862" s="1" t="s">
        <v>104</v>
      </c>
      <c r="D862" s="1" t="s">
        <v>101</v>
      </c>
      <c r="E862" s="1" t="s">
        <v>146</v>
      </c>
      <c r="F862" s="1" t="s">
        <v>160</v>
      </c>
      <c r="G862" s="1">
        <v>198</v>
      </c>
      <c r="H862" s="1">
        <v>36</v>
      </c>
      <c r="I862" s="1">
        <v>8</v>
      </c>
      <c r="J862" s="1"/>
    </row>
    <row r="863" spans="1:10" x14ac:dyDescent="0.3">
      <c r="A863" s="5">
        <v>45834</v>
      </c>
      <c r="B863" s="1" t="s">
        <v>114</v>
      </c>
      <c r="C863" s="1" t="s">
        <v>104</v>
      </c>
      <c r="D863" s="1" t="s">
        <v>97</v>
      </c>
      <c r="E863" s="1" t="s">
        <v>146</v>
      </c>
      <c r="F863" s="1" t="s">
        <v>160</v>
      </c>
      <c r="G863" s="1">
        <v>195</v>
      </c>
      <c r="H863" s="1">
        <v>36</v>
      </c>
      <c r="I863" s="1">
        <v>8</v>
      </c>
      <c r="J863" s="1"/>
    </row>
    <row r="864" spans="1:10" x14ac:dyDescent="0.3">
      <c r="A864" s="5">
        <v>45834</v>
      </c>
      <c r="B864" s="1" t="s">
        <v>95</v>
      </c>
      <c r="C864" s="1" t="s">
        <v>104</v>
      </c>
      <c r="D864" s="1" t="s">
        <v>99</v>
      </c>
      <c r="E864" s="1" t="s">
        <v>147</v>
      </c>
      <c r="F864" s="1" t="s">
        <v>160</v>
      </c>
      <c r="G864" s="1">
        <v>235</v>
      </c>
      <c r="H864" s="1">
        <v>42</v>
      </c>
      <c r="I864" s="1">
        <v>8</v>
      </c>
      <c r="J864" s="1"/>
    </row>
    <row r="865" spans="1:10" x14ac:dyDescent="0.3">
      <c r="A865" s="5">
        <v>45834</v>
      </c>
      <c r="B865" s="1" t="s">
        <v>95</v>
      </c>
      <c r="C865" s="1" t="s">
        <v>104</v>
      </c>
      <c r="D865" s="1" t="s">
        <v>97</v>
      </c>
      <c r="E865" s="1" t="s">
        <v>144</v>
      </c>
      <c r="F865" s="1" t="s">
        <v>160</v>
      </c>
      <c r="G865" s="1">
        <v>230</v>
      </c>
      <c r="H865" s="1">
        <v>40</v>
      </c>
      <c r="I865" s="1">
        <v>7</v>
      </c>
      <c r="J865" s="1"/>
    </row>
    <row r="866" spans="1:10" x14ac:dyDescent="0.3">
      <c r="A866" s="5">
        <v>45834</v>
      </c>
      <c r="B866" s="1" t="s">
        <v>95</v>
      </c>
      <c r="C866" s="1" t="s">
        <v>104</v>
      </c>
      <c r="D866" s="1" t="s">
        <v>109</v>
      </c>
      <c r="E866" s="1" t="s">
        <v>146</v>
      </c>
      <c r="F866" s="1" t="s">
        <v>160</v>
      </c>
      <c r="G866" s="1">
        <v>232</v>
      </c>
      <c r="H866" s="1">
        <v>42</v>
      </c>
      <c r="I866" s="1">
        <v>8</v>
      </c>
      <c r="J866" s="1"/>
    </row>
    <row r="867" spans="1:10" x14ac:dyDescent="0.3">
      <c r="A867" s="5">
        <v>45834</v>
      </c>
      <c r="B867" s="1" t="s">
        <v>95</v>
      </c>
      <c r="C867" s="1" t="s">
        <v>104</v>
      </c>
      <c r="D867" s="1" t="s">
        <v>99</v>
      </c>
      <c r="E867" s="1" t="s">
        <v>146</v>
      </c>
      <c r="F867" s="1" t="s">
        <v>160</v>
      </c>
      <c r="G867" s="1">
        <v>210</v>
      </c>
      <c r="H867" s="1">
        <v>37</v>
      </c>
      <c r="I867" s="1">
        <v>7</v>
      </c>
      <c r="J867" s="1"/>
    </row>
    <row r="868" spans="1:10" x14ac:dyDescent="0.3">
      <c r="A868" s="5">
        <v>45834</v>
      </c>
      <c r="B868" s="1" t="s">
        <v>95</v>
      </c>
      <c r="C868" s="1" t="s">
        <v>104</v>
      </c>
      <c r="D868" s="1" t="s">
        <v>101</v>
      </c>
      <c r="E868" s="1" t="s">
        <v>147</v>
      </c>
      <c r="F868" s="1" t="s">
        <v>160</v>
      </c>
      <c r="G868" s="1">
        <v>230</v>
      </c>
      <c r="H868" s="1">
        <v>45</v>
      </c>
      <c r="I868" s="1">
        <v>8</v>
      </c>
      <c r="J868" s="1"/>
    </row>
    <row r="869" spans="1:10" x14ac:dyDescent="0.3">
      <c r="A869" s="5">
        <v>45834</v>
      </c>
      <c r="B869" s="1" t="s">
        <v>100</v>
      </c>
      <c r="C869" s="1" t="s">
        <v>104</v>
      </c>
      <c r="D869" s="1" t="s">
        <v>109</v>
      </c>
      <c r="E869" s="1" t="s">
        <v>144</v>
      </c>
      <c r="F869" s="1" t="s">
        <v>160</v>
      </c>
      <c r="G869" s="1">
        <v>210</v>
      </c>
      <c r="H869" s="1">
        <v>42</v>
      </c>
      <c r="I869" s="1">
        <v>7</v>
      </c>
      <c r="J869" s="1"/>
    </row>
    <row r="870" spans="1:10" x14ac:dyDescent="0.3">
      <c r="A870" s="5">
        <v>45834</v>
      </c>
      <c r="B870" s="1" t="s">
        <v>100</v>
      </c>
      <c r="C870" s="1" t="s">
        <v>104</v>
      </c>
      <c r="D870" s="1" t="s">
        <v>99</v>
      </c>
      <c r="E870" s="1" t="s">
        <v>144</v>
      </c>
      <c r="F870" s="1" t="s">
        <v>160</v>
      </c>
      <c r="G870" s="1">
        <v>248</v>
      </c>
      <c r="H870" s="1">
        <v>41</v>
      </c>
      <c r="I870" s="1">
        <v>8</v>
      </c>
      <c r="J870" s="1" t="s">
        <v>113</v>
      </c>
    </row>
    <row r="871" spans="1:10" x14ac:dyDescent="0.3">
      <c r="A871" s="5">
        <v>45834</v>
      </c>
      <c r="B871" s="1" t="s">
        <v>100</v>
      </c>
      <c r="C871" s="1" t="s">
        <v>104</v>
      </c>
      <c r="D871" s="1" t="s">
        <v>101</v>
      </c>
      <c r="E871" s="1" t="s">
        <v>144</v>
      </c>
      <c r="F871" s="1" t="s">
        <v>160</v>
      </c>
      <c r="G871" s="1">
        <v>157</v>
      </c>
      <c r="H871" s="1">
        <v>26</v>
      </c>
      <c r="I871" s="1">
        <v>0.46388888888888891</v>
      </c>
      <c r="J871" s="1" t="s">
        <v>113</v>
      </c>
    </row>
    <row r="872" spans="1:10" x14ac:dyDescent="0.3">
      <c r="A872" s="5">
        <v>45834</v>
      </c>
      <c r="B872" s="1" t="s">
        <v>100</v>
      </c>
      <c r="C872" s="1" t="s">
        <v>104</v>
      </c>
      <c r="D872" s="1" t="s">
        <v>97</v>
      </c>
      <c r="E872" s="1" t="s">
        <v>147</v>
      </c>
      <c r="F872" s="1" t="s">
        <v>160</v>
      </c>
      <c r="G872" s="1">
        <v>252</v>
      </c>
      <c r="H872" s="1">
        <v>50</v>
      </c>
      <c r="I872" s="1">
        <v>9</v>
      </c>
      <c r="J872" s="1" t="s">
        <v>113</v>
      </c>
    </row>
    <row r="873" spans="1:10" x14ac:dyDescent="0.3">
      <c r="A873" s="5">
        <v>45834</v>
      </c>
      <c r="B873" s="1" t="s">
        <v>100</v>
      </c>
      <c r="C873" s="1" t="s">
        <v>104</v>
      </c>
      <c r="D873" s="1" t="s">
        <v>109</v>
      </c>
      <c r="E873" s="1" t="s">
        <v>147</v>
      </c>
      <c r="F873" s="1" t="s">
        <v>160</v>
      </c>
      <c r="G873" s="1">
        <v>190</v>
      </c>
      <c r="H873" s="1">
        <v>36</v>
      </c>
      <c r="I873" s="1">
        <v>0.38055555555555548</v>
      </c>
      <c r="J873" s="1" t="s">
        <v>113</v>
      </c>
    </row>
    <row r="874" spans="1:10" x14ac:dyDescent="0.3">
      <c r="A874" s="5">
        <v>45930</v>
      </c>
      <c r="B874" s="1" t="s">
        <v>100</v>
      </c>
      <c r="C874" s="1" t="s">
        <v>96</v>
      </c>
      <c r="D874" s="1" t="s">
        <v>109</v>
      </c>
      <c r="E874" s="1" t="s">
        <v>144</v>
      </c>
      <c r="F874" s="1" t="s">
        <v>160</v>
      </c>
      <c r="G874" s="1">
        <v>290</v>
      </c>
      <c r="H874" s="1">
        <v>62</v>
      </c>
      <c r="I874" s="1">
        <v>13</v>
      </c>
      <c r="J874" s="1"/>
    </row>
    <row r="875" spans="1:10" x14ac:dyDescent="0.3">
      <c r="A875" s="5">
        <v>45930</v>
      </c>
      <c r="B875" s="1" t="s">
        <v>100</v>
      </c>
      <c r="C875" s="1" t="s">
        <v>96</v>
      </c>
      <c r="D875" s="1" t="s">
        <v>97</v>
      </c>
      <c r="E875" s="1" t="s">
        <v>147</v>
      </c>
      <c r="F875" s="1" t="s">
        <v>160</v>
      </c>
      <c r="G875" s="1">
        <v>280</v>
      </c>
      <c r="H875" s="1">
        <v>58</v>
      </c>
      <c r="I875" s="1">
        <v>11</v>
      </c>
      <c r="J875" s="1"/>
    </row>
    <row r="876" spans="1:10" x14ac:dyDescent="0.3">
      <c r="A876" s="5">
        <v>45925</v>
      </c>
      <c r="B876" s="1" t="s">
        <v>100</v>
      </c>
      <c r="C876" s="1" t="s">
        <v>104</v>
      </c>
      <c r="D876" s="1" t="s">
        <v>101</v>
      </c>
      <c r="E876" s="1" t="s">
        <v>147</v>
      </c>
      <c r="F876" s="1" t="s">
        <v>160</v>
      </c>
      <c r="G876" s="1">
        <v>265</v>
      </c>
      <c r="H876" s="1">
        <v>57</v>
      </c>
      <c r="I876" s="1">
        <v>12</v>
      </c>
      <c r="J876" s="1"/>
    </row>
    <row r="877" spans="1:10" x14ac:dyDescent="0.3">
      <c r="A877" s="5">
        <v>45925</v>
      </c>
      <c r="B877" s="1" t="s">
        <v>100</v>
      </c>
      <c r="C877" s="1" t="s">
        <v>104</v>
      </c>
      <c r="D877" s="1" t="s">
        <v>97</v>
      </c>
      <c r="E877" s="1" t="s">
        <v>146</v>
      </c>
      <c r="F877" s="1" t="s">
        <v>160</v>
      </c>
      <c r="G877" s="1">
        <v>278</v>
      </c>
      <c r="H877" s="1">
        <v>57</v>
      </c>
      <c r="I877" s="1">
        <v>12</v>
      </c>
      <c r="J877" s="1"/>
    </row>
    <row r="878" spans="1:10" x14ac:dyDescent="0.3">
      <c r="A878" s="5">
        <v>45925</v>
      </c>
      <c r="B878" s="1" t="s">
        <v>100</v>
      </c>
      <c r="C878" s="1" t="s">
        <v>104</v>
      </c>
      <c r="D878" s="1" t="s">
        <v>101</v>
      </c>
      <c r="E878" s="1" t="s">
        <v>146</v>
      </c>
      <c r="F878" s="1" t="s">
        <v>160</v>
      </c>
      <c r="G878" s="1">
        <v>262</v>
      </c>
      <c r="H878" s="1">
        <v>57</v>
      </c>
      <c r="I878" s="1">
        <v>12</v>
      </c>
      <c r="J878" s="1"/>
    </row>
    <row r="879" spans="1:10" x14ac:dyDescent="0.3">
      <c r="A879" s="5">
        <v>45925</v>
      </c>
      <c r="B879" s="1" t="s">
        <v>95</v>
      </c>
      <c r="C879" s="1" t="s">
        <v>104</v>
      </c>
      <c r="D879" s="1" t="s">
        <v>99</v>
      </c>
      <c r="E879" s="1" t="s">
        <v>146</v>
      </c>
      <c r="F879" s="1" t="s">
        <v>160</v>
      </c>
      <c r="G879" s="1">
        <v>320</v>
      </c>
      <c r="H879" s="1">
        <v>60</v>
      </c>
      <c r="I879" s="1">
        <v>13</v>
      </c>
      <c r="J879" s="1"/>
    </row>
    <row r="880" spans="1:10" x14ac:dyDescent="0.3">
      <c r="A880" s="5">
        <v>45925</v>
      </c>
      <c r="B880" s="1" t="s">
        <v>95</v>
      </c>
      <c r="C880" s="1" t="s">
        <v>104</v>
      </c>
      <c r="D880" s="1" t="s">
        <v>109</v>
      </c>
      <c r="E880" s="1" t="s">
        <v>147</v>
      </c>
      <c r="F880" s="1" t="s">
        <v>160</v>
      </c>
      <c r="G880" s="1">
        <v>295</v>
      </c>
      <c r="H880" s="1">
        <v>55</v>
      </c>
      <c r="I880" s="1">
        <v>10</v>
      </c>
      <c r="J880" s="1"/>
    </row>
    <row r="881" spans="1:10" x14ac:dyDescent="0.3">
      <c r="A881" s="5">
        <v>45925</v>
      </c>
      <c r="B881" s="1" t="s">
        <v>95</v>
      </c>
      <c r="C881" s="1" t="s">
        <v>104</v>
      </c>
      <c r="D881" s="1" t="s">
        <v>97</v>
      </c>
      <c r="E881" s="1" t="s">
        <v>144</v>
      </c>
      <c r="F881" s="1" t="s">
        <v>160</v>
      </c>
      <c r="G881" s="1">
        <v>350</v>
      </c>
      <c r="H881" s="1">
        <v>60</v>
      </c>
      <c r="I881" s="1">
        <v>13</v>
      </c>
      <c r="J881" s="1"/>
    </row>
    <row r="882" spans="1:10" x14ac:dyDescent="0.3">
      <c r="A882" s="5">
        <v>45923</v>
      </c>
      <c r="B882" s="1" t="s">
        <v>100</v>
      </c>
      <c r="C882" s="1" t="s">
        <v>104</v>
      </c>
      <c r="D882" s="1" t="s">
        <v>101</v>
      </c>
      <c r="E882" s="1" t="s">
        <v>144</v>
      </c>
      <c r="F882" s="1" t="s">
        <v>160</v>
      </c>
      <c r="G882" s="1">
        <v>242</v>
      </c>
      <c r="H882" s="1">
        <v>42</v>
      </c>
      <c r="I882" s="1">
        <v>12</v>
      </c>
      <c r="J882" s="1"/>
    </row>
    <row r="883" spans="1:10" x14ac:dyDescent="0.3">
      <c r="A883" s="5">
        <v>45923</v>
      </c>
      <c r="B883" s="1" t="s">
        <v>100</v>
      </c>
      <c r="C883" s="1" t="s">
        <v>104</v>
      </c>
      <c r="D883" s="1" t="s">
        <v>109</v>
      </c>
      <c r="E883" s="1" t="s">
        <v>144</v>
      </c>
      <c r="F883" s="1" t="s">
        <v>160</v>
      </c>
      <c r="G883" s="1">
        <v>301</v>
      </c>
      <c r="H883" s="1">
        <v>60</v>
      </c>
      <c r="I883" s="1">
        <v>13</v>
      </c>
      <c r="J883" s="1"/>
    </row>
    <row r="884" spans="1:10" x14ac:dyDescent="0.3">
      <c r="A884" s="5">
        <v>45923</v>
      </c>
      <c r="B884" s="1" t="s">
        <v>100</v>
      </c>
      <c r="C884" s="1" t="s">
        <v>104</v>
      </c>
      <c r="D884" s="1" t="s">
        <v>109</v>
      </c>
      <c r="E884" s="1" t="s">
        <v>146</v>
      </c>
      <c r="F884" s="1" t="s">
        <v>160</v>
      </c>
      <c r="G884" s="1">
        <v>305</v>
      </c>
      <c r="H884" s="1">
        <v>60</v>
      </c>
      <c r="I884" s="1">
        <v>14</v>
      </c>
      <c r="J884" s="1" t="s">
        <v>121</v>
      </c>
    </row>
    <row r="885" spans="1:10" x14ac:dyDescent="0.3">
      <c r="A885" s="5">
        <v>45923</v>
      </c>
      <c r="B885" s="1" t="s">
        <v>95</v>
      </c>
      <c r="C885" s="1" t="s">
        <v>104</v>
      </c>
      <c r="D885" s="1" t="s">
        <v>97</v>
      </c>
      <c r="E885" s="1" t="s">
        <v>147</v>
      </c>
      <c r="F885" s="1" t="s">
        <v>160</v>
      </c>
      <c r="G885" s="1">
        <v>332</v>
      </c>
      <c r="H885" s="1">
        <v>61</v>
      </c>
      <c r="I885" s="1">
        <v>14</v>
      </c>
      <c r="J885" s="1"/>
    </row>
    <row r="886" spans="1:10" x14ac:dyDescent="0.3">
      <c r="A886" s="5">
        <v>45923</v>
      </c>
      <c r="B886" s="1" t="s">
        <v>95</v>
      </c>
      <c r="C886" s="1" t="s">
        <v>104</v>
      </c>
      <c r="D886" s="1" t="s">
        <v>99</v>
      </c>
      <c r="E886" s="1" t="s">
        <v>147</v>
      </c>
      <c r="F886" s="1" t="s">
        <v>160</v>
      </c>
      <c r="G886" s="1">
        <v>290</v>
      </c>
      <c r="H886" s="1">
        <v>53</v>
      </c>
      <c r="I886" s="1">
        <v>12</v>
      </c>
      <c r="J886" s="1"/>
    </row>
    <row r="887" spans="1:10" x14ac:dyDescent="0.3">
      <c r="A887" s="5">
        <v>45923</v>
      </c>
      <c r="B887" s="1" t="s">
        <v>95</v>
      </c>
      <c r="C887" s="1" t="s">
        <v>104</v>
      </c>
      <c r="D887" s="1" t="s">
        <v>99</v>
      </c>
      <c r="E887" s="1" t="s">
        <v>144</v>
      </c>
      <c r="F887" s="1" t="s">
        <v>160</v>
      </c>
      <c r="G887" s="1">
        <v>303</v>
      </c>
      <c r="H887" s="1">
        <v>52</v>
      </c>
      <c r="I887" s="1">
        <v>10</v>
      </c>
      <c r="J887" s="1"/>
    </row>
    <row r="888" spans="1:10" x14ac:dyDescent="0.3">
      <c r="A888" s="5">
        <v>45933</v>
      </c>
      <c r="B888" s="1" t="s">
        <v>100</v>
      </c>
      <c r="C888" s="1" t="s">
        <v>96</v>
      </c>
      <c r="D888" s="1" t="s">
        <v>109</v>
      </c>
      <c r="E888" s="1" t="s">
        <v>147</v>
      </c>
      <c r="F888" s="1" t="s">
        <v>160</v>
      </c>
      <c r="G888" s="1">
        <v>290</v>
      </c>
      <c r="H888" s="1">
        <v>51</v>
      </c>
      <c r="I888" s="1">
        <v>10</v>
      </c>
      <c r="J888" s="1"/>
    </row>
    <row r="889" spans="1:10" x14ac:dyDescent="0.3">
      <c r="A889" s="5">
        <v>45933</v>
      </c>
      <c r="B889" s="1" t="s">
        <v>100</v>
      </c>
      <c r="C889" s="1" t="s">
        <v>96</v>
      </c>
      <c r="D889" s="1" t="s">
        <v>97</v>
      </c>
      <c r="E889" s="1" t="s">
        <v>146</v>
      </c>
      <c r="F889" s="1" t="s">
        <v>160</v>
      </c>
      <c r="G889" s="1">
        <v>330</v>
      </c>
      <c r="H889" s="1">
        <v>59</v>
      </c>
      <c r="I889" s="1">
        <v>12</v>
      </c>
      <c r="J889" s="1"/>
    </row>
    <row r="890" spans="1:10" x14ac:dyDescent="0.3">
      <c r="A890" s="5">
        <v>45932</v>
      </c>
      <c r="B890" s="1" t="s">
        <v>100</v>
      </c>
      <c r="C890" s="1" t="s">
        <v>96</v>
      </c>
      <c r="D890" s="1" t="s">
        <v>101</v>
      </c>
      <c r="E890" s="1" t="s">
        <v>147</v>
      </c>
      <c r="F890" s="1" t="s">
        <v>160</v>
      </c>
      <c r="G890" s="1">
        <v>254</v>
      </c>
      <c r="H890" s="1">
        <v>53</v>
      </c>
      <c r="I890" s="1">
        <v>10</v>
      </c>
      <c r="J890" s="1"/>
    </row>
    <row r="891" spans="1:10" x14ac:dyDescent="0.3">
      <c r="A891" s="5">
        <v>45932</v>
      </c>
      <c r="B891" s="1" t="s">
        <v>100</v>
      </c>
      <c r="C891" s="1" t="s">
        <v>96</v>
      </c>
      <c r="D891" s="1" t="s">
        <v>99</v>
      </c>
      <c r="E891" s="1" t="s">
        <v>146</v>
      </c>
      <c r="F891" s="1" t="s">
        <v>160</v>
      </c>
      <c r="G891" s="1">
        <v>280</v>
      </c>
      <c r="H891" s="1">
        <v>59</v>
      </c>
      <c r="I891" s="1">
        <v>11</v>
      </c>
      <c r="J891" s="1"/>
    </row>
    <row r="892" spans="1:10" x14ac:dyDescent="0.3">
      <c r="A892" s="5">
        <v>45931</v>
      </c>
      <c r="B892" s="1" t="s">
        <v>95</v>
      </c>
      <c r="C892" s="1" t="s">
        <v>96</v>
      </c>
      <c r="D892" s="1" t="s">
        <v>97</v>
      </c>
      <c r="E892" s="1" t="s">
        <v>144</v>
      </c>
      <c r="F892" s="1" t="s">
        <v>160</v>
      </c>
      <c r="G892" s="1">
        <v>255</v>
      </c>
      <c r="H892" s="1">
        <v>50</v>
      </c>
      <c r="I892" s="1">
        <v>11</v>
      </c>
      <c r="J892" s="1"/>
    </row>
    <row r="893" spans="1:10" x14ac:dyDescent="0.3">
      <c r="A893" s="5">
        <v>45931</v>
      </c>
      <c r="B893" s="1" t="s">
        <v>95</v>
      </c>
      <c r="C893" s="1" t="s">
        <v>96</v>
      </c>
      <c r="D893" s="1" t="s">
        <v>99</v>
      </c>
      <c r="E893" s="1" t="s">
        <v>144</v>
      </c>
      <c r="F893" s="1" t="s">
        <v>160</v>
      </c>
      <c r="G893" s="1">
        <v>265</v>
      </c>
      <c r="H893" s="1">
        <v>52</v>
      </c>
      <c r="I893" s="1">
        <v>11</v>
      </c>
      <c r="J893" s="1"/>
    </row>
    <row r="894" spans="1:10" x14ac:dyDescent="0.3">
      <c r="A894" s="5">
        <v>45931</v>
      </c>
      <c r="B894" s="1" t="s">
        <v>95</v>
      </c>
      <c r="C894" s="1" t="s">
        <v>96</v>
      </c>
      <c r="D894" s="1" t="s">
        <v>99</v>
      </c>
      <c r="E894" s="1" t="s">
        <v>147</v>
      </c>
      <c r="F894" s="1" t="s">
        <v>160</v>
      </c>
      <c r="G894" s="1">
        <v>333</v>
      </c>
      <c r="H894" s="1">
        <v>63</v>
      </c>
      <c r="I894" s="1">
        <v>12</v>
      </c>
      <c r="J894" s="1"/>
    </row>
    <row r="895" spans="1:10" x14ac:dyDescent="0.3">
      <c r="A895" s="5">
        <v>45931</v>
      </c>
      <c r="B895" s="1" t="s">
        <v>100</v>
      </c>
      <c r="C895" s="1" t="s">
        <v>96</v>
      </c>
      <c r="D895" s="1" t="s">
        <v>101</v>
      </c>
      <c r="E895" s="1" t="s">
        <v>146</v>
      </c>
      <c r="F895" s="1" t="s">
        <v>160</v>
      </c>
      <c r="G895" s="1">
        <v>335</v>
      </c>
      <c r="H895" s="1">
        <v>60</v>
      </c>
      <c r="I895" s="1">
        <v>10</v>
      </c>
      <c r="J895" s="1"/>
    </row>
    <row r="896" spans="1:10" x14ac:dyDescent="0.3">
      <c r="A896" s="5">
        <v>45931</v>
      </c>
      <c r="B896" s="1" t="s">
        <v>100</v>
      </c>
      <c r="C896" s="1" t="s">
        <v>96</v>
      </c>
      <c r="D896" s="1" t="s">
        <v>109</v>
      </c>
      <c r="E896" s="1" t="s">
        <v>146</v>
      </c>
      <c r="F896" s="1" t="s">
        <v>160</v>
      </c>
      <c r="G896" s="1">
        <v>350</v>
      </c>
      <c r="H896" s="1">
        <v>69</v>
      </c>
      <c r="I896" s="1">
        <v>13</v>
      </c>
      <c r="J896" s="1" t="s">
        <v>122</v>
      </c>
    </row>
    <row r="897" spans="1:10" x14ac:dyDescent="0.3">
      <c r="A897" s="5">
        <v>45931</v>
      </c>
      <c r="B897" s="1" t="s">
        <v>100</v>
      </c>
      <c r="C897" s="1" t="s">
        <v>96</v>
      </c>
      <c r="D897" s="1" t="s">
        <v>101</v>
      </c>
      <c r="E897" s="1" t="s">
        <v>144</v>
      </c>
      <c r="F897" s="1" t="s">
        <v>160</v>
      </c>
      <c r="G897" s="1">
        <v>320</v>
      </c>
      <c r="H897" s="1">
        <v>62</v>
      </c>
      <c r="I897" s="1">
        <v>12</v>
      </c>
      <c r="J89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87734-60B1-4006-BC43-8E1AD543CFE4}">
  <dimension ref="A1:S205"/>
  <sheetViews>
    <sheetView workbookViewId="0">
      <selection sqref="A1:S1"/>
    </sheetView>
  </sheetViews>
  <sheetFormatPr baseColWidth="10" defaultColWidth="19.109375" defaultRowHeight="14.4" x14ac:dyDescent="0.3"/>
  <cols>
    <col min="1" max="16384" width="19.109375" style="6"/>
  </cols>
  <sheetData>
    <row r="1" spans="1:19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124</v>
      </c>
      <c r="K1" s="2" t="s">
        <v>170</v>
      </c>
      <c r="L1" s="2" t="s">
        <v>126</v>
      </c>
      <c r="M1" s="2" t="s">
        <v>127</v>
      </c>
      <c r="N1" s="2" t="s">
        <v>171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</row>
    <row r="2" spans="1:19" x14ac:dyDescent="0.3">
      <c r="A2" s="1" t="s">
        <v>96</v>
      </c>
      <c r="B2" s="1" t="s">
        <v>172</v>
      </c>
      <c r="C2" s="1">
        <v>2</v>
      </c>
      <c r="D2" s="1">
        <v>2</v>
      </c>
      <c r="E2" s="1">
        <v>340</v>
      </c>
      <c r="F2" s="1">
        <v>70</v>
      </c>
      <c r="G2" s="1">
        <v>14</v>
      </c>
      <c r="H2" s="1">
        <v>120</v>
      </c>
      <c r="I2" s="1" t="s">
        <v>173</v>
      </c>
      <c r="J2" s="1">
        <v>47</v>
      </c>
      <c r="K2" s="1">
        <v>5</v>
      </c>
      <c r="L2" s="1">
        <v>11</v>
      </c>
      <c r="M2" s="1">
        <v>184</v>
      </c>
      <c r="N2" s="1">
        <v>6</v>
      </c>
      <c r="O2" s="1">
        <v>48</v>
      </c>
      <c r="P2" s="1">
        <v>38</v>
      </c>
      <c r="Q2" s="1">
        <v>8</v>
      </c>
      <c r="R2" s="1">
        <v>8.1999999999999993</v>
      </c>
      <c r="S2" s="1">
        <v>7.3211904000000008</v>
      </c>
    </row>
    <row r="3" spans="1:19" x14ac:dyDescent="0.3">
      <c r="A3" s="1" t="s">
        <v>96</v>
      </c>
      <c r="B3" s="1" t="s">
        <v>172</v>
      </c>
      <c r="C3" s="1">
        <v>2</v>
      </c>
      <c r="D3" s="1">
        <v>3</v>
      </c>
      <c r="E3" s="1">
        <v>330</v>
      </c>
      <c r="F3" s="1">
        <v>63</v>
      </c>
      <c r="G3" s="1">
        <v>11</v>
      </c>
      <c r="H3" s="1">
        <v>138</v>
      </c>
      <c r="I3" s="1" t="s">
        <v>174</v>
      </c>
      <c r="J3" s="1">
        <v>42</v>
      </c>
      <c r="K3" s="1">
        <v>52</v>
      </c>
      <c r="L3" s="1">
        <v>11</v>
      </c>
      <c r="M3" s="1">
        <v>160</v>
      </c>
      <c r="N3" s="1">
        <v>7</v>
      </c>
      <c r="O3" s="1">
        <v>42</v>
      </c>
      <c r="P3" s="1">
        <v>39</v>
      </c>
      <c r="Q3" s="1">
        <v>7</v>
      </c>
      <c r="R3" s="1">
        <v>8</v>
      </c>
      <c r="S3" s="1">
        <v>6.2280960000000007</v>
      </c>
    </row>
    <row r="4" spans="1:19" x14ac:dyDescent="0.3">
      <c r="A4" s="1" t="s">
        <v>96</v>
      </c>
      <c r="B4" s="1" t="s">
        <v>172</v>
      </c>
      <c r="C4" s="1">
        <v>2</v>
      </c>
      <c r="D4" s="1">
        <v>8</v>
      </c>
      <c r="E4" s="1">
        <v>300</v>
      </c>
      <c r="F4" s="1">
        <v>59</v>
      </c>
      <c r="G4" s="1">
        <v>13</v>
      </c>
      <c r="H4" s="1">
        <v>122</v>
      </c>
      <c r="I4" s="1" t="s">
        <v>173</v>
      </c>
      <c r="J4" s="1">
        <v>47</v>
      </c>
      <c r="K4" s="1">
        <v>5</v>
      </c>
      <c r="L4" s="1">
        <v>12</v>
      </c>
      <c r="M4" s="1">
        <v>167</v>
      </c>
      <c r="N4" s="1">
        <v>5</v>
      </c>
      <c r="O4" s="1">
        <v>27</v>
      </c>
      <c r="P4" s="1">
        <v>37</v>
      </c>
      <c r="Q4" s="1">
        <v>6</v>
      </c>
      <c r="R4" s="1">
        <v>7.2</v>
      </c>
      <c r="S4" s="1">
        <v>4.2341520000000008</v>
      </c>
    </row>
    <row r="5" spans="1:19" x14ac:dyDescent="0.3">
      <c r="A5" s="1" t="s">
        <v>96</v>
      </c>
      <c r="B5" s="1" t="s">
        <v>172</v>
      </c>
      <c r="C5" s="1">
        <v>2</v>
      </c>
      <c r="D5" s="1">
        <v>11</v>
      </c>
      <c r="E5" s="1">
        <v>290</v>
      </c>
      <c r="F5" s="1">
        <v>57</v>
      </c>
      <c r="G5" s="1">
        <v>12</v>
      </c>
      <c r="H5" s="1">
        <v>80</v>
      </c>
      <c r="I5" s="1" t="s">
        <v>174</v>
      </c>
      <c r="J5" s="1">
        <v>42</v>
      </c>
      <c r="K5" s="1">
        <v>52</v>
      </c>
      <c r="L5" s="1">
        <v>11</v>
      </c>
      <c r="M5" s="1">
        <v>150</v>
      </c>
      <c r="N5" s="1">
        <v>6</v>
      </c>
      <c r="O5" s="1">
        <v>37</v>
      </c>
      <c r="P5" s="1">
        <v>39</v>
      </c>
      <c r="Q5" s="1">
        <v>6</v>
      </c>
      <c r="R5" s="1">
        <v>7.8</v>
      </c>
      <c r="S5" s="1">
        <v>5.3383680000000018</v>
      </c>
    </row>
    <row r="6" spans="1:19" x14ac:dyDescent="0.3">
      <c r="A6" s="1" t="s">
        <v>96</v>
      </c>
      <c r="B6" s="1" t="s">
        <v>172</v>
      </c>
      <c r="C6" s="1">
        <v>2</v>
      </c>
      <c r="D6" s="1">
        <v>13</v>
      </c>
      <c r="E6" s="1">
        <v>354</v>
      </c>
      <c r="F6" s="1">
        <v>70</v>
      </c>
      <c r="G6" s="1">
        <v>11</v>
      </c>
      <c r="H6" s="1">
        <v>172</v>
      </c>
      <c r="I6" s="1" t="s">
        <v>175</v>
      </c>
      <c r="J6" s="1">
        <v>43</v>
      </c>
      <c r="K6" s="1">
        <v>1</v>
      </c>
      <c r="L6" s="1">
        <v>11</v>
      </c>
      <c r="M6" s="1">
        <v>230</v>
      </c>
      <c r="N6" s="1">
        <v>6</v>
      </c>
      <c r="O6" s="1">
        <v>51</v>
      </c>
      <c r="P6" s="1">
        <v>39</v>
      </c>
      <c r="Q6" s="1">
        <v>8</v>
      </c>
      <c r="R6" s="1">
        <v>7.6</v>
      </c>
      <c r="S6" s="1">
        <v>6.1486560000000008</v>
      </c>
    </row>
    <row r="7" spans="1:19" x14ac:dyDescent="0.3">
      <c r="A7" s="1" t="s">
        <v>96</v>
      </c>
      <c r="B7" s="1" t="s">
        <v>172</v>
      </c>
      <c r="C7" s="1">
        <v>2</v>
      </c>
      <c r="D7" s="1">
        <v>14</v>
      </c>
      <c r="E7" s="1">
        <v>340</v>
      </c>
      <c r="F7" s="1">
        <v>63</v>
      </c>
      <c r="G7" s="1">
        <v>13</v>
      </c>
      <c r="H7" s="1">
        <v>155</v>
      </c>
      <c r="I7" s="1" t="s">
        <v>176</v>
      </c>
      <c r="J7" s="1">
        <v>45</v>
      </c>
      <c r="K7" s="1">
        <v>3</v>
      </c>
      <c r="L7" s="1">
        <v>11</v>
      </c>
      <c r="M7" s="1">
        <v>215</v>
      </c>
      <c r="N7" s="1">
        <v>5</v>
      </c>
      <c r="O7" s="1">
        <v>43</v>
      </c>
      <c r="P7" s="1">
        <v>39</v>
      </c>
      <c r="Q7" s="1">
        <v>7</v>
      </c>
      <c r="R7" s="1">
        <v>8</v>
      </c>
      <c r="S7" s="1">
        <v>6.156600000000001</v>
      </c>
    </row>
    <row r="8" spans="1:19" x14ac:dyDescent="0.3">
      <c r="A8" s="1" t="s">
        <v>96</v>
      </c>
      <c r="B8" s="1" t="s">
        <v>97</v>
      </c>
      <c r="C8" s="1">
        <v>1</v>
      </c>
      <c r="D8" s="1">
        <v>2</v>
      </c>
      <c r="E8" s="1">
        <v>370</v>
      </c>
      <c r="F8" s="1">
        <v>71</v>
      </c>
      <c r="G8" s="1">
        <v>14</v>
      </c>
      <c r="H8" s="1">
        <v>153</v>
      </c>
      <c r="I8" s="1" t="s">
        <v>177</v>
      </c>
      <c r="J8" s="1">
        <v>44</v>
      </c>
      <c r="K8" s="1">
        <v>2</v>
      </c>
      <c r="L8" s="1">
        <v>11</v>
      </c>
      <c r="M8" s="1">
        <v>245</v>
      </c>
      <c r="N8" s="1">
        <v>6</v>
      </c>
      <c r="O8" s="1">
        <v>51.5</v>
      </c>
      <c r="P8" s="1">
        <v>39</v>
      </c>
      <c r="Q8" s="1">
        <v>8</v>
      </c>
      <c r="R8" s="1">
        <v>8.1999999999999993</v>
      </c>
      <c r="S8" s="1">
        <v>6.6195763200000002</v>
      </c>
    </row>
    <row r="9" spans="1:19" x14ac:dyDescent="0.3">
      <c r="A9" s="1" t="s">
        <v>96</v>
      </c>
      <c r="B9" s="1" t="s">
        <v>97</v>
      </c>
      <c r="C9" s="1">
        <v>1</v>
      </c>
      <c r="D9" s="1">
        <v>9</v>
      </c>
      <c r="E9" s="1">
        <v>330</v>
      </c>
      <c r="F9" s="1">
        <v>64</v>
      </c>
      <c r="G9" s="1">
        <v>12</v>
      </c>
      <c r="H9" s="1">
        <v>120</v>
      </c>
      <c r="I9" s="1" t="s">
        <v>175</v>
      </c>
      <c r="J9" s="1">
        <v>43</v>
      </c>
      <c r="K9" s="1">
        <v>1</v>
      </c>
      <c r="L9" s="1">
        <v>11</v>
      </c>
      <c r="M9" s="1">
        <v>205</v>
      </c>
      <c r="N9" s="1">
        <v>6</v>
      </c>
      <c r="O9" s="1">
        <v>42.2</v>
      </c>
      <c r="P9" s="1">
        <v>38</v>
      </c>
      <c r="Q9" s="1">
        <v>8</v>
      </c>
      <c r="R9" s="1">
        <v>7.6</v>
      </c>
      <c r="S9" s="1">
        <v>6.2916480000000012</v>
      </c>
    </row>
    <row r="10" spans="1:19" x14ac:dyDescent="0.3">
      <c r="A10" s="1" t="s">
        <v>96</v>
      </c>
      <c r="B10" s="1" t="s">
        <v>97</v>
      </c>
      <c r="C10" s="1">
        <v>1</v>
      </c>
      <c r="D10" s="1">
        <v>11</v>
      </c>
      <c r="E10" s="1">
        <v>305</v>
      </c>
      <c r="F10" s="1">
        <v>60</v>
      </c>
      <c r="G10" s="1">
        <v>13</v>
      </c>
      <c r="H10" s="1">
        <v>60</v>
      </c>
      <c r="I10" s="1" t="s">
        <v>177</v>
      </c>
      <c r="J10" s="1">
        <v>44</v>
      </c>
      <c r="K10" s="1">
        <v>2</v>
      </c>
      <c r="L10" s="1">
        <v>11</v>
      </c>
      <c r="M10" s="1">
        <v>160</v>
      </c>
      <c r="N10" s="1">
        <v>5</v>
      </c>
      <c r="O10" s="1">
        <v>41.5</v>
      </c>
      <c r="P10" s="1">
        <v>38</v>
      </c>
      <c r="Q10" s="1">
        <v>7</v>
      </c>
      <c r="R10" s="1">
        <v>7.8</v>
      </c>
      <c r="S10" s="1">
        <v>4.6604800000000024</v>
      </c>
    </row>
    <row r="11" spans="1:19" x14ac:dyDescent="0.3">
      <c r="A11" s="1" t="s">
        <v>96</v>
      </c>
      <c r="B11" s="1" t="s">
        <v>97</v>
      </c>
      <c r="C11" s="1">
        <v>1</v>
      </c>
      <c r="D11" s="1">
        <v>12</v>
      </c>
      <c r="E11" s="1">
        <v>330</v>
      </c>
      <c r="F11" s="1">
        <v>63</v>
      </c>
      <c r="G11" s="1">
        <v>12</v>
      </c>
      <c r="H11" s="1">
        <v>100</v>
      </c>
      <c r="I11" s="1" t="s">
        <v>177</v>
      </c>
      <c r="J11" s="1">
        <v>44</v>
      </c>
      <c r="K11" s="1">
        <v>2</v>
      </c>
      <c r="L11" s="1">
        <v>11</v>
      </c>
      <c r="M11" s="1">
        <v>166</v>
      </c>
      <c r="N11" s="1">
        <v>5</v>
      </c>
      <c r="O11" s="1">
        <v>39.5</v>
      </c>
      <c r="P11" s="1">
        <v>39</v>
      </c>
      <c r="Q11" s="1">
        <v>7</v>
      </c>
      <c r="R11" s="1">
        <v>7.8</v>
      </c>
      <c r="S11" s="1">
        <v>5.3012960000000033</v>
      </c>
    </row>
    <row r="12" spans="1:19" x14ac:dyDescent="0.3">
      <c r="A12" s="1" t="s">
        <v>96</v>
      </c>
      <c r="B12" s="1" t="s">
        <v>97</v>
      </c>
      <c r="C12" s="1">
        <v>1</v>
      </c>
      <c r="D12" s="1">
        <v>13</v>
      </c>
      <c r="E12" s="1">
        <v>330</v>
      </c>
      <c r="F12" s="1">
        <v>65</v>
      </c>
      <c r="G12" s="1">
        <v>13</v>
      </c>
      <c r="H12" s="1">
        <v>132</v>
      </c>
      <c r="I12" s="1" t="s">
        <v>177</v>
      </c>
      <c r="J12" s="1">
        <v>44</v>
      </c>
      <c r="K12" s="1">
        <v>2</v>
      </c>
      <c r="L12" s="1">
        <v>11</v>
      </c>
      <c r="M12" s="1">
        <v>220</v>
      </c>
      <c r="N12" s="1">
        <v>5</v>
      </c>
      <c r="O12" s="1">
        <v>42</v>
      </c>
      <c r="P12" s="1">
        <v>39</v>
      </c>
      <c r="Q12" s="1">
        <v>7</v>
      </c>
      <c r="R12" s="1">
        <v>8</v>
      </c>
      <c r="S12" s="1">
        <v>5.3026200000000001</v>
      </c>
    </row>
    <row r="13" spans="1:19" x14ac:dyDescent="0.3">
      <c r="A13" s="1" t="s">
        <v>96</v>
      </c>
      <c r="B13" s="1" t="s">
        <v>97</v>
      </c>
      <c r="C13" s="1">
        <v>1</v>
      </c>
      <c r="D13" s="1">
        <v>14</v>
      </c>
      <c r="E13" s="1">
        <v>295</v>
      </c>
      <c r="F13" s="1">
        <v>59</v>
      </c>
      <c r="G13" s="1">
        <v>11</v>
      </c>
      <c r="H13" s="1">
        <v>105</v>
      </c>
      <c r="I13" s="1" t="s">
        <v>178</v>
      </c>
      <c r="J13" s="1">
        <v>46</v>
      </c>
      <c r="K13" s="1">
        <v>4</v>
      </c>
      <c r="L13" s="1">
        <v>11</v>
      </c>
      <c r="M13" s="1">
        <v>182</v>
      </c>
      <c r="N13" s="1">
        <v>5</v>
      </c>
      <c r="O13" s="1">
        <v>36</v>
      </c>
      <c r="P13" s="1">
        <v>38</v>
      </c>
      <c r="Q13" s="1">
        <v>6</v>
      </c>
      <c r="R13" s="1">
        <v>7.8</v>
      </c>
      <c r="S13" s="1">
        <v>4.448640000000001</v>
      </c>
    </row>
    <row r="14" spans="1:19" x14ac:dyDescent="0.3">
      <c r="A14" s="1" t="s">
        <v>96</v>
      </c>
      <c r="B14" s="1" t="s">
        <v>109</v>
      </c>
      <c r="C14" s="1">
        <v>2</v>
      </c>
      <c r="D14" s="1">
        <v>1</v>
      </c>
      <c r="E14" s="1">
        <v>360</v>
      </c>
      <c r="F14" s="1">
        <v>67</v>
      </c>
      <c r="G14" s="1">
        <v>13</v>
      </c>
      <c r="H14" s="1">
        <v>118</v>
      </c>
      <c r="I14" s="1" t="s">
        <v>177</v>
      </c>
      <c r="J14" s="1">
        <v>44</v>
      </c>
      <c r="K14" s="1">
        <v>2</v>
      </c>
      <c r="L14" s="1">
        <v>11</v>
      </c>
      <c r="M14" s="1">
        <v>190</v>
      </c>
      <c r="N14" s="1">
        <v>6</v>
      </c>
      <c r="O14" s="1">
        <v>48</v>
      </c>
      <c r="P14" s="1">
        <v>38</v>
      </c>
      <c r="Q14" s="1">
        <v>8</v>
      </c>
      <c r="R14" s="1">
        <v>8.4</v>
      </c>
      <c r="S14" s="1">
        <v>7.0161408000000014</v>
      </c>
    </row>
    <row r="15" spans="1:19" x14ac:dyDescent="0.3">
      <c r="A15" s="1" t="s">
        <v>96</v>
      </c>
      <c r="B15" s="1" t="s">
        <v>109</v>
      </c>
      <c r="C15" s="1">
        <v>2</v>
      </c>
      <c r="D15" s="1">
        <v>2</v>
      </c>
      <c r="E15" s="1">
        <v>330</v>
      </c>
      <c r="F15" s="1">
        <v>60</v>
      </c>
      <c r="G15" s="1">
        <v>12</v>
      </c>
      <c r="H15" s="1">
        <v>80</v>
      </c>
      <c r="I15" s="1" t="s">
        <v>176</v>
      </c>
      <c r="J15" s="1">
        <v>45</v>
      </c>
      <c r="K15" s="1">
        <v>3</v>
      </c>
      <c r="L15" s="1">
        <v>11</v>
      </c>
      <c r="M15" s="1">
        <v>170</v>
      </c>
      <c r="N15" s="1">
        <v>5</v>
      </c>
      <c r="O15" s="1">
        <v>40</v>
      </c>
      <c r="P15" s="1">
        <v>39</v>
      </c>
      <c r="Q15" s="1">
        <v>7</v>
      </c>
      <c r="R15" s="1">
        <v>8.1999999999999993</v>
      </c>
      <c r="S15" s="1">
        <v>5.4813599999999996</v>
      </c>
    </row>
    <row r="16" spans="1:19" x14ac:dyDescent="0.3">
      <c r="A16" s="1" t="s">
        <v>96</v>
      </c>
      <c r="B16" s="1" t="s">
        <v>109</v>
      </c>
      <c r="C16" s="1">
        <v>2</v>
      </c>
      <c r="D16" s="1">
        <v>4</v>
      </c>
      <c r="E16" s="1">
        <v>357</v>
      </c>
      <c r="F16" s="1">
        <v>72</v>
      </c>
      <c r="G16" s="1">
        <v>13</v>
      </c>
      <c r="H16" s="1">
        <v>125</v>
      </c>
      <c r="I16" s="1" t="s">
        <v>176</v>
      </c>
      <c r="J16" s="1">
        <v>45</v>
      </c>
      <c r="K16" s="1">
        <v>3</v>
      </c>
      <c r="L16" s="1">
        <v>11</v>
      </c>
      <c r="M16" s="1">
        <v>235</v>
      </c>
      <c r="N16" s="1">
        <v>5</v>
      </c>
      <c r="O16" s="1">
        <v>50</v>
      </c>
      <c r="P16" s="1">
        <v>39</v>
      </c>
      <c r="Q16" s="1">
        <v>8</v>
      </c>
      <c r="R16" s="1">
        <v>8.1999999999999993</v>
      </c>
      <c r="S16" s="1">
        <v>6.2890000000000006</v>
      </c>
    </row>
    <row r="17" spans="1:19" x14ac:dyDescent="0.3">
      <c r="A17" s="1" t="s">
        <v>96</v>
      </c>
      <c r="B17" s="1" t="s">
        <v>109</v>
      </c>
      <c r="C17" s="1">
        <v>2</v>
      </c>
      <c r="D17" s="1">
        <v>5</v>
      </c>
      <c r="E17" s="1">
        <v>355</v>
      </c>
      <c r="F17" s="1">
        <v>64</v>
      </c>
      <c r="G17" s="1">
        <v>13</v>
      </c>
      <c r="H17" s="1">
        <v>125</v>
      </c>
      <c r="I17" s="1" t="s">
        <v>174</v>
      </c>
      <c r="J17" s="1">
        <v>42</v>
      </c>
      <c r="K17" s="1">
        <v>52</v>
      </c>
      <c r="L17" s="1">
        <v>11</v>
      </c>
      <c r="M17" s="1">
        <v>213</v>
      </c>
      <c r="N17" s="1">
        <v>5</v>
      </c>
      <c r="O17" s="1">
        <v>46.2</v>
      </c>
      <c r="P17" s="1">
        <v>40</v>
      </c>
      <c r="Q17" s="1">
        <v>8</v>
      </c>
      <c r="R17" s="1">
        <v>8.4</v>
      </c>
      <c r="S17" s="1">
        <v>5.3860320000000002</v>
      </c>
    </row>
    <row r="18" spans="1:19" x14ac:dyDescent="0.3">
      <c r="A18" s="1" t="s">
        <v>96</v>
      </c>
      <c r="B18" s="1" t="s">
        <v>109</v>
      </c>
      <c r="C18" s="1">
        <v>2</v>
      </c>
      <c r="D18" s="1">
        <v>6</v>
      </c>
      <c r="E18" s="1">
        <v>345</v>
      </c>
      <c r="F18" s="1">
        <v>66</v>
      </c>
      <c r="G18" s="1">
        <v>13</v>
      </c>
      <c r="H18" s="1">
        <v>148</v>
      </c>
      <c r="I18" s="1" t="s">
        <v>175</v>
      </c>
      <c r="J18" s="1">
        <v>43</v>
      </c>
      <c r="K18" s="1">
        <v>1</v>
      </c>
      <c r="L18" s="1">
        <v>11</v>
      </c>
      <c r="M18" s="1">
        <v>215</v>
      </c>
      <c r="N18" s="1">
        <v>6</v>
      </c>
      <c r="O18" s="1">
        <v>42.2</v>
      </c>
      <c r="P18" s="1">
        <v>39</v>
      </c>
      <c r="Q18" s="1">
        <v>8</v>
      </c>
      <c r="R18" s="1">
        <v>7.6</v>
      </c>
      <c r="S18" s="1">
        <v>7.4355840000000022</v>
      </c>
    </row>
    <row r="19" spans="1:19" x14ac:dyDescent="0.3">
      <c r="A19" s="1" t="s">
        <v>96</v>
      </c>
      <c r="B19" s="1" t="s">
        <v>109</v>
      </c>
      <c r="C19" s="1">
        <v>2</v>
      </c>
      <c r="D19" s="1">
        <v>10</v>
      </c>
      <c r="E19" s="1">
        <v>336</v>
      </c>
      <c r="F19" s="1">
        <v>67</v>
      </c>
      <c r="G19" s="1">
        <v>12</v>
      </c>
      <c r="H19" s="1">
        <v>124</v>
      </c>
      <c r="I19" s="1" t="s">
        <v>179</v>
      </c>
      <c r="J19" s="1">
        <v>41</v>
      </c>
      <c r="K19" s="1">
        <v>51</v>
      </c>
      <c r="L19" s="1">
        <v>11</v>
      </c>
      <c r="M19" s="1">
        <v>190</v>
      </c>
      <c r="N19" s="1">
        <v>7</v>
      </c>
      <c r="O19" s="1">
        <v>52</v>
      </c>
      <c r="P19" s="1">
        <v>40</v>
      </c>
      <c r="Q19" s="1">
        <v>8</v>
      </c>
      <c r="R19" s="1">
        <v>8</v>
      </c>
      <c r="S19" s="1">
        <v>7.6739039999999994</v>
      </c>
    </row>
    <row r="20" spans="1:19" x14ac:dyDescent="0.3">
      <c r="A20" s="1" t="s">
        <v>96</v>
      </c>
      <c r="B20" s="1" t="s">
        <v>109</v>
      </c>
      <c r="C20" s="1">
        <v>2</v>
      </c>
      <c r="D20" s="1">
        <v>11</v>
      </c>
      <c r="E20" s="1">
        <v>305</v>
      </c>
      <c r="F20" s="1">
        <v>62</v>
      </c>
      <c r="G20" s="1">
        <v>13</v>
      </c>
      <c r="H20" s="1">
        <v>110</v>
      </c>
      <c r="I20" s="1" t="s">
        <v>178</v>
      </c>
      <c r="J20" s="1">
        <v>46</v>
      </c>
      <c r="K20" s="1">
        <v>4</v>
      </c>
      <c r="L20" s="1">
        <v>11</v>
      </c>
      <c r="M20" s="1">
        <v>173</v>
      </c>
      <c r="N20" s="1">
        <v>5</v>
      </c>
      <c r="O20" s="1">
        <v>39</v>
      </c>
      <c r="P20" s="1">
        <v>38</v>
      </c>
      <c r="Q20" s="1">
        <v>7</v>
      </c>
      <c r="R20" s="1">
        <v>7.8</v>
      </c>
      <c r="S20" s="1">
        <v>4.448640000000001</v>
      </c>
    </row>
    <row r="21" spans="1:19" x14ac:dyDescent="0.3">
      <c r="A21" s="1" t="s">
        <v>96</v>
      </c>
      <c r="B21" s="1" t="s">
        <v>109</v>
      </c>
      <c r="C21" s="1">
        <v>2</v>
      </c>
      <c r="D21" s="1">
        <v>12</v>
      </c>
      <c r="E21" s="1">
        <v>305</v>
      </c>
      <c r="F21" s="1">
        <v>62</v>
      </c>
      <c r="G21" s="1">
        <v>13</v>
      </c>
      <c r="H21" s="1">
        <v>110</v>
      </c>
      <c r="I21" s="1" t="s">
        <v>178</v>
      </c>
      <c r="J21" s="1">
        <v>46</v>
      </c>
      <c r="K21" s="1">
        <v>4</v>
      </c>
      <c r="L21" s="1">
        <v>11</v>
      </c>
      <c r="M21" s="1">
        <v>184</v>
      </c>
      <c r="N21" s="1">
        <v>4</v>
      </c>
      <c r="O21" s="1">
        <v>38.9</v>
      </c>
      <c r="P21" s="1">
        <v>37</v>
      </c>
      <c r="Q21" s="1">
        <v>7</v>
      </c>
      <c r="R21" s="1">
        <v>8.1999999999999993</v>
      </c>
      <c r="S21" s="1">
        <v>4.3952563200000014</v>
      </c>
    </row>
    <row r="22" spans="1:19" x14ac:dyDescent="0.3">
      <c r="A22" s="1" t="s">
        <v>96</v>
      </c>
      <c r="B22" s="1" t="s">
        <v>109</v>
      </c>
      <c r="C22" s="1">
        <v>2</v>
      </c>
      <c r="D22" s="1">
        <v>13</v>
      </c>
      <c r="E22" s="1">
        <v>298</v>
      </c>
      <c r="F22" s="1">
        <v>58</v>
      </c>
      <c r="G22" s="1">
        <v>13</v>
      </c>
      <c r="H22" s="1">
        <v>102</v>
      </c>
      <c r="I22" s="1" t="s">
        <v>176</v>
      </c>
      <c r="J22" s="1">
        <v>45</v>
      </c>
      <c r="K22" s="1">
        <v>3</v>
      </c>
      <c r="L22" s="1">
        <v>11</v>
      </c>
      <c r="M22" s="1">
        <v>160</v>
      </c>
      <c r="N22" s="1">
        <v>5</v>
      </c>
      <c r="O22" s="1">
        <v>36</v>
      </c>
      <c r="P22" s="1">
        <v>38</v>
      </c>
      <c r="Q22" s="1">
        <v>6</v>
      </c>
      <c r="R22" s="1">
        <v>7.8</v>
      </c>
      <c r="S22" s="1">
        <v>5.2960000000000003</v>
      </c>
    </row>
    <row r="23" spans="1:19" x14ac:dyDescent="0.3">
      <c r="A23" s="1" t="s">
        <v>96</v>
      </c>
      <c r="B23" s="1" t="s">
        <v>109</v>
      </c>
      <c r="C23" s="1">
        <v>2</v>
      </c>
      <c r="D23" s="1">
        <v>14</v>
      </c>
      <c r="E23" s="1">
        <v>318</v>
      </c>
      <c r="F23" s="1">
        <v>65</v>
      </c>
      <c r="G23" s="1">
        <v>13</v>
      </c>
      <c r="H23" s="1">
        <v>105</v>
      </c>
      <c r="I23" s="1" t="s">
        <v>176</v>
      </c>
      <c r="J23" s="1">
        <v>45</v>
      </c>
      <c r="K23" s="1">
        <v>3</v>
      </c>
      <c r="L23" s="1">
        <v>10</v>
      </c>
      <c r="M23" s="1">
        <v>175</v>
      </c>
      <c r="N23" s="1">
        <v>6</v>
      </c>
      <c r="O23" s="1">
        <v>42.7</v>
      </c>
      <c r="P23" s="1">
        <v>37</v>
      </c>
      <c r="Q23" s="1">
        <v>7</v>
      </c>
      <c r="R23" s="1">
        <v>7.8</v>
      </c>
      <c r="S23" s="1">
        <v>6.7238016000000007</v>
      </c>
    </row>
    <row r="24" spans="1:19" x14ac:dyDescent="0.3">
      <c r="A24" s="1" t="s">
        <v>96</v>
      </c>
      <c r="B24" s="1" t="s">
        <v>99</v>
      </c>
      <c r="C24" s="1">
        <v>1</v>
      </c>
      <c r="D24" s="1">
        <v>1</v>
      </c>
      <c r="E24" s="1">
        <v>380</v>
      </c>
      <c r="F24" s="1">
        <v>73</v>
      </c>
      <c r="G24" s="1">
        <v>12</v>
      </c>
      <c r="H24" s="1">
        <v>185</v>
      </c>
      <c r="I24" s="1" t="s">
        <v>173</v>
      </c>
      <c r="J24" s="1">
        <v>47</v>
      </c>
      <c r="K24" s="1">
        <v>5</v>
      </c>
      <c r="L24" s="1">
        <v>11</v>
      </c>
      <c r="M24" s="1">
        <v>235</v>
      </c>
      <c r="N24" s="1">
        <v>7</v>
      </c>
      <c r="O24" s="1">
        <v>50</v>
      </c>
      <c r="P24" s="1">
        <v>37</v>
      </c>
      <c r="Q24" s="1">
        <v>8</v>
      </c>
      <c r="R24" s="1">
        <v>8</v>
      </c>
      <c r="S24" s="1">
        <v>7.6739039999999994</v>
      </c>
    </row>
    <row r="25" spans="1:19" x14ac:dyDescent="0.3">
      <c r="A25" s="1" t="s">
        <v>96</v>
      </c>
      <c r="B25" s="1" t="s">
        <v>99</v>
      </c>
      <c r="C25" s="1">
        <v>1</v>
      </c>
      <c r="D25" s="1">
        <v>2</v>
      </c>
      <c r="E25" s="1">
        <v>327</v>
      </c>
      <c r="F25" s="1">
        <v>66</v>
      </c>
      <c r="G25" s="1">
        <v>12</v>
      </c>
      <c r="H25" s="1">
        <v>88</v>
      </c>
      <c r="I25" s="1" t="s">
        <v>180</v>
      </c>
      <c r="J25" s="1">
        <v>48</v>
      </c>
      <c r="K25" s="1">
        <v>6</v>
      </c>
      <c r="L25" s="1">
        <v>11</v>
      </c>
      <c r="M25" s="1">
        <v>140</v>
      </c>
      <c r="N25" s="1">
        <v>7</v>
      </c>
      <c r="O25" s="1">
        <v>40</v>
      </c>
      <c r="P25" s="1">
        <v>39</v>
      </c>
      <c r="Q25" s="1">
        <v>8</v>
      </c>
      <c r="R25" s="1">
        <v>8</v>
      </c>
      <c r="S25" s="1">
        <v>8.2707631999999993</v>
      </c>
    </row>
    <row r="26" spans="1:19" x14ac:dyDescent="0.3">
      <c r="A26" s="1" t="s">
        <v>96</v>
      </c>
      <c r="B26" s="1" t="s">
        <v>99</v>
      </c>
      <c r="C26" s="1">
        <v>1</v>
      </c>
      <c r="D26" s="1">
        <v>3</v>
      </c>
      <c r="E26" s="1">
        <v>378</v>
      </c>
      <c r="F26" s="1">
        <v>74</v>
      </c>
      <c r="G26" s="1">
        <v>16</v>
      </c>
      <c r="H26" s="1">
        <v>100</v>
      </c>
      <c r="I26" s="1" t="s">
        <v>176</v>
      </c>
      <c r="J26" s="1">
        <v>45</v>
      </c>
      <c r="K26" s="1">
        <v>3</v>
      </c>
      <c r="L26" s="1">
        <v>11</v>
      </c>
      <c r="M26" s="1">
        <v>183</v>
      </c>
      <c r="N26" s="1">
        <v>7</v>
      </c>
      <c r="O26" s="1">
        <v>51</v>
      </c>
      <c r="P26" s="1">
        <v>39</v>
      </c>
      <c r="Q26" s="1">
        <v>8</v>
      </c>
      <c r="R26" s="1">
        <v>8</v>
      </c>
      <c r="S26" s="1">
        <v>9.1567840000000018</v>
      </c>
    </row>
    <row r="27" spans="1:19" x14ac:dyDescent="0.3">
      <c r="A27" s="1" t="s">
        <v>96</v>
      </c>
      <c r="B27" s="1" t="s">
        <v>99</v>
      </c>
      <c r="C27" s="1">
        <v>1</v>
      </c>
      <c r="D27" s="1">
        <v>4</v>
      </c>
      <c r="E27" s="1">
        <v>305</v>
      </c>
      <c r="F27" s="1">
        <v>63</v>
      </c>
      <c r="G27" s="1">
        <v>13</v>
      </c>
      <c r="H27" s="1">
        <v>130</v>
      </c>
      <c r="I27" s="1" t="s">
        <v>175</v>
      </c>
      <c r="J27" s="1">
        <v>43</v>
      </c>
      <c r="K27" s="1">
        <v>1</v>
      </c>
      <c r="L27" s="1">
        <v>11</v>
      </c>
      <c r="M27" s="1">
        <v>195</v>
      </c>
      <c r="N27" s="1">
        <v>5</v>
      </c>
      <c r="O27" s="1">
        <v>35.1</v>
      </c>
      <c r="P27" s="1">
        <v>37</v>
      </c>
      <c r="Q27" s="1">
        <v>7</v>
      </c>
      <c r="R27" s="1">
        <v>8.1999999999999993</v>
      </c>
      <c r="S27" s="1">
        <v>5.3595520000000008</v>
      </c>
    </row>
    <row r="28" spans="1:19" x14ac:dyDescent="0.3">
      <c r="A28" s="1" t="s">
        <v>96</v>
      </c>
      <c r="B28" s="1" t="s">
        <v>99</v>
      </c>
      <c r="C28" s="1">
        <v>1</v>
      </c>
      <c r="D28" s="1">
        <v>5</v>
      </c>
      <c r="E28" s="1">
        <v>360</v>
      </c>
      <c r="F28" s="1">
        <v>71</v>
      </c>
      <c r="G28" s="1">
        <v>13</v>
      </c>
      <c r="H28" s="1">
        <v>140</v>
      </c>
      <c r="I28" s="1" t="s">
        <v>175</v>
      </c>
      <c r="J28" s="1">
        <v>43</v>
      </c>
      <c r="K28" s="1">
        <v>1</v>
      </c>
      <c r="L28" s="1">
        <v>11</v>
      </c>
      <c r="M28" s="1">
        <v>210</v>
      </c>
      <c r="N28" s="1">
        <v>4</v>
      </c>
      <c r="O28" s="1">
        <v>51.5</v>
      </c>
      <c r="P28" s="1">
        <v>39</v>
      </c>
      <c r="Q28" s="1">
        <v>8</v>
      </c>
      <c r="R28" s="1">
        <v>8</v>
      </c>
      <c r="S28" s="1">
        <v>5.9315199999999999</v>
      </c>
    </row>
    <row r="29" spans="1:19" x14ac:dyDescent="0.3">
      <c r="A29" s="1" t="s">
        <v>96</v>
      </c>
      <c r="B29" s="1" t="s">
        <v>99</v>
      </c>
      <c r="C29" s="1">
        <v>1</v>
      </c>
      <c r="D29" s="1">
        <v>6</v>
      </c>
      <c r="E29" s="1">
        <v>366</v>
      </c>
      <c r="F29" s="1">
        <v>69</v>
      </c>
      <c r="G29" s="1">
        <v>13</v>
      </c>
      <c r="H29" s="1">
        <v>120</v>
      </c>
      <c r="I29" s="1" t="s">
        <v>177</v>
      </c>
      <c r="J29" s="1">
        <v>44</v>
      </c>
      <c r="K29" s="1">
        <v>2</v>
      </c>
      <c r="L29" s="1">
        <v>11</v>
      </c>
      <c r="M29" s="1">
        <v>200</v>
      </c>
      <c r="N29" s="1">
        <v>5</v>
      </c>
      <c r="O29" s="1">
        <v>51.3</v>
      </c>
      <c r="P29" s="1">
        <v>39</v>
      </c>
      <c r="Q29" s="1">
        <v>8</v>
      </c>
      <c r="R29" s="1">
        <v>8.1999999999999993</v>
      </c>
      <c r="S29" s="1">
        <v>5.8467840000000004</v>
      </c>
    </row>
    <row r="30" spans="1:19" x14ac:dyDescent="0.3">
      <c r="A30" s="1" t="s">
        <v>96</v>
      </c>
      <c r="B30" s="1" t="s">
        <v>99</v>
      </c>
      <c r="C30" s="1">
        <v>1</v>
      </c>
      <c r="D30" s="1">
        <v>7</v>
      </c>
      <c r="E30" s="1">
        <v>361</v>
      </c>
      <c r="F30" s="1">
        <v>62</v>
      </c>
      <c r="G30" s="1">
        <v>12</v>
      </c>
      <c r="H30" s="1">
        <v>90</v>
      </c>
      <c r="I30" s="1" t="s">
        <v>177</v>
      </c>
      <c r="J30" s="1">
        <v>44</v>
      </c>
      <c r="K30" s="1">
        <v>2</v>
      </c>
      <c r="L30" s="1">
        <v>11</v>
      </c>
      <c r="M30" s="1">
        <v>155</v>
      </c>
      <c r="N30" s="1">
        <v>6</v>
      </c>
      <c r="O30" s="1">
        <v>40.700000000000003</v>
      </c>
      <c r="P30" s="1">
        <v>38</v>
      </c>
      <c r="Q30" s="1">
        <v>7</v>
      </c>
      <c r="R30" s="1">
        <v>8</v>
      </c>
      <c r="S30" s="1">
        <v>7.0161408000000014</v>
      </c>
    </row>
    <row r="31" spans="1:19" x14ac:dyDescent="0.3">
      <c r="A31" s="1" t="s">
        <v>96</v>
      </c>
      <c r="B31" s="1" t="s">
        <v>99</v>
      </c>
      <c r="C31" s="1">
        <v>1</v>
      </c>
      <c r="D31" s="1">
        <v>8</v>
      </c>
      <c r="E31" s="1">
        <v>325</v>
      </c>
      <c r="F31" s="1">
        <v>65</v>
      </c>
      <c r="G31" s="1">
        <v>14</v>
      </c>
      <c r="H31" s="1">
        <v>110</v>
      </c>
      <c r="I31" s="1" t="s">
        <v>178</v>
      </c>
      <c r="J31" s="1">
        <v>46</v>
      </c>
      <c r="K31" s="1">
        <v>4</v>
      </c>
      <c r="L31" s="1">
        <v>12</v>
      </c>
      <c r="M31" s="1">
        <v>170</v>
      </c>
      <c r="N31" s="1">
        <v>5</v>
      </c>
      <c r="O31" s="1">
        <v>31.3</v>
      </c>
      <c r="P31" s="1">
        <v>36</v>
      </c>
      <c r="Q31" s="1">
        <v>7</v>
      </c>
      <c r="R31" s="1">
        <v>7.4</v>
      </c>
      <c r="S31" s="1">
        <v>5.3595520000000008</v>
      </c>
    </row>
    <row r="32" spans="1:19" x14ac:dyDescent="0.3">
      <c r="A32" s="1" t="s">
        <v>96</v>
      </c>
      <c r="B32" s="1" t="s">
        <v>99</v>
      </c>
      <c r="C32" s="1">
        <v>1</v>
      </c>
      <c r="D32" s="1">
        <v>12</v>
      </c>
      <c r="E32" s="1">
        <v>330</v>
      </c>
      <c r="F32" s="1">
        <v>64</v>
      </c>
      <c r="G32" s="1">
        <v>12</v>
      </c>
      <c r="H32" s="1">
        <v>135</v>
      </c>
      <c r="I32" s="1" t="s">
        <v>176</v>
      </c>
      <c r="J32" s="1">
        <v>45</v>
      </c>
      <c r="K32" s="1">
        <v>3</v>
      </c>
      <c r="L32" s="1">
        <v>11</v>
      </c>
      <c r="M32" s="1">
        <v>190</v>
      </c>
      <c r="N32" s="1">
        <v>5</v>
      </c>
      <c r="O32" s="1">
        <v>48.1</v>
      </c>
      <c r="P32" s="1">
        <v>38</v>
      </c>
      <c r="Q32" s="1">
        <v>8</v>
      </c>
      <c r="R32" s="1">
        <v>8</v>
      </c>
      <c r="S32" s="1">
        <v>4.7875839999999998</v>
      </c>
    </row>
    <row r="33" spans="1:19" x14ac:dyDescent="0.3">
      <c r="A33" s="1" t="s">
        <v>96</v>
      </c>
      <c r="B33" s="1" t="s">
        <v>99</v>
      </c>
      <c r="C33" s="1">
        <v>1</v>
      </c>
      <c r="D33" s="1">
        <v>13</v>
      </c>
      <c r="E33" s="1">
        <v>362</v>
      </c>
      <c r="F33" s="1">
        <v>69</v>
      </c>
      <c r="G33" s="1">
        <v>14</v>
      </c>
      <c r="H33" s="1">
        <v>83</v>
      </c>
      <c r="I33" s="1" t="s">
        <v>177</v>
      </c>
      <c r="J33" s="1">
        <v>44</v>
      </c>
      <c r="K33" s="1">
        <v>2</v>
      </c>
      <c r="L33" s="1">
        <v>11</v>
      </c>
      <c r="M33" s="1">
        <v>172</v>
      </c>
      <c r="N33" s="1">
        <v>7</v>
      </c>
      <c r="O33" s="1">
        <v>50.5</v>
      </c>
      <c r="P33" s="1">
        <v>39</v>
      </c>
      <c r="Q33" s="1">
        <v>8</v>
      </c>
      <c r="R33" s="1">
        <v>8</v>
      </c>
      <c r="S33" s="1">
        <v>8.0965248000000027</v>
      </c>
    </row>
    <row r="34" spans="1:19" x14ac:dyDescent="0.3">
      <c r="A34" s="1" t="s">
        <v>96</v>
      </c>
      <c r="B34" s="1" t="s">
        <v>99</v>
      </c>
      <c r="C34" s="1">
        <v>1</v>
      </c>
      <c r="D34" s="1">
        <v>14</v>
      </c>
      <c r="E34" s="1">
        <v>337</v>
      </c>
      <c r="F34" s="1">
        <v>69</v>
      </c>
      <c r="G34" s="1">
        <v>13</v>
      </c>
      <c r="H34" s="1">
        <v>95</v>
      </c>
      <c r="I34" s="1" t="s">
        <v>175</v>
      </c>
      <c r="J34" s="1">
        <v>43</v>
      </c>
      <c r="K34" s="1">
        <v>1</v>
      </c>
      <c r="L34" s="1">
        <v>11</v>
      </c>
      <c r="M34" s="1">
        <v>158</v>
      </c>
      <c r="N34" s="1">
        <v>7</v>
      </c>
      <c r="O34" s="1">
        <v>46.7</v>
      </c>
      <c r="P34" s="1">
        <v>37</v>
      </c>
      <c r="Q34" s="1">
        <v>8</v>
      </c>
      <c r="R34" s="1">
        <v>7.6</v>
      </c>
      <c r="S34" s="1">
        <v>9.3243494400000024</v>
      </c>
    </row>
    <row r="35" spans="1:19" x14ac:dyDescent="0.3">
      <c r="A35" s="1" t="s">
        <v>96</v>
      </c>
      <c r="B35" s="1" t="s">
        <v>109</v>
      </c>
      <c r="C35" s="1">
        <v>3</v>
      </c>
      <c r="D35" s="1">
        <v>1</v>
      </c>
      <c r="E35" s="1">
        <v>383</v>
      </c>
      <c r="F35" s="1">
        <v>78</v>
      </c>
      <c r="G35" s="1">
        <v>15</v>
      </c>
      <c r="H35" s="1">
        <v>180</v>
      </c>
      <c r="I35" s="1" t="s">
        <v>176</v>
      </c>
      <c r="J35" s="1">
        <v>45</v>
      </c>
      <c r="K35" s="1">
        <v>3</v>
      </c>
      <c r="L35" s="1">
        <v>10</v>
      </c>
      <c r="M35" s="1">
        <v>237</v>
      </c>
      <c r="N35" s="1">
        <v>7</v>
      </c>
      <c r="O35" s="1">
        <v>58.7</v>
      </c>
      <c r="P35" s="1">
        <v>39</v>
      </c>
      <c r="Q35" s="1">
        <v>8</v>
      </c>
      <c r="R35" s="1">
        <v>9</v>
      </c>
      <c r="S35" s="1">
        <v>9.8314944000000004</v>
      </c>
    </row>
    <row r="36" spans="1:19" x14ac:dyDescent="0.3">
      <c r="A36" s="1" t="s">
        <v>96</v>
      </c>
      <c r="B36" s="1" t="s">
        <v>109</v>
      </c>
      <c r="C36" s="1">
        <v>3</v>
      </c>
      <c r="D36" s="1">
        <v>3</v>
      </c>
      <c r="E36" s="1">
        <v>334</v>
      </c>
      <c r="F36" s="1">
        <v>68</v>
      </c>
      <c r="G36" s="1">
        <v>14</v>
      </c>
      <c r="H36" s="1">
        <v>130</v>
      </c>
      <c r="I36" s="1" t="s">
        <v>178</v>
      </c>
      <c r="J36" s="1">
        <v>46</v>
      </c>
      <c r="K36" s="1">
        <v>4</v>
      </c>
      <c r="L36" s="1">
        <v>11</v>
      </c>
      <c r="M36" s="1">
        <v>190</v>
      </c>
      <c r="N36" s="1">
        <v>5</v>
      </c>
      <c r="O36" s="1">
        <v>46</v>
      </c>
      <c r="P36" s="1">
        <v>38</v>
      </c>
      <c r="Q36" s="1">
        <v>7</v>
      </c>
      <c r="R36" s="1">
        <v>8.4</v>
      </c>
      <c r="S36" s="1">
        <v>6.2386879999999998</v>
      </c>
    </row>
    <row r="37" spans="1:19" x14ac:dyDescent="0.3">
      <c r="A37" s="1" t="s">
        <v>96</v>
      </c>
      <c r="B37" s="1" t="s">
        <v>109</v>
      </c>
      <c r="C37" s="1">
        <v>3</v>
      </c>
      <c r="D37" s="1">
        <v>4</v>
      </c>
      <c r="E37" s="1">
        <v>350</v>
      </c>
      <c r="F37" s="1">
        <v>71</v>
      </c>
      <c r="G37" s="1">
        <v>12</v>
      </c>
      <c r="H37" s="1">
        <v>168</v>
      </c>
      <c r="I37" s="1" t="s">
        <v>180</v>
      </c>
      <c r="J37" s="1">
        <v>40</v>
      </c>
      <c r="K37" s="1">
        <v>50</v>
      </c>
      <c r="L37" s="1">
        <v>11</v>
      </c>
      <c r="M37" s="1">
        <v>215</v>
      </c>
      <c r="N37" s="1">
        <v>6</v>
      </c>
      <c r="O37" s="1">
        <v>52.4</v>
      </c>
      <c r="P37" s="1">
        <v>39</v>
      </c>
      <c r="Q37" s="1">
        <v>8</v>
      </c>
      <c r="R37" s="1">
        <v>8</v>
      </c>
      <c r="S37" s="1">
        <v>7.7851200000000018</v>
      </c>
    </row>
    <row r="38" spans="1:19" x14ac:dyDescent="0.3">
      <c r="A38" s="1" t="s">
        <v>96</v>
      </c>
      <c r="B38" s="1" t="s">
        <v>109</v>
      </c>
      <c r="C38" s="1">
        <v>3</v>
      </c>
      <c r="D38" s="1">
        <v>5</v>
      </c>
      <c r="E38" s="1">
        <v>330</v>
      </c>
      <c r="F38" s="1">
        <v>64</v>
      </c>
      <c r="G38" s="1">
        <v>11</v>
      </c>
      <c r="H38" s="1">
        <v>165</v>
      </c>
      <c r="I38" s="1" t="s">
        <v>180</v>
      </c>
      <c r="J38" s="1">
        <v>40</v>
      </c>
      <c r="K38" s="1">
        <v>50</v>
      </c>
      <c r="L38" s="1">
        <v>11</v>
      </c>
      <c r="M38" s="1">
        <v>215</v>
      </c>
      <c r="N38" s="1">
        <v>6</v>
      </c>
      <c r="O38" s="1">
        <v>48</v>
      </c>
      <c r="P38" s="1">
        <v>40</v>
      </c>
      <c r="Q38" s="1">
        <v>8</v>
      </c>
      <c r="R38" s="1">
        <v>7.8</v>
      </c>
      <c r="S38" s="1">
        <v>6.7206240000000008</v>
      </c>
    </row>
    <row r="39" spans="1:19" x14ac:dyDescent="0.3">
      <c r="A39" s="1" t="s">
        <v>96</v>
      </c>
      <c r="B39" s="1" t="s">
        <v>109</v>
      </c>
      <c r="C39" s="1">
        <v>3</v>
      </c>
      <c r="D39" s="1">
        <v>6</v>
      </c>
      <c r="E39" s="1">
        <v>325</v>
      </c>
      <c r="F39" s="1">
        <v>61</v>
      </c>
      <c r="G39" s="1">
        <v>13</v>
      </c>
      <c r="H39" s="1">
        <v>95</v>
      </c>
      <c r="I39" s="1" t="s">
        <v>176</v>
      </c>
      <c r="J39" s="1">
        <v>45</v>
      </c>
      <c r="K39" s="1">
        <v>3</v>
      </c>
      <c r="L39" s="1">
        <v>11</v>
      </c>
      <c r="M39" s="1">
        <v>164</v>
      </c>
      <c r="N39" s="1">
        <v>4</v>
      </c>
      <c r="O39" s="1">
        <v>43.3</v>
      </c>
      <c r="P39" s="1">
        <v>39</v>
      </c>
      <c r="Q39" s="1">
        <v>7</v>
      </c>
      <c r="R39" s="1">
        <v>8.1999999999999993</v>
      </c>
      <c r="S39" s="1">
        <v>4.0037760000000011</v>
      </c>
    </row>
    <row r="40" spans="1:19" x14ac:dyDescent="0.3">
      <c r="A40" s="1" t="s">
        <v>96</v>
      </c>
      <c r="B40" s="1" t="s">
        <v>109</v>
      </c>
      <c r="C40" s="1">
        <v>3</v>
      </c>
      <c r="D40" s="1">
        <v>7</v>
      </c>
      <c r="E40" s="1">
        <v>345</v>
      </c>
      <c r="F40" s="1">
        <v>66</v>
      </c>
      <c r="G40" s="1">
        <v>11</v>
      </c>
      <c r="H40" s="1">
        <v>144</v>
      </c>
      <c r="I40" s="1" t="s">
        <v>173</v>
      </c>
      <c r="J40" s="1">
        <v>39</v>
      </c>
      <c r="K40" s="1">
        <v>49</v>
      </c>
      <c r="L40" s="1">
        <v>11</v>
      </c>
      <c r="M40" s="1">
        <v>175</v>
      </c>
      <c r="N40" s="1">
        <v>8</v>
      </c>
      <c r="O40" s="1">
        <v>49</v>
      </c>
      <c r="P40" s="1">
        <v>40</v>
      </c>
      <c r="Q40" s="1">
        <v>8</v>
      </c>
      <c r="R40" s="1">
        <v>8.1999999999999993</v>
      </c>
      <c r="S40" s="1">
        <v>9.5497472000000023</v>
      </c>
    </row>
    <row r="41" spans="1:19" x14ac:dyDescent="0.3">
      <c r="A41" s="1" t="s">
        <v>96</v>
      </c>
      <c r="B41" s="1" t="s">
        <v>109</v>
      </c>
      <c r="C41" s="1">
        <v>3</v>
      </c>
      <c r="D41" s="1">
        <v>8</v>
      </c>
      <c r="E41" s="1">
        <v>370</v>
      </c>
      <c r="F41" s="1">
        <v>69</v>
      </c>
      <c r="G41" s="1">
        <v>14</v>
      </c>
      <c r="H41" s="1">
        <v>125</v>
      </c>
      <c r="I41" s="1" t="s">
        <v>175</v>
      </c>
      <c r="J41" s="1">
        <v>42</v>
      </c>
      <c r="K41" s="1">
        <v>52</v>
      </c>
      <c r="L41" s="1">
        <v>11</v>
      </c>
      <c r="M41" s="1">
        <v>198</v>
      </c>
      <c r="N41" s="1">
        <v>4</v>
      </c>
      <c r="O41" s="1">
        <v>53.5</v>
      </c>
      <c r="P41" s="1">
        <v>39</v>
      </c>
      <c r="Q41" s="1">
        <v>8</v>
      </c>
      <c r="R41" s="1">
        <v>7.6</v>
      </c>
      <c r="S41" s="1">
        <v>4.1414720000000003</v>
      </c>
    </row>
    <row r="42" spans="1:19" x14ac:dyDescent="0.3">
      <c r="A42" s="1" t="s">
        <v>96</v>
      </c>
      <c r="B42" s="1" t="s">
        <v>109</v>
      </c>
      <c r="C42" s="1">
        <v>3</v>
      </c>
      <c r="D42" s="1">
        <v>9</v>
      </c>
      <c r="E42" s="1">
        <v>363</v>
      </c>
      <c r="F42" s="1">
        <v>70</v>
      </c>
      <c r="G42" s="1">
        <v>12</v>
      </c>
      <c r="H42" s="1">
        <v>100</v>
      </c>
      <c r="I42" s="1" t="s">
        <v>174</v>
      </c>
      <c r="J42" s="1">
        <v>42</v>
      </c>
      <c r="K42" s="1">
        <v>52</v>
      </c>
      <c r="L42" s="1">
        <v>11</v>
      </c>
      <c r="M42" s="1">
        <v>180</v>
      </c>
      <c r="N42" s="1">
        <v>5</v>
      </c>
      <c r="O42" s="1">
        <v>52</v>
      </c>
      <c r="P42" s="1">
        <v>39</v>
      </c>
      <c r="Q42" s="1">
        <v>8</v>
      </c>
      <c r="R42" s="1">
        <v>8</v>
      </c>
      <c r="S42" s="1">
        <v>5.9421119999999998</v>
      </c>
    </row>
    <row r="43" spans="1:19" x14ac:dyDescent="0.3">
      <c r="A43" s="1" t="s">
        <v>96</v>
      </c>
      <c r="B43" s="1" t="s">
        <v>109</v>
      </c>
      <c r="C43" s="1">
        <v>3</v>
      </c>
      <c r="D43" s="1">
        <v>12</v>
      </c>
      <c r="E43" s="1">
        <v>350</v>
      </c>
      <c r="F43" s="1">
        <v>63</v>
      </c>
      <c r="G43" s="1">
        <v>12</v>
      </c>
      <c r="H43" s="1">
        <v>156</v>
      </c>
      <c r="I43" s="1" t="s">
        <v>174</v>
      </c>
      <c r="J43" s="1">
        <v>42</v>
      </c>
      <c r="K43" s="1">
        <v>52</v>
      </c>
      <c r="L43" s="1">
        <v>11</v>
      </c>
      <c r="M43" s="1">
        <v>185</v>
      </c>
      <c r="N43" s="1">
        <v>6</v>
      </c>
      <c r="O43" s="1">
        <v>42</v>
      </c>
      <c r="P43" s="1">
        <v>39</v>
      </c>
      <c r="Q43" s="1">
        <v>7</v>
      </c>
      <c r="R43" s="1">
        <v>7.4</v>
      </c>
      <c r="S43" s="1">
        <v>6.7110912000000011</v>
      </c>
    </row>
    <row r="44" spans="1:19" x14ac:dyDescent="0.3">
      <c r="A44" s="1" t="s">
        <v>96</v>
      </c>
      <c r="B44" s="1" t="s">
        <v>109</v>
      </c>
      <c r="C44" s="1">
        <v>3</v>
      </c>
      <c r="D44" s="1">
        <v>13</v>
      </c>
      <c r="E44" s="1">
        <v>365</v>
      </c>
      <c r="F44" s="1">
        <v>72</v>
      </c>
      <c r="G44" s="1">
        <v>13</v>
      </c>
      <c r="H44" s="1">
        <v>110</v>
      </c>
      <c r="I44" s="1" t="s">
        <v>178</v>
      </c>
      <c r="J44" s="1">
        <v>46</v>
      </c>
      <c r="K44" s="1">
        <v>4</v>
      </c>
      <c r="L44" s="1">
        <v>11</v>
      </c>
      <c r="M44" s="1">
        <v>200</v>
      </c>
      <c r="N44" s="1">
        <v>5</v>
      </c>
      <c r="O44" s="1">
        <v>49.5</v>
      </c>
      <c r="P44" s="1">
        <v>38</v>
      </c>
      <c r="Q44" s="1">
        <v>8</v>
      </c>
      <c r="R44" s="1">
        <v>8.1999999999999993</v>
      </c>
      <c r="S44" s="1">
        <v>5.9580000000000002</v>
      </c>
    </row>
    <row r="45" spans="1:19" x14ac:dyDescent="0.3">
      <c r="A45" s="1" t="s">
        <v>96</v>
      </c>
      <c r="B45" s="1" t="s">
        <v>109</v>
      </c>
      <c r="C45" s="1">
        <v>3</v>
      </c>
      <c r="D45" s="1">
        <v>14</v>
      </c>
      <c r="E45" s="1">
        <v>367</v>
      </c>
      <c r="F45" s="1">
        <v>68</v>
      </c>
      <c r="G45" s="1">
        <v>12</v>
      </c>
      <c r="H45" s="1">
        <v>170</v>
      </c>
      <c r="I45" s="1" t="s">
        <v>179</v>
      </c>
      <c r="J45" s="1">
        <v>41</v>
      </c>
      <c r="K45" s="1">
        <v>51</v>
      </c>
      <c r="L45" s="1">
        <v>11</v>
      </c>
      <c r="M45" s="1">
        <v>230</v>
      </c>
      <c r="N45" s="1">
        <v>8</v>
      </c>
      <c r="O45" s="1">
        <v>53.5</v>
      </c>
      <c r="P45" s="1">
        <v>40</v>
      </c>
      <c r="Q45" s="1">
        <v>8</v>
      </c>
      <c r="R45" s="1">
        <v>8.4</v>
      </c>
      <c r="S45" s="1">
        <v>8.7701759999999993</v>
      </c>
    </row>
    <row r="46" spans="1:19" x14ac:dyDescent="0.3">
      <c r="A46" s="1" t="s">
        <v>96</v>
      </c>
      <c r="B46" s="1" t="s">
        <v>99</v>
      </c>
      <c r="C46" s="1">
        <v>2</v>
      </c>
      <c r="D46" s="1">
        <v>1</v>
      </c>
      <c r="E46" s="1">
        <v>351</v>
      </c>
      <c r="F46" s="1">
        <v>70</v>
      </c>
      <c r="G46" s="1">
        <v>13</v>
      </c>
      <c r="H46" s="1">
        <v>110</v>
      </c>
      <c r="I46" s="1" t="s">
        <v>175</v>
      </c>
      <c r="J46" s="1">
        <v>43</v>
      </c>
      <c r="K46" s="1">
        <v>1</v>
      </c>
      <c r="L46" s="1">
        <v>11</v>
      </c>
      <c r="M46" s="1">
        <v>170</v>
      </c>
      <c r="N46" s="1">
        <v>5</v>
      </c>
      <c r="O46" s="1">
        <v>52</v>
      </c>
      <c r="P46" s="1">
        <v>39</v>
      </c>
      <c r="Q46" s="1">
        <v>8</v>
      </c>
      <c r="R46" s="1">
        <v>8.1999999999999993</v>
      </c>
      <c r="S46" s="1">
        <v>6.3578480000000006</v>
      </c>
    </row>
    <row r="47" spans="1:19" x14ac:dyDescent="0.3">
      <c r="A47" s="1" t="s">
        <v>96</v>
      </c>
      <c r="B47" s="1" t="s">
        <v>99</v>
      </c>
      <c r="C47" s="1">
        <v>2</v>
      </c>
      <c r="D47" s="1">
        <v>2</v>
      </c>
      <c r="E47" s="1">
        <v>305</v>
      </c>
      <c r="F47" s="1">
        <v>60</v>
      </c>
      <c r="G47" s="1">
        <v>12</v>
      </c>
      <c r="H47" s="1">
        <v>125</v>
      </c>
      <c r="I47" s="1" t="s">
        <v>180</v>
      </c>
      <c r="J47" s="1">
        <v>48</v>
      </c>
      <c r="K47" s="1">
        <v>6</v>
      </c>
      <c r="L47" s="1">
        <v>11</v>
      </c>
      <c r="M47" s="1">
        <v>177</v>
      </c>
      <c r="N47" s="1">
        <v>6</v>
      </c>
      <c r="O47" s="1">
        <v>33</v>
      </c>
      <c r="P47" s="1">
        <v>38</v>
      </c>
      <c r="Q47" s="1">
        <v>7</v>
      </c>
      <c r="R47" s="1">
        <v>8.6</v>
      </c>
      <c r="S47" s="1">
        <v>6.0520569600000007</v>
      </c>
    </row>
    <row r="48" spans="1:19" x14ac:dyDescent="0.3">
      <c r="A48" s="1" t="s">
        <v>96</v>
      </c>
      <c r="B48" s="1" t="s">
        <v>99</v>
      </c>
      <c r="C48" s="1">
        <v>2</v>
      </c>
      <c r="D48" s="1">
        <v>5</v>
      </c>
      <c r="E48" s="1">
        <v>336</v>
      </c>
      <c r="F48" s="1">
        <v>62</v>
      </c>
      <c r="G48" s="1">
        <v>13</v>
      </c>
      <c r="H48" s="1">
        <v>90</v>
      </c>
      <c r="I48" s="1" t="s">
        <v>178</v>
      </c>
      <c r="J48" s="1">
        <v>46</v>
      </c>
      <c r="K48" s="1">
        <v>4</v>
      </c>
      <c r="L48" s="1">
        <v>12</v>
      </c>
      <c r="M48" s="1">
        <v>144</v>
      </c>
      <c r="N48" s="1">
        <v>4</v>
      </c>
      <c r="O48" s="1">
        <v>39.6</v>
      </c>
      <c r="P48" s="1">
        <v>39</v>
      </c>
      <c r="Q48" s="1">
        <v>7</v>
      </c>
      <c r="R48" s="1">
        <v>7.6</v>
      </c>
      <c r="S48" s="1">
        <v>4.6604800000000006</v>
      </c>
    </row>
    <row r="49" spans="1:19" x14ac:dyDescent="0.3">
      <c r="A49" s="1" t="s">
        <v>96</v>
      </c>
      <c r="B49" s="1" t="s">
        <v>99</v>
      </c>
      <c r="C49" s="1">
        <v>2</v>
      </c>
      <c r="D49" s="1">
        <v>6</v>
      </c>
      <c r="E49" s="1">
        <v>320</v>
      </c>
      <c r="F49" s="1">
        <v>66</v>
      </c>
      <c r="G49" s="1">
        <v>13</v>
      </c>
      <c r="H49" s="1">
        <v>86</v>
      </c>
      <c r="I49" s="1" t="s">
        <v>178</v>
      </c>
      <c r="J49" s="1">
        <v>46</v>
      </c>
      <c r="K49" s="1">
        <v>4</v>
      </c>
      <c r="L49" s="1">
        <v>11</v>
      </c>
      <c r="M49" s="1">
        <v>180</v>
      </c>
      <c r="N49" s="1">
        <v>4</v>
      </c>
      <c r="O49" s="1">
        <v>48</v>
      </c>
      <c r="P49" s="1">
        <v>37</v>
      </c>
      <c r="Q49" s="1">
        <v>8</v>
      </c>
      <c r="R49" s="1">
        <v>7.4</v>
      </c>
      <c r="S49" s="1">
        <v>4.1446496000000002</v>
      </c>
    </row>
    <row r="50" spans="1:19" x14ac:dyDescent="0.3">
      <c r="A50" s="1" t="s">
        <v>96</v>
      </c>
      <c r="B50" s="1" t="s">
        <v>99</v>
      </c>
      <c r="C50" s="1">
        <v>2</v>
      </c>
      <c r="D50" s="1">
        <v>7</v>
      </c>
      <c r="E50" s="1">
        <v>346</v>
      </c>
      <c r="F50" s="1">
        <v>69</v>
      </c>
      <c r="G50" s="1">
        <v>14</v>
      </c>
      <c r="H50" s="1">
        <v>78</v>
      </c>
      <c r="I50" s="1" t="s">
        <v>173</v>
      </c>
      <c r="J50" s="1">
        <v>3</v>
      </c>
      <c r="K50" s="1">
        <v>13</v>
      </c>
      <c r="L50" s="1">
        <v>11</v>
      </c>
      <c r="M50" s="1">
        <v>153</v>
      </c>
      <c r="N50" s="1">
        <v>6</v>
      </c>
      <c r="O50" s="1">
        <v>49.6</v>
      </c>
      <c r="P50" s="1">
        <v>39</v>
      </c>
      <c r="Q50" s="1">
        <v>8</v>
      </c>
      <c r="R50" s="1">
        <v>8.4</v>
      </c>
      <c r="S50" s="1">
        <v>7.9440000000000008</v>
      </c>
    </row>
    <row r="51" spans="1:19" x14ac:dyDescent="0.3">
      <c r="A51" s="1" t="s">
        <v>96</v>
      </c>
      <c r="B51" s="1" t="s">
        <v>99</v>
      </c>
      <c r="C51" s="1">
        <v>2</v>
      </c>
      <c r="D51" s="1">
        <v>8</v>
      </c>
      <c r="E51" s="1">
        <v>325</v>
      </c>
      <c r="F51" s="1">
        <v>63</v>
      </c>
      <c r="G51" s="1">
        <v>12</v>
      </c>
      <c r="H51" s="1">
        <v>60</v>
      </c>
      <c r="I51" s="1" t="s">
        <v>176</v>
      </c>
      <c r="J51" s="1">
        <v>45</v>
      </c>
      <c r="K51" s="1">
        <v>3</v>
      </c>
      <c r="L51" s="1">
        <v>11</v>
      </c>
      <c r="M51" s="1">
        <v>130</v>
      </c>
      <c r="N51" s="1">
        <v>5</v>
      </c>
      <c r="O51" s="1">
        <v>45.3</v>
      </c>
      <c r="P51" s="1">
        <v>38</v>
      </c>
      <c r="Q51" s="1">
        <v>7</v>
      </c>
      <c r="R51" s="1">
        <v>8</v>
      </c>
      <c r="S51" s="1">
        <v>4.4910080000000008</v>
      </c>
    </row>
    <row r="52" spans="1:19" x14ac:dyDescent="0.3">
      <c r="A52" s="1" t="s">
        <v>96</v>
      </c>
      <c r="B52" s="1" t="s">
        <v>99</v>
      </c>
      <c r="C52" s="1">
        <v>2</v>
      </c>
      <c r="D52" s="1">
        <v>9</v>
      </c>
      <c r="E52" s="1">
        <v>331</v>
      </c>
      <c r="F52" s="1">
        <v>64</v>
      </c>
      <c r="G52" s="1">
        <v>12</v>
      </c>
      <c r="H52" s="1">
        <v>85</v>
      </c>
      <c r="I52" s="1" t="s">
        <v>177</v>
      </c>
      <c r="J52" s="1">
        <v>44</v>
      </c>
      <c r="K52" s="1">
        <v>2</v>
      </c>
      <c r="L52" s="1">
        <v>11</v>
      </c>
      <c r="M52" s="1">
        <v>170</v>
      </c>
      <c r="N52" s="1">
        <v>5</v>
      </c>
      <c r="O52" s="1">
        <v>42</v>
      </c>
      <c r="P52" s="1">
        <v>38</v>
      </c>
      <c r="Q52" s="1">
        <v>7</v>
      </c>
      <c r="R52" s="1">
        <v>8</v>
      </c>
      <c r="S52" s="1">
        <v>5.6243520000000018</v>
      </c>
    </row>
    <row r="53" spans="1:19" x14ac:dyDescent="0.3">
      <c r="A53" s="1" t="s">
        <v>96</v>
      </c>
      <c r="B53" s="1" t="s">
        <v>99</v>
      </c>
      <c r="C53" s="1">
        <v>2</v>
      </c>
      <c r="D53" s="1">
        <v>10</v>
      </c>
      <c r="E53" s="1">
        <v>330</v>
      </c>
      <c r="F53" s="1">
        <v>66</v>
      </c>
      <c r="G53" s="1">
        <v>10</v>
      </c>
      <c r="H53" s="1">
        <v>130</v>
      </c>
      <c r="I53" s="1" t="s">
        <v>176</v>
      </c>
      <c r="J53" s="1">
        <v>45</v>
      </c>
      <c r="K53" s="1">
        <v>3</v>
      </c>
      <c r="L53" s="1">
        <v>11</v>
      </c>
      <c r="M53" s="1">
        <v>220</v>
      </c>
      <c r="N53" s="1">
        <v>2</v>
      </c>
      <c r="O53" s="1">
        <v>43.4</v>
      </c>
      <c r="P53" s="1">
        <v>38</v>
      </c>
      <c r="Q53" s="1">
        <v>8</v>
      </c>
      <c r="R53" s="1">
        <v>8.1999999999999993</v>
      </c>
      <c r="S53" s="1">
        <v>2.2412671999999998</v>
      </c>
    </row>
    <row r="54" spans="1:19" x14ac:dyDescent="0.3">
      <c r="A54" s="1" t="s">
        <v>96</v>
      </c>
      <c r="B54" s="1" t="s">
        <v>99</v>
      </c>
      <c r="C54" s="1">
        <v>2</v>
      </c>
      <c r="D54" s="1">
        <v>14</v>
      </c>
      <c r="E54" s="1">
        <v>266</v>
      </c>
      <c r="F54" s="1">
        <v>53</v>
      </c>
      <c r="G54" s="1">
        <v>11</v>
      </c>
      <c r="H54" s="1">
        <v>87</v>
      </c>
      <c r="I54" s="1" t="s">
        <v>177</v>
      </c>
      <c r="J54" s="1">
        <v>44</v>
      </c>
      <c r="K54" s="1">
        <v>2</v>
      </c>
      <c r="L54" s="1">
        <v>11</v>
      </c>
      <c r="M54" s="1">
        <v>148</v>
      </c>
      <c r="N54" s="1">
        <v>5</v>
      </c>
      <c r="O54" s="1">
        <v>28.6</v>
      </c>
      <c r="P54" s="1">
        <v>38</v>
      </c>
      <c r="Q54" s="1">
        <v>6</v>
      </c>
      <c r="R54" s="1">
        <v>7.8</v>
      </c>
      <c r="S54" s="1">
        <v>4.1798679999999999</v>
      </c>
    </row>
    <row r="55" spans="1:19" x14ac:dyDescent="0.3">
      <c r="A55" s="1" t="s">
        <v>96</v>
      </c>
      <c r="B55" s="1" t="s">
        <v>97</v>
      </c>
      <c r="C55" s="1">
        <v>2</v>
      </c>
      <c r="D55" s="1">
        <v>4</v>
      </c>
      <c r="E55" s="1">
        <v>325</v>
      </c>
      <c r="F55" s="1">
        <v>67</v>
      </c>
      <c r="G55" s="1">
        <v>10</v>
      </c>
      <c r="H55" s="1">
        <v>103</v>
      </c>
      <c r="I55" s="1" t="s">
        <v>173</v>
      </c>
      <c r="J55" s="1">
        <v>3</v>
      </c>
      <c r="K55" s="1">
        <v>13</v>
      </c>
      <c r="L55" s="1">
        <v>11</v>
      </c>
      <c r="M55" s="1">
        <v>150</v>
      </c>
      <c r="N55" s="1">
        <v>6</v>
      </c>
      <c r="O55" s="1">
        <v>33.9</v>
      </c>
      <c r="P55" s="1">
        <v>37</v>
      </c>
      <c r="Q55" s="1">
        <v>7</v>
      </c>
      <c r="R55" s="1">
        <v>7.4</v>
      </c>
      <c r="S55" s="1">
        <v>6.7307923200000008</v>
      </c>
    </row>
    <row r="56" spans="1:19" x14ac:dyDescent="0.3">
      <c r="A56" s="1" t="s">
        <v>96</v>
      </c>
      <c r="B56" s="1" t="s">
        <v>97</v>
      </c>
      <c r="C56" s="1">
        <v>2</v>
      </c>
      <c r="D56" s="1">
        <v>5</v>
      </c>
      <c r="E56" s="1">
        <v>294</v>
      </c>
      <c r="F56" s="1">
        <v>55</v>
      </c>
      <c r="G56" s="1">
        <v>8</v>
      </c>
      <c r="H56" s="1">
        <v>110</v>
      </c>
      <c r="I56" s="1" t="s">
        <v>175</v>
      </c>
      <c r="J56" s="1">
        <v>43</v>
      </c>
      <c r="K56" s="1">
        <v>1</v>
      </c>
      <c r="L56" s="1">
        <v>11</v>
      </c>
      <c r="M56" s="1">
        <v>154</v>
      </c>
      <c r="N56" s="1">
        <v>7</v>
      </c>
      <c r="O56" s="1">
        <v>34</v>
      </c>
      <c r="P56" s="1">
        <v>39</v>
      </c>
      <c r="Q56" s="1">
        <v>6</v>
      </c>
      <c r="R56" s="1">
        <v>7.8</v>
      </c>
      <c r="S56" s="1">
        <v>6.6507168000000014</v>
      </c>
    </row>
    <row r="57" spans="1:19" x14ac:dyDescent="0.3">
      <c r="A57" s="1" t="s">
        <v>96</v>
      </c>
      <c r="B57" s="1" t="s">
        <v>97</v>
      </c>
      <c r="C57" s="1">
        <v>2</v>
      </c>
      <c r="D57" s="1">
        <v>6</v>
      </c>
      <c r="E57" s="1">
        <v>360</v>
      </c>
      <c r="F57" s="1">
        <v>67</v>
      </c>
      <c r="G57" s="1">
        <v>12</v>
      </c>
      <c r="H57" s="1">
        <v>103</v>
      </c>
      <c r="I57" s="1" t="s">
        <v>173</v>
      </c>
      <c r="J57" s="1">
        <v>3</v>
      </c>
      <c r="K57" s="1">
        <v>13</v>
      </c>
      <c r="L57" s="1">
        <v>11</v>
      </c>
      <c r="M57" s="1">
        <v>210</v>
      </c>
      <c r="N57" s="1">
        <v>7</v>
      </c>
      <c r="O57" s="1">
        <v>45.9</v>
      </c>
      <c r="P57" s="1">
        <v>37</v>
      </c>
      <c r="Q57" s="1">
        <v>8</v>
      </c>
      <c r="R57" s="1">
        <v>8.1999999999999993</v>
      </c>
      <c r="S57" s="1">
        <v>9.6387200000000011</v>
      </c>
    </row>
    <row r="58" spans="1:19" x14ac:dyDescent="0.3">
      <c r="A58" s="1" t="s">
        <v>96</v>
      </c>
      <c r="B58" s="1" t="s">
        <v>97</v>
      </c>
      <c r="C58" s="1">
        <v>2</v>
      </c>
      <c r="D58" s="1">
        <v>7</v>
      </c>
      <c r="E58" s="1">
        <v>310</v>
      </c>
      <c r="F58" s="1">
        <v>57</v>
      </c>
      <c r="G58" s="1">
        <v>10</v>
      </c>
      <c r="H58" s="1">
        <v>60</v>
      </c>
      <c r="I58" s="1" t="s">
        <v>178</v>
      </c>
      <c r="J58" s="1">
        <v>46</v>
      </c>
      <c r="K58" s="1">
        <v>4</v>
      </c>
      <c r="L58" s="1">
        <v>11</v>
      </c>
      <c r="M58" s="1">
        <v>145</v>
      </c>
      <c r="N58" s="1">
        <v>6</v>
      </c>
      <c r="O58" s="1">
        <v>28.1</v>
      </c>
      <c r="P58" s="1">
        <v>38</v>
      </c>
      <c r="Q58" s="1">
        <v>6</v>
      </c>
      <c r="R58" s="1">
        <v>7.4</v>
      </c>
      <c r="S58" s="1">
        <v>7.2067968000000002</v>
      </c>
    </row>
    <row r="59" spans="1:19" x14ac:dyDescent="0.3">
      <c r="A59" s="1" t="s">
        <v>96</v>
      </c>
      <c r="B59" s="1" t="s">
        <v>97</v>
      </c>
      <c r="C59" s="1">
        <v>2</v>
      </c>
      <c r="D59" s="1">
        <v>9</v>
      </c>
      <c r="E59" s="1">
        <v>312</v>
      </c>
      <c r="F59" s="1">
        <v>58</v>
      </c>
      <c r="G59" s="1">
        <v>12</v>
      </c>
      <c r="H59" s="1">
        <v>88</v>
      </c>
      <c r="I59" s="1" t="s">
        <v>173</v>
      </c>
      <c r="J59" s="1">
        <v>3</v>
      </c>
      <c r="K59" s="1">
        <v>13</v>
      </c>
      <c r="L59" s="1">
        <v>11</v>
      </c>
      <c r="M59" s="1">
        <v>133</v>
      </c>
      <c r="N59" s="1">
        <v>6</v>
      </c>
      <c r="O59" s="1">
        <v>27.8</v>
      </c>
      <c r="P59" s="1">
        <v>38</v>
      </c>
      <c r="Q59" s="1">
        <v>6</v>
      </c>
      <c r="R59" s="1">
        <v>7.8</v>
      </c>
      <c r="S59" s="1">
        <v>5.8722047999999996</v>
      </c>
    </row>
    <row r="60" spans="1:19" x14ac:dyDescent="0.3">
      <c r="A60" s="1" t="s">
        <v>96</v>
      </c>
      <c r="B60" s="1" t="s">
        <v>97</v>
      </c>
      <c r="C60" s="1">
        <v>2</v>
      </c>
      <c r="D60" s="1">
        <v>10</v>
      </c>
      <c r="E60" s="1">
        <v>338</v>
      </c>
      <c r="F60" s="1">
        <v>61</v>
      </c>
      <c r="G60" s="1">
        <v>13</v>
      </c>
      <c r="H60" s="1">
        <v>55</v>
      </c>
      <c r="I60" s="1" t="s">
        <v>176</v>
      </c>
      <c r="J60" s="1">
        <v>45</v>
      </c>
      <c r="K60" s="1">
        <v>3</v>
      </c>
      <c r="L60" s="1">
        <v>11</v>
      </c>
      <c r="M60" s="1">
        <v>130</v>
      </c>
      <c r="N60" s="1">
        <v>5</v>
      </c>
      <c r="O60" s="1">
        <v>41</v>
      </c>
      <c r="P60" s="1">
        <v>38</v>
      </c>
      <c r="Q60" s="1">
        <v>7</v>
      </c>
      <c r="R60" s="1">
        <v>8.1999999999999993</v>
      </c>
      <c r="S60" s="1">
        <v>5.0841599999999998</v>
      </c>
    </row>
    <row r="61" spans="1:19" x14ac:dyDescent="0.3">
      <c r="A61" s="1" t="s">
        <v>96</v>
      </c>
      <c r="B61" s="1" t="s">
        <v>97</v>
      </c>
      <c r="C61" s="1">
        <v>2</v>
      </c>
      <c r="D61" s="1">
        <v>11</v>
      </c>
      <c r="E61" s="1">
        <v>303</v>
      </c>
      <c r="F61" s="1">
        <v>60</v>
      </c>
      <c r="G61" s="1">
        <v>12</v>
      </c>
      <c r="H61" s="1">
        <v>90</v>
      </c>
      <c r="I61" s="1" t="s">
        <v>177</v>
      </c>
      <c r="J61" s="1">
        <v>44</v>
      </c>
      <c r="K61" s="1">
        <v>2</v>
      </c>
      <c r="L61" s="1">
        <v>11</v>
      </c>
      <c r="M61" s="1">
        <v>150</v>
      </c>
      <c r="N61" s="1">
        <v>4</v>
      </c>
      <c r="O61" s="1">
        <v>40.5</v>
      </c>
      <c r="P61" s="1">
        <v>38</v>
      </c>
      <c r="Q61" s="1">
        <v>7</v>
      </c>
      <c r="R61" s="1">
        <v>8</v>
      </c>
      <c r="S61" s="1">
        <v>3.914803200000001</v>
      </c>
    </row>
    <row r="62" spans="1:19" x14ac:dyDescent="0.3">
      <c r="A62" s="1" t="s">
        <v>96</v>
      </c>
      <c r="B62" s="1" t="s">
        <v>97</v>
      </c>
      <c r="C62" s="1">
        <v>2</v>
      </c>
      <c r="D62" s="1">
        <v>12</v>
      </c>
      <c r="E62" s="1">
        <v>315</v>
      </c>
      <c r="F62" s="1">
        <v>59</v>
      </c>
      <c r="G62" s="1">
        <v>13</v>
      </c>
      <c r="H62" s="1">
        <v>87</v>
      </c>
      <c r="I62" s="1" t="s">
        <v>176</v>
      </c>
      <c r="J62" s="1">
        <v>45</v>
      </c>
      <c r="K62" s="1">
        <v>3</v>
      </c>
      <c r="L62" s="1">
        <v>11</v>
      </c>
      <c r="M62" s="1">
        <v>142</v>
      </c>
      <c r="N62" s="1">
        <v>5</v>
      </c>
      <c r="O62" s="1">
        <v>32.200000000000003</v>
      </c>
      <c r="P62" s="1">
        <v>38</v>
      </c>
      <c r="Q62" s="1">
        <v>6</v>
      </c>
      <c r="R62" s="1">
        <v>7.8</v>
      </c>
      <c r="S62" s="1">
        <v>4.5545600000000004</v>
      </c>
    </row>
    <row r="63" spans="1:19" x14ac:dyDescent="0.3">
      <c r="A63" s="1" t="s">
        <v>96</v>
      </c>
      <c r="B63" s="1" t="s">
        <v>97</v>
      </c>
      <c r="C63" s="1">
        <v>2</v>
      </c>
      <c r="D63" s="1">
        <v>13</v>
      </c>
      <c r="E63" s="1">
        <v>311</v>
      </c>
      <c r="F63" s="1">
        <v>61</v>
      </c>
      <c r="G63" s="1">
        <v>12</v>
      </c>
      <c r="H63" s="1">
        <v>127</v>
      </c>
      <c r="I63" s="1" t="s">
        <v>177</v>
      </c>
      <c r="J63" s="1">
        <v>44</v>
      </c>
      <c r="K63" s="1">
        <v>2</v>
      </c>
      <c r="L63" s="1">
        <v>11</v>
      </c>
      <c r="M63" s="1">
        <v>180</v>
      </c>
      <c r="N63" s="1">
        <v>5</v>
      </c>
      <c r="O63" s="1">
        <v>40</v>
      </c>
      <c r="P63" s="1">
        <v>39</v>
      </c>
      <c r="Q63" s="1">
        <v>7</v>
      </c>
      <c r="R63" s="1">
        <v>8</v>
      </c>
      <c r="S63" s="1">
        <v>5.6481840000000014</v>
      </c>
    </row>
    <row r="64" spans="1:19" x14ac:dyDescent="0.3">
      <c r="A64" s="1" t="s">
        <v>96</v>
      </c>
      <c r="B64" s="1" t="s">
        <v>172</v>
      </c>
      <c r="C64" s="1">
        <v>3</v>
      </c>
      <c r="D64" s="1">
        <v>1</v>
      </c>
      <c r="E64" s="1">
        <v>342</v>
      </c>
      <c r="F64" s="1">
        <v>70</v>
      </c>
      <c r="G64" s="1">
        <v>14</v>
      </c>
      <c r="H64" s="1">
        <v>130</v>
      </c>
      <c r="I64" s="1" t="s">
        <v>178</v>
      </c>
      <c r="J64" s="1">
        <v>46</v>
      </c>
      <c r="K64" s="1">
        <v>4</v>
      </c>
      <c r="L64" s="1">
        <v>11</v>
      </c>
      <c r="M64" s="1">
        <v>190</v>
      </c>
      <c r="N64" s="1">
        <v>5</v>
      </c>
      <c r="O64" s="1">
        <v>49.5</v>
      </c>
      <c r="P64" s="1">
        <v>39</v>
      </c>
      <c r="Q64" s="1">
        <v>8</v>
      </c>
      <c r="R64" s="1">
        <v>8.1999999999999993</v>
      </c>
      <c r="S64" s="1">
        <v>5.7196800000000003</v>
      </c>
    </row>
    <row r="65" spans="1:19" x14ac:dyDescent="0.3">
      <c r="A65" s="1" t="s">
        <v>96</v>
      </c>
      <c r="B65" s="1" t="s">
        <v>172</v>
      </c>
      <c r="C65" s="1">
        <v>3</v>
      </c>
      <c r="D65" s="1">
        <v>3</v>
      </c>
      <c r="E65" s="1">
        <v>335</v>
      </c>
      <c r="F65" s="1">
        <v>67</v>
      </c>
      <c r="G65" s="1">
        <v>12</v>
      </c>
      <c r="H65" s="1">
        <v>100</v>
      </c>
      <c r="I65" s="1" t="s">
        <v>177</v>
      </c>
      <c r="J65" s="1">
        <v>44</v>
      </c>
      <c r="K65" s="1">
        <v>2</v>
      </c>
      <c r="L65" s="1">
        <v>11</v>
      </c>
      <c r="M65" s="1">
        <v>165</v>
      </c>
      <c r="N65" s="1">
        <v>6</v>
      </c>
      <c r="O65" s="1">
        <v>44</v>
      </c>
      <c r="P65" s="1">
        <v>39</v>
      </c>
      <c r="Q65" s="1">
        <v>7</v>
      </c>
      <c r="R65" s="1">
        <v>8.1999999999999993</v>
      </c>
      <c r="S65" s="1">
        <v>6.8636160000000022</v>
      </c>
    </row>
    <row r="66" spans="1:19" x14ac:dyDescent="0.3">
      <c r="A66" s="1" t="s">
        <v>96</v>
      </c>
      <c r="B66" s="1" t="s">
        <v>172</v>
      </c>
      <c r="C66" s="1">
        <v>3</v>
      </c>
      <c r="D66" s="1">
        <v>4</v>
      </c>
      <c r="E66" s="1">
        <v>296</v>
      </c>
      <c r="F66" s="1">
        <v>61</v>
      </c>
      <c r="G66" s="1">
        <v>11</v>
      </c>
      <c r="H66" s="1">
        <v>64</v>
      </c>
      <c r="I66" s="1" t="s">
        <v>173</v>
      </c>
      <c r="J66" s="1">
        <v>3</v>
      </c>
      <c r="K66" s="1">
        <v>13</v>
      </c>
      <c r="L66" s="1">
        <v>11</v>
      </c>
      <c r="M66" s="1">
        <v>105</v>
      </c>
      <c r="N66" s="1">
        <v>4</v>
      </c>
      <c r="O66" s="1">
        <v>41</v>
      </c>
      <c r="P66" s="1">
        <v>38</v>
      </c>
      <c r="Q66" s="1">
        <v>7</v>
      </c>
      <c r="R66" s="1">
        <v>8.1999999999999993</v>
      </c>
      <c r="S66" s="1">
        <v>4.2876416000000006</v>
      </c>
    </row>
    <row r="67" spans="1:19" x14ac:dyDescent="0.3">
      <c r="A67" s="1" t="s">
        <v>96</v>
      </c>
      <c r="B67" s="1" t="s">
        <v>172</v>
      </c>
      <c r="C67" s="1">
        <v>3</v>
      </c>
      <c r="D67" s="1">
        <v>5</v>
      </c>
      <c r="E67" s="1">
        <v>352</v>
      </c>
      <c r="F67" s="1">
        <v>65</v>
      </c>
      <c r="G67" s="1">
        <v>12</v>
      </c>
      <c r="H67" s="1">
        <v>95</v>
      </c>
      <c r="I67" s="1" t="s">
        <v>176</v>
      </c>
      <c r="J67" s="1">
        <v>45</v>
      </c>
      <c r="K67" s="1">
        <v>3</v>
      </c>
      <c r="L67" s="1">
        <v>10</v>
      </c>
      <c r="M67" s="1">
        <v>164</v>
      </c>
      <c r="N67" s="1">
        <v>5</v>
      </c>
      <c r="O67" s="1">
        <v>44.4</v>
      </c>
      <c r="P67" s="1">
        <v>39</v>
      </c>
      <c r="Q67" s="1">
        <v>7</v>
      </c>
      <c r="R67" s="1">
        <v>8.4</v>
      </c>
      <c r="S67" s="1">
        <v>6.0374400000000001</v>
      </c>
    </row>
    <row r="68" spans="1:19" x14ac:dyDescent="0.3">
      <c r="A68" s="1" t="s">
        <v>96</v>
      </c>
      <c r="B68" s="1" t="s">
        <v>172</v>
      </c>
      <c r="C68" s="1">
        <v>3</v>
      </c>
      <c r="D68" s="1">
        <v>6</v>
      </c>
      <c r="E68" s="1">
        <v>300</v>
      </c>
      <c r="F68" s="1">
        <v>56</v>
      </c>
      <c r="G68" s="1">
        <v>13</v>
      </c>
      <c r="H68" s="1">
        <v>58</v>
      </c>
      <c r="I68" s="1" t="s">
        <v>178</v>
      </c>
      <c r="J68" s="1">
        <v>46</v>
      </c>
      <c r="K68" s="1">
        <v>4</v>
      </c>
      <c r="L68" s="1">
        <v>11</v>
      </c>
      <c r="M68" s="1">
        <v>126</v>
      </c>
      <c r="N68" s="1">
        <v>4</v>
      </c>
      <c r="O68" s="1">
        <v>34</v>
      </c>
      <c r="P68" s="1">
        <v>39</v>
      </c>
      <c r="Q68" s="1">
        <v>6</v>
      </c>
      <c r="R68" s="1">
        <v>7.6</v>
      </c>
      <c r="S68" s="1">
        <v>3.914803200000001</v>
      </c>
    </row>
    <row r="69" spans="1:19" x14ac:dyDescent="0.3">
      <c r="A69" s="1" t="s">
        <v>96</v>
      </c>
      <c r="B69" s="1" t="s">
        <v>172</v>
      </c>
      <c r="C69" s="1">
        <v>3</v>
      </c>
      <c r="D69" s="1">
        <v>7</v>
      </c>
      <c r="E69" s="1">
        <v>338</v>
      </c>
      <c r="F69" s="1">
        <v>64</v>
      </c>
      <c r="G69" s="1">
        <v>11</v>
      </c>
      <c r="H69" s="1">
        <v>110</v>
      </c>
      <c r="I69" s="1" t="s">
        <v>175</v>
      </c>
      <c r="J69" s="1">
        <v>43</v>
      </c>
      <c r="K69" s="1">
        <v>1</v>
      </c>
      <c r="L69" s="1">
        <v>11</v>
      </c>
      <c r="M69" s="1">
        <v>185</v>
      </c>
      <c r="N69" s="1">
        <v>6</v>
      </c>
      <c r="O69" s="1">
        <v>41</v>
      </c>
      <c r="P69" s="1">
        <v>39</v>
      </c>
      <c r="Q69" s="1">
        <v>7</v>
      </c>
      <c r="R69" s="1">
        <v>7.6</v>
      </c>
      <c r="S69" s="1">
        <v>6.7206240000000008</v>
      </c>
    </row>
    <row r="70" spans="1:19" x14ac:dyDescent="0.3">
      <c r="A70" s="1" t="s">
        <v>96</v>
      </c>
      <c r="B70" s="1" t="s">
        <v>172</v>
      </c>
      <c r="C70" s="1">
        <v>3</v>
      </c>
      <c r="D70" s="1">
        <v>9</v>
      </c>
      <c r="E70" s="1">
        <v>355</v>
      </c>
      <c r="F70" s="1">
        <v>66</v>
      </c>
      <c r="G70" s="1">
        <v>12</v>
      </c>
      <c r="H70" s="1">
        <v>150</v>
      </c>
      <c r="I70" s="1" t="s">
        <v>175</v>
      </c>
      <c r="J70" s="1">
        <v>43</v>
      </c>
      <c r="K70" s="1">
        <v>1</v>
      </c>
      <c r="L70" s="1">
        <v>12</v>
      </c>
      <c r="M70" s="1">
        <v>240</v>
      </c>
      <c r="N70" s="1">
        <v>6</v>
      </c>
      <c r="O70" s="1">
        <v>47.3</v>
      </c>
      <c r="P70" s="1">
        <v>40</v>
      </c>
      <c r="Q70" s="1">
        <v>7</v>
      </c>
      <c r="R70" s="1">
        <v>8.4</v>
      </c>
      <c r="S70" s="1">
        <v>6.3552000000000008</v>
      </c>
    </row>
    <row r="71" spans="1:19" x14ac:dyDescent="0.3">
      <c r="A71" s="1" t="s">
        <v>96</v>
      </c>
      <c r="B71" s="1" t="s">
        <v>172</v>
      </c>
      <c r="C71" s="1">
        <v>3</v>
      </c>
      <c r="D71" s="1">
        <v>11</v>
      </c>
      <c r="E71" s="1">
        <v>352</v>
      </c>
      <c r="F71" s="1">
        <v>72</v>
      </c>
      <c r="G71" s="1">
        <v>15</v>
      </c>
      <c r="H71" s="1">
        <v>84</v>
      </c>
      <c r="I71" s="1" t="s">
        <v>180</v>
      </c>
      <c r="J71" s="1">
        <v>48</v>
      </c>
      <c r="K71" s="1">
        <v>6</v>
      </c>
      <c r="L71" s="1">
        <v>11</v>
      </c>
      <c r="M71" s="1">
        <v>230</v>
      </c>
      <c r="N71" s="1">
        <v>7</v>
      </c>
      <c r="O71" s="1">
        <v>46</v>
      </c>
      <c r="P71" s="1">
        <v>38</v>
      </c>
      <c r="Q71" s="1">
        <v>8</v>
      </c>
      <c r="R71" s="1">
        <v>8.1999999999999993</v>
      </c>
      <c r="S71" s="1">
        <v>10.65004416</v>
      </c>
    </row>
    <row r="72" spans="1:19" x14ac:dyDescent="0.3">
      <c r="A72" s="1" t="s">
        <v>96</v>
      </c>
      <c r="B72" s="1" t="s">
        <v>172</v>
      </c>
      <c r="C72" s="1">
        <v>3</v>
      </c>
      <c r="D72" s="1">
        <v>12</v>
      </c>
      <c r="E72" s="1">
        <v>360</v>
      </c>
      <c r="F72" s="1">
        <v>70</v>
      </c>
      <c r="G72" s="1">
        <v>12</v>
      </c>
      <c r="H72" s="1">
        <v>144</v>
      </c>
      <c r="I72" s="1" t="s">
        <v>175</v>
      </c>
      <c r="J72" s="1">
        <v>43</v>
      </c>
      <c r="K72" s="1">
        <v>1</v>
      </c>
      <c r="L72" s="1">
        <v>12</v>
      </c>
      <c r="M72" s="1">
        <v>183</v>
      </c>
      <c r="N72" s="1">
        <v>5</v>
      </c>
      <c r="O72" s="1">
        <v>49.9</v>
      </c>
      <c r="P72" s="1">
        <v>38</v>
      </c>
      <c r="Q72" s="1">
        <v>8</v>
      </c>
      <c r="R72" s="1">
        <v>8.1999999999999993</v>
      </c>
      <c r="S72" s="1">
        <v>5.5300832</v>
      </c>
    </row>
    <row r="73" spans="1:19" x14ac:dyDescent="0.3">
      <c r="A73" s="1" t="s">
        <v>96</v>
      </c>
      <c r="B73" s="1" t="s">
        <v>172</v>
      </c>
      <c r="C73" s="1">
        <v>3</v>
      </c>
      <c r="D73" s="1">
        <v>13</v>
      </c>
      <c r="E73" s="1">
        <v>370</v>
      </c>
      <c r="F73" s="1">
        <v>72</v>
      </c>
      <c r="G73" s="1">
        <v>14</v>
      </c>
      <c r="H73" s="1">
        <v>153</v>
      </c>
      <c r="I73" s="1" t="s">
        <v>181</v>
      </c>
      <c r="J73" s="1">
        <v>45</v>
      </c>
      <c r="K73" s="1">
        <v>3</v>
      </c>
      <c r="L73" s="1">
        <v>11</v>
      </c>
      <c r="M73" s="1">
        <v>215</v>
      </c>
      <c r="N73" s="1">
        <v>6</v>
      </c>
      <c r="O73" s="1">
        <v>43.4</v>
      </c>
      <c r="P73" s="1">
        <v>38</v>
      </c>
      <c r="Q73" s="1">
        <v>7</v>
      </c>
      <c r="R73" s="1">
        <v>7.8</v>
      </c>
      <c r="S73" s="1">
        <v>6.5776320000000004</v>
      </c>
    </row>
    <row r="74" spans="1:19" x14ac:dyDescent="0.3">
      <c r="A74" s="1" t="s">
        <v>96</v>
      </c>
      <c r="B74" s="1" t="s">
        <v>109</v>
      </c>
      <c r="C74" s="1">
        <v>1</v>
      </c>
      <c r="D74" s="1">
        <v>1</v>
      </c>
      <c r="E74" s="1">
        <v>345</v>
      </c>
      <c r="F74" s="1">
        <v>72</v>
      </c>
      <c r="G74" s="1">
        <v>14</v>
      </c>
      <c r="H74" s="1">
        <v>100</v>
      </c>
      <c r="I74" s="1" t="s">
        <v>180</v>
      </c>
      <c r="J74" s="1">
        <v>48</v>
      </c>
      <c r="K74" s="1">
        <v>6</v>
      </c>
      <c r="L74" s="1">
        <v>11</v>
      </c>
      <c r="M74" s="1">
        <v>212</v>
      </c>
      <c r="N74" s="1">
        <v>6</v>
      </c>
      <c r="O74" s="1">
        <v>39</v>
      </c>
      <c r="P74" s="1">
        <v>37</v>
      </c>
      <c r="Q74" s="1">
        <v>7</v>
      </c>
      <c r="R74" s="1">
        <v>8.1999999999999993</v>
      </c>
      <c r="S74" s="1">
        <v>7.3211904000000017</v>
      </c>
    </row>
    <row r="75" spans="1:19" x14ac:dyDescent="0.3">
      <c r="A75" s="1" t="s">
        <v>96</v>
      </c>
      <c r="B75" s="1" t="s">
        <v>109</v>
      </c>
      <c r="C75" s="1">
        <v>1</v>
      </c>
      <c r="D75" s="1">
        <v>3</v>
      </c>
      <c r="E75" s="1">
        <v>320</v>
      </c>
      <c r="F75" s="1">
        <v>61</v>
      </c>
      <c r="G75" s="1">
        <v>13</v>
      </c>
      <c r="H75" s="1">
        <v>115</v>
      </c>
      <c r="I75" s="1" t="s">
        <v>177</v>
      </c>
      <c r="J75" s="1">
        <v>44</v>
      </c>
      <c r="K75" s="1">
        <v>2</v>
      </c>
      <c r="L75" s="1">
        <v>11</v>
      </c>
      <c r="M75" s="1">
        <v>165</v>
      </c>
      <c r="N75" s="1">
        <v>5</v>
      </c>
      <c r="O75" s="1">
        <v>41</v>
      </c>
      <c r="P75" s="1">
        <v>39</v>
      </c>
      <c r="Q75" s="1">
        <v>7</v>
      </c>
      <c r="R75" s="1">
        <v>8</v>
      </c>
      <c r="S75" s="1">
        <v>4.951760000000001</v>
      </c>
    </row>
    <row r="76" spans="1:19" x14ac:dyDescent="0.3">
      <c r="A76" s="1" t="s">
        <v>96</v>
      </c>
      <c r="B76" s="1" t="s">
        <v>109</v>
      </c>
      <c r="C76" s="1">
        <v>1</v>
      </c>
      <c r="D76" s="1">
        <v>4</v>
      </c>
      <c r="E76" s="1">
        <v>328</v>
      </c>
      <c r="F76" s="1">
        <v>62</v>
      </c>
      <c r="G76" s="1">
        <v>12</v>
      </c>
      <c r="H76" s="1">
        <v>97</v>
      </c>
      <c r="I76" s="1" t="s">
        <v>173</v>
      </c>
      <c r="J76" s="1">
        <v>3</v>
      </c>
      <c r="K76" s="1">
        <v>13</v>
      </c>
      <c r="L76" s="1">
        <v>11</v>
      </c>
      <c r="M76" s="1">
        <v>152</v>
      </c>
      <c r="N76" s="1">
        <v>5</v>
      </c>
      <c r="O76" s="1">
        <v>40.1</v>
      </c>
      <c r="P76" s="1">
        <v>38</v>
      </c>
      <c r="Q76" s="1">
        <v>7</v>
      </c>
      <c r="R76" s="1">
        <v>8</v>
      </c>
      <c r="S76" s="1">
        <v>5.9580000000000002</v>
      </c>
    </row>
    <row r="77" spans="1:19" x14ac:dyDescent="0.3">
      <c r="A77" s="1" t="s">
        <v>96</v>
      </c>
      <c r="B77" s="1" t="s">
        <v>109</v>
      </c>
      <c r="C77" s="1">
        <v>1</v>
      </c>
      <c r="D77" s="1">
        <v>5</v>
      </c>
      <c r="E77" s="1">
        <v>330</v>
      </c>
      <c r="F77" s="1">
        <v>58</v>
      </c>
      <c r="G77" s="1">
        <v>13</v>
      </c>
      <c r="H77" s="1">
        <v>100</v>
      </c>
      <c r="I77" s="1" t="s">
        <v>177</v>
      </c>
      <c r="J77" s="1">
        <v>44</v>
      </c>
      <c r="K77" s="1">
        <v>2</v>
      </c>
      <c r="L77" s="1">
        <v>11</v>
      </c>
      <c r="M77" s="1">
        <v>160</v>
      </c>
      <c r="N77" s="1">
        <v>5</v>
      </c>
      <c r="O77" s="1">
        <v>41</v>
      </c>
      <c r="P77" s="1">
        <v>39</v>
      </c>
      <c r="Q77" s="1">
        <v>7</v>
      </c>
      <c r="R77" s="1">
        <v>8</v>
      </c>
      <c r="S77" s="1">
        <v>5.3622000000000014</v>
      </c>
    </row>
    <row r="78" spans="1:19" x14ac:dyDescent="0.3">
      <c r="A78" s="1" t="s">
        <v>96</v>
      </c>
      <c r="B78" s="1" t="s">
        <v>109</v>
      </c>
      <c r="C78" s="1">
        <v>1</v>
      </c>
      <c r="D78" s="1">
        <v>6</v>
      </c>
      <c r="E78" s="1">
        <v>366</v>
      </c>
      <c r="F78" s="1">
        <v>58</v>
      </c>
      <c r="G78" s="1">
        <v>14</v>
      </c>
      <c r="H78" s="1">
        <v>108</v>
      </c>
      <c r="I78" s="1" t="s">
        <v>177</v>
      </c>
      <c r="J78" s="1">
        <v>44</v>
      </c>
      <c r="K78" s="1">
        <v>2</v>
      </c>
      <c r="L78" s="1">
        <v>11</v>
      </c>
      <c r="M78" s="1">
        <v>195</v>
      </c>
      <c r="N78" s="1">
        <v>5</v>
      </c>
      <c r="O78" s="1">
        <v>38</v>
      </c>
      <c r="P78" s="1">
        <v>39</v>
      </c>
      <c r="Q78" s="1">
        <v>6</v>
      </c>
      <c r="R78" s="1">
        <v>8.1999999999999993</v>
      </c>
      <c r="S78" s="1">
        <v>5.1768400000000003</v>
      </c>
    </row>
    <row r="79" spans="1:19" x14ac:dyDescent="0.3">
      <c r="A79" s="1" t="s">
        <v>96</v>
      </c>
      <c r="B79" s="1" t="s">
        <v>109</v>
      </c>
      <c r="C79" s="1">
        <v>1</v>
      </c>
      <c r="D79" s="1">
        <v>9</v>
      </c>
      <c r="E79" s="1">
        <v>354</v>
      </c>
      <c r="F79" s="1">
        <v>72</v>
      </c>
      <c r="G79" s="1">
        <v>12</v>
      </c>
      <c r="H79" s="1">
        <v>190</v>
      </c>
      <c r="I79" s="1" t="s">
        <v>178</v>
      </c>
      <c r="J79" s="1">
        <v>46</v>
      </c>
      <c r="K79" s="1">
        <v>4</v>
      </c>
      <c r="L79" s="1">
        <v>11</v>
      </c>
      <c r="M79" s="1">
        <v>205</v>
      </c>
      <c r="N79" s="1">
        <v>6</v>
      </c>
      <c r="O79" s="1">
        <v>48.5</v>
      </c>
      <c r="P79" s="1">
        <v>39</v>
      </c>
      <c r="Q79" s="1">
        <v>8</v>
      </c>
      <c r="R79" s="1">
        <v>8.1999999999999993</v>
      </c>
      <c r="S79" s="1">
        <v>6.8636160000000022</v>
      </c>
    </row>
    <row r="80" spans="1:19" x14ac:dyDescent="0.3">
      <c r="A80" s="1" t="s">
        <v>96</v>
      </c>
      <c r="B80" s="1" t="s">
        <v>109</v>
      </c>
      <c r="C80" s="1">
        <v>1</v>
      </c>
      <c r="D80" s="1">
        <v>11</v>
      </c>
      <c r="E80" s="1">
        <v>335</v>
      </c>
      <c r="F80" s="1">
        <v>67</v>
      </c>
      <c r="G80" s="1">
        <v>12</v>
      </c>
      <c r="H80" s="1">
        <v>95</v>
      </c>
      <c r="I80" s="1" t="s">
        <v>178</v>
      </c>
      <c r="J80" s="1">
        <v>46</v>
      </c>
      <c r="K80" s="1">
        <v>4</v>
      </c>
      <c r="L80" s="1">
        <v>11</v>
      </c>
      <c r="M80" s="1">
        <v>177</v>
      </c>
      <c r="N80" s="1">
        <v>5</v>
      </c>
      <c r="O80" s="1">
        <v>43</v>
      </c>
      <c r="P80" s="1">
        <v>38</v>
      </c>
      <c r="Q80" s="1">
        <v>7</v>
      </c>
      <c r="R80" s="1">
        <v>8.1999999999999993</v>
      </c>
      <c r="S80" s="1">
        <v>5.7196800000000003</v>
      </c>
    </row>
    <row r="81" spans="1:19" x14ac:dyDescent="0.3">
      <c r="A81" s="1" t="s">
        <v>96</v>
      </c>
      <c r="B81" s="1" t="s">
        <v>109</v>
      </c>
      <c r="C81" s="1">
        <v>1</v>
      </c>
      <c r="D81" s="1">
        <v>12</v>
      </c>
      <c r="E81" s="1">
        <v>316</v>
      </c>
      <c r="F81" s="1">
        <v>61</v>
      </c>
      <c r="G81" s="1">
        <v>11</v>
      </c>
      <c r="H81" s="1">
        <v>80</v>
      </c>
      <c r="I81" s="1" t="s">
        <v>175</v>
      </c>
      <c r="J81" s="1">
        <v>43</v>
      </c>
      <c r="K81" s="1">
        <v>1</v>
      </c>
      <c r="L81" s="1">
        <v>11</v>
      </c>
      <c r="M81" s="1">
        <v>184</v>
      </c>
      <c r="N81" s="1">
        <v>7</v>
      </c>
      <c r="O81" s="1">
        <v>42</v>
      </c>
      <c r="P81" s="1">
        <v>39</v>
      </c>
      <c r="Q81" s="1">
        <v>7</v>
      </c>
      <c r="R81" s="1">
        <v>7.8</v>
      </c>
      <c r="S81" s="1">
        <v>6.5246720000000016</v>
      </c>
    </row>
    <row r="82" spans="1:19" x14ac:dyDescent="0.3">
      <c r="A82" s="1" t="s">
        <v>96</v>
      </c>
      <c r="B82" s="1" t="s">
        <v>109</v>
      </c>
      <c r="C82" s="1">
        <v>1</v>
      </c>
      <c r="D82" s="1">
        <v>13</v>
      </c>
      <c r="E82" s="1">
        <v>325</v>
      </c>
      <c r="F82" s="1">
        <v>60</v>
      </c>
      <c r="G82" s="1">
        <v>10</v>
      </c>
      <c r="H82" s="1">
        <v>100</v>
      </c>
      <c r="I82" s="1" t="s">
        <v>177</v>
      </c>
      <c r="J82" s="1">
        <v>44</v>
      </c>
      <c r="K82" s="1">
        <v>1</v>
      </c>
      <c r="L82" s="1">
        <v>10</v>
      </c>
      <c r="M82" s="1">
        <v>190</v>
      </c>
      <c r="N82" s="1">
        <v>6</v>
      </c>
      <c r="O82" s="1">
        <v>38</v>
      </c>
      <c r="P82" s="1">
        <v>39</v>
      </c>
      <c r="Q82" s="1">
        <v>7</v>
      </c>
      <c r="R82" s="1">
        <v>8</v>
      </c>
      <c r="S82" s="1">
        <v>6.2122080000000004</v>
      </c>
    </row>
    <row r="83" spans="1:19" x14ac:dyDescent="0.3">
      <c r="A83" s="1" t="s">
        <v>96</v>
      </c>
      <c r="B83" s="1" t="s">
        <v>97</v>
      </c>
      <c r="C83" s="1">
        <v>3</v>
      </c>
      <c r="D83" s="1">
        <v>2</v>
      </c>
      <c r="E83" s="1">
        <v>285</v>
      </c>
      <c r="F83" s="1">
        <v>57</v>
      </c>
      <c r="G83" s="1">
        <v>11</v>
      </c>
      <c r="H83" s="1">
        <v>100</v>
      </c>
      <c r="I83" s="1" t="s">
        <v>173</v>
      </c>
      <c r="J83" s="1">
        <v>47</v>
      </c>
      <c r="K83" s="1">
        <v>5</v>
      </c>
      <c r="L83" s="1">
        <v>11</v>
      </c>
      <c r="M83" s="1">
        <v>180</v>
      </c>
      <c r="N83" s="1">
        <v>5</v>
      </c>
      <c r="O83" s="1">
        <v>31.2</v>
      </c>
      <c r="P83" s="1">
        <v>38</v>
      </c>
      <c r="Q83" s="1">
        <v>6</v>
      </c>
      <c r="R83" s="1">
        <v>8</v>
      </c>
      <c r="S83" s="1">
        <v>4.5685944000000012</v>
      </c>
    </row>
    <row r="84" spans="1:19" x14ac:dyDescent="0.3">
      <c r="A84" s="1" t="s">
        <v>96</v>
      </c>
      <c r="B84" s="1" t="s">
        <v>97</v>
      </c>
      <c r="C84" s="1">
        <v>3</v>
      </c>
      <c r="D84" s="1">
        <v>3</v>
      </c>
      <c r="E84" s="1">
        <v>330</v>
      </c>
      <c r="F84" s="1">
        <v>64</v>
      </c>
      <c r="G84" s="1">
        <v>12</v>
      </c>
      <c r="H84" s="1">
        <v>84</v>
      </c>
      <c r="I84" s="1" t="s">
        <v>175</v>
      </c>
      <c r="J84" s="1">
        <v>43</v>
      </c>
      <c r="K84" s="1">
        <v>1</v>
      </c>
      <c r="L84" s="1">
        <v>11</v>
      </c>
      <c r="M84" s="1">
        <v>165</v>
      </c>
      <c r="N84" s="1">
        <v>7</v>
      </c>
      <c r="O84" s="1">
        <v>41</v>
      </c>
      <c r="P84" s="1">
        <v>39</v>
      </c>
      <c r="Q84" s="1">
        <v>7</v>
      </c>
      <c r="R84" s="1">
        <v>8.1999999999999993</v>
      </c>
      <c r="S84" s="1">
        <v>6.7749079999999999</v>
      </c>
    </row>
    <row r="85" spans="1:19" x14ac:dyDescent="0.3">
      <c r="A85" s="1" t="s">
        <v>96</v>
      </c>
      <c r="B85" s="1" t="s">
        <v>97</v>
      </c>
      <c r="C85" s="1">
        <v>3</v>
      </c>
      <c r="D85" s="1">
        <v>4</v>
      </c>
      <c r="E85" s="1">
        <v>307</v>
      </c>
      <c r="F85" s="1">
        <v>63</v>
      </c>
      <c r="G85" s="1">
        <v>13</v>
      </c>
      <c r="H85" s="1">
        <v>105</v>
      </c>
      <c r="I85" s="1" t="s">
        <v>173</v>
      </c>
      <c r="J85" s="1">
        <v>47</v>
      </c>
      <c r="K85" s="1">
        <v>5</v>
      </c>
      <c r="L85" s="1">
        <v>11</v>
      </c>
      <c r="M85" s="1">
        <v>190</v>
      </c>
      <c r="N85" s="1">
        <v>4</v>
      </c>
      <c r="O85" s="1">
        <v>40</v>
      </c>
      <c r="P85" s="1">
        <v>39</v>
      </c>
      <c r="Q85" s="1">
        <v>7</v>
      </c>
      <c r="R85" s="1">
        <v>8</v>
      </c>
      <c r="S85" s="1">
        <v>3.8681983999999998</v>
      </c>
    </row>
    <row r="86" spans="1:19" x14ac:dyDescent="0.3">
      <c r="A86" s="1" t="s">
        <v>96</v>
      </c>
      <c r="B86" s="1" t="s">
        <v>97</v>
      </c>
      <c r="C86" s="1">
        <v>3</v>
      </c>
      <c r="D86" s="1">
        <v>5</v>
      </c>
      <c r="E86" s="1">
        <v>310</v>
      </c>
      <c r="F86" s="1">
        <v>66</v>
      </c>
      <c r="G86" s="1">
        <v>13</v>
      </c>
      <c r="H86" s="1">
        <v>107</v>
      </c>
      <c r="I86" s="1" t="s">
        <v>173</v>
      </c>
      <c r="J86" s="1">
        <v>47</v>
      </c>
      <c r="K86" s="1">
        <v>5</v>
      </c>
      <c r="L86" s="1">
        <v>11</v>
      </c>
      <c r="M86" s="1">
        <v>195</v>
      </c>
      <c r="N86" s="1">
        <v>5</v>
      </c>
      <c r="O86" s="1">
        <v>43</v>
      </c>
      <c r="P86" s="1">
        <v>39</v>
      </c>
      <c r="Q86" s="1">
        <v>7</v>
      </c>
      <c r="R86" s="1">
        <v>8</v>
      </c>
      <c r="S86" s="1">
        <v>5.3595520000000008</v>
      </c>
    </row>
    <row r="87" spans="1:19" x14ac:dyDescent="0.3">
      <c r="A87" s="1" t="s">
        <v>96</v>
      </c>
      <c r="B87" s="1" t="s">
        <v>97</v>
      </c>
      <c r="C87" s="1">
        <v>3</v>
      </c>
      <c r="D87" s="1">
        <v>6</v>
      </c>
      <c r="E87" s="1">
        <v>314</v>
      </c>
      <c r="F87" s="1">
        <v>62</v>
      </c>
      <c r="G87" s="1">
        <v>12</v>
      </c>
      <c r="H87" s="1">
        <v>94</v>
      </c>
      <c r="I87" s="1" t="s">
        <v>173</v>
      </c>
      <c r="J87" s="1">
        <v>47</v>
      </c>
      <c r="K87" s="1">
        <v>5</v>
      </c>
      <c r="L87" s="1">
        <v>11</v>
      </c>
      <c r="M87" s="1">
        <v>155</v>
      </c>
      <c r="N87" s="1">
        <v>5</v>
      </c>
      <c r="O87" s="1">
        <v>38.9</v>
      </c>
      <c r="P87" s="1">
        <v>37</v>
      </c>
      <c r="Q87" s="1">
        <v>7</v>
      </c>
      <c r="R87" s="1">
        <v>8</v>
      </c>
      <c r="S87" s="1">
        <v>5.9580000000000002</v>
      </c>
    </row>
    <row r="88" spans="1:19" x14ac:dyDescent="0.3">
      <c r="A88" s="1" t="s">
        <v>96</v>
      </c>
      <c r="B88" s="1" t="s">
        <v>97</v>
      </c>
      <c r="C88" s="1">
        <v>3</v>
      </c>
      <c r="D88" s="1">
        <v>7</v>
      </c>
      <c r="E88" s="1">
        <v>330</v>
      </c>
      <c r="F88" s="1">
        <v>64</v>
      </c>
      <c r="G88" s="1">
        <v>14</v>
      </c>
      <c r="H88" s="1">
        <v>110</v>
      </c>
      <c r="I88" s="1" t="s">
        <v>177</v>
      </c>
      <c r="J88" s="1">
        <v>44</v>
      </c>
      <c r="K88" s="1">
        <v>2</v>
      </c>
      <c r="L88" s="1">
        <v>11</v>
      </c>
      <c r="M88" s="1">
        <v>180</v>
      </c>
      <c r="N88" s="1">
        <v>6</v>
      </c>
      <c r="O88" s="1">
        <v>42.2</v>
      </c>
      <c r="P88" s="1">
        <v>39</v>
      </c>
      <c r="Q88" s="1">
        <v>7</v>
      </c>
      <c r="R88" s="1">
        <v>8</v>
      </c>
      <c r="S88" s="1">
        <v>5.5385568000000003</v>
      </c>
    </row>
    <row r="89" spans="1:19" x14ac:dyDescent="0.3">
      <c r="A89" s="1" t="s">
        <v>96</v>
      </c>
      <c r="B89" s="1" t="s">
        <v>97</v>
      </c>
      <c r="C89" s="1">
        <v>3</v>
      </c>
      <c r="D89" s="1">
        <v>8</v>
      </c>
      <c r="E89" s="1">
        <v>336</v>
      </c>
      <c r="F89" s="1">
        <v>64</v>
      </c>
      <c r="G89" s="1">
        <v>14</v>
      </c>
      <c r="H89" s="1">
        <v>110</v>
      </c>
      <c r="I89" s="1" t="s">
        <v>177</v>
      </c>
      <c r="J89" s="1">
        <v>44</v>
      </c>
      <c r="K89" s="1">
        <v>2</v>
      </c>
      <c r="L89" s="1">
        <v>11</v>
      </c>
      <c r="M89" s="1">
        <v>172</v>
      </c>
      <c r="N89" s="1">
        <v>4</v>
      </c>
      <c r="O89" s="1">
        <v>41.5</v>
      </c>
      <c r="P89" s="1">
        <v>39</v>
      </c>
      <c r="Q89" s="1">
        <v>7</v>
      </c>
      <c r="R89" s="1">
        <v>8.1999999999999993</v>
      </c>
      <c r="S89" s="1">
        <v>3.9084479999999999</v>
      </c>
    </row>
    <row r="90" spans="1:19" x14ac:dyDescent="0.3">
      <c r="A90" s="1" t="s">
        <v>96</v>
      </c>
      <c r="B90" s="1" t="s">
        <v>97</v>
      </c>
      <c r="C90" s="1">
        <v>3</v>
      </c>
      <c r="D90" s="1">
        <v>9</v>
      </c>
      <c r="E90" s="1">
        <v>326</v>
      </c>
      <c r="F90" s="1">
        <v>60</v>
      </c>
      <c r="G90" s="1">
        <v>11</v>
      </c>
      <c r="H90" s="1">
        <v>100</v>
      </c>
      <c r="I90" s="1" t="s">
        <v>174</v>
      </c>
      <c r="J90" s="1">
        <v>42</v>
      </c>
      <c r="K90" s="1">
        <v>52</v>
      </c>
      <c r="L90" s="1">
        <v>11</v>
      </c>
      <c r="M90" s="1">
        <v>190</v>
      </c>
      <c r="N90" s="1">
        <v>4</v>
      </c>
      <c r="O90" s="1">
        <v>40</v>
      </c>
      <c r="P90" s="1">
        <v>39</v>
      </c>
      <c r="Q90" s="1">
        <v>7</v>
      </c>
      <c r="R90" s="1">
        <v>8</v>
      </c>
      <c r="S90" s="1">
        <v>4.0821568000000008</v>
      </c>
    </row>
    <row r="91" spans="1:19" x14ac:dyDescent="0.3">
      <c r="A91" s="1" t="s">
        <v>96</v>
      </c>
      <c r="B91" s="1" t="s">
        <v>97</v>
      </c>
      <c r="C91" s="1">
        <v>3</v>
      </c>
      <c r="D91" s="1">
        <v>10</v>
      </c>
      <c r="E91" s="1">
        <v>323</v>
      </c>
      <c r="F91" s="1">
        <v>61</v>
      </c>
      <c r="G91" s="1">
        <v>12</v>
      </c>
      <c r="H91" s="1">
        <v>90</v>
      </c>
      <c r="I91" s="1" t="s">
        <v>177</v>
      </c>
      <c r="J91" s="1">
        <v>44</v>
      </c>
      <c r="K91" s="1">
        <v>2</v>
      </c>
      <c r="L91" s="1">
        <v>11</v>
      </c>
      <c r="M91" s="1">
        <v>160</v>
      </c>
      <c r="N91" s="1">
        <v>5</v>
      </c>
      <c r="O91" s="1">
        <v>39.5</v>
      </c>
      <c r="P91" s="1">
        <v>38</v>
      </c>
      <c r="Q91" s="1">
        <v>7</v>
      </c>
      <c r="R91" s="1">
        <v>7.8</v>
      </c>
      <c r="S91" s="1">
        <v>5.2377439999999993</v>
      </c>
    </row>
    <row r="92" spans="1:19" x14ac:dyDescent="0.3">
      <c r="A92" s="1" t="s">
        <v>96</v>
      </c>
      <c r="B92" s="1" t="s">
        <v>97</v>
      </c>
      <c r="C92" s="1">
        <v>3</v>
      </c>
      <c r="D92" s="1">
        <v>11</v>
      </c>
      <c r="E92" s="1">
        <v>300</v>
      </c>
      <c r="F92" s="1">
        <v>62</v>
      </c>
      <c r="G92" s="1">
        <v>13</v>
      </c>
      <c r="H92" s="1">
        <v>110</v>
      </c>
      <c r="I92" s="1" t="s">
        <v>180</v>
      </c>
      <c r="J92" s="1">
        <v>48</v>
      </c>
      <c r="K92" s="1">
        <v>6</v>
      </c>
      <c r="L92" s="1">
        <v>11</v>
      </c>
      <c r="M92" s="1">
        <v>150</v>
      </c>
      <c r="N92" s="1">
        <v>5</v>
      </c>
      <c r="O92" s="1">
        <v>40</v>
      </c>
      <c r="P92" s="1">
        <v>38</v>
      </c>
      <c r="Q92" s="1">
        <v>7</v>
      </c>
      <c r="R92" s="1">
        <v>7.6</v>
      </c>
      <c r="S92" s="1">
        <v>4.9570560000000006</v>
      </c>
    </row>
    <row r="93" spans="1:19" x14ac:dyDescent="0.3">
      <c r="A93" s="1" t="s">
        <v>96</v>
      </c>
      <c r="B93" s="1" t="s">
        <v>97</v>
      </c>
      <c r="C93" s="1">
        <v>3</v>
      </c>
      <c r="D93" s="1">
        <v>12</v>
      </c>
      <c r="E93" s="1">
        <v>350</v>
      </c>
      <c r="F93" s="1">
        <v>70</v>
      </c>
      <c r="G93" s="1">
        <v>12</v>
      </c>
      <c r="H93" s="1">
        <v>150</v>
      </c>
      <c r="I93" s="1" t="s">
        <v>176</v>
      </c>
      <c r="J93" s="1">
        <v>45</v>
      </c>
      <c r="K93" s="1">
        <v>3</v>
      </c>
      <c r="L93" s="1">
        <v>10</v>
      </c>
      <c r="M93" s="1">
        <v>200</v>
      </c>
      <c r="N93" s="1">
        <v>6</v>
      </c>
      <c r="O93" s="1">
        <v>50.2</v>
      </c>
      <c r="P93" s="1">
        <v>38</v>
      </c>
      <c r="Q93" s="1">
        <v>8</v>
      </c>
      <c r="R93" s="1">
        <v>8.1999999999999993</v>
      </c>
      <c r="S93" s="1">
        <v>7.7851200000000018</v>
      </c>
    </row>
    <row r="94" spans="1:19" x14ac:dyDescent="0.3">
      <c r="A94" s="1" t="s">
        <v>96</v>
      </c>
      <c r="B94" s="1" t="s">
        <v>97</v>
      </c>
      <c r="C94" s="1">
        <v>3</v>
      </c>
      <c r="D94" s="1">
        <v>13</v>
      </c>
      <c r="E94" s="1">
        <v>357</v>
      </c>
      <c r="F94" s="1">
        <v>68</v>
      </c>
      <c r="G94" s="1">
        <v>13</v>
      </c>
      <c r="H94" s="1">
        <v>130</v>
      </c>
      <c r="I94" s="1" t="s">
        <v>176</v>
      </c>
      <c r="J94" s="1">
        <v>45</v>
      </c>
      <c r="K94" s="1">
        <v>3</v>
      </c>
      <c r="L94" s="1">
        <v>11</v>
      </c>
      <c r="M94" s="1">
        <v>165</v>
      </c>
      <c r="N94" s="1">
        <v>5</v>
      </c>
      <c r="O94" s="1">
        <v>49</v>
      </c>
      <c r="P94" s="1">
        <v>39</v>
      </c>
      <c r="Q94" s="1">
        <v>8</v>
      </c>
      <c r="R94" s="1">
        <v>8</v>
      </c>
      <c r="S94" s="1">
        <v>6.0374400000000001</v>
      </c>
    </row>
    <row r="95" spans="1:19" x14ac:dyDescent="0.3">
      <c r="A95" s="1" t="s">
        <v>96</v>
      </c>
      <c r="B95" s="1" t="s">
        <v>97</v>
      </c>
      <c r="C95" s="1">
        <v>3</v>
      </c>
      <c r="D95" s="1">
        <v>14</v>
      </c>
      <c r="E95" s="1">
        <v>333</v>
      </c>
      <c r="F95" s="1">
        <v>61</v>
      </c>
      <c r="G95" s="1">
        <v>13</v>
      </c>
      <c r="H95" s="1">
        <v>100</v>
      </c>
      <c r="I95" s="1" t="s">
        <v>177</v>
      </c>
      <c r="J95" s="1">
        <v>44</v>
      </c>
      <c r="K95" s="1">
        <v>2</v>
      </c>
      <c r="L95" s="1">
        <v>11</v>
      </c>
      <c r="M95" s="1">
        <v>160</v>
      </c>
      <c r="N95" s="1">
        <v>5</v>
      </c>
      <c r="O95" s="1">
        <v>40.200000000000003</v>
      </c>
      <c r="P95" s="1">
        <v>39</v>
      </c>
      <c r="Q95" s="1">
        <v>7</v>
      </c>
      <c r="R95" s="1">
        <v>7.6</v>
      </c>
      <c r="S95" s="1">
        <v>5.4138360000000008</v>
      </c>
    </row>
    <row r="96" spans="1:19" x14ac:dyDescent="0.3">
      <c r="A96" s="1" t="s">
        <v>96</v>
      </c>
      <c r="B96" s="1" t="s">
        <v>172</v>
      </c>
      <c r="C96" s="1">
        <v>1</v>
      </c>
      <c r="D96" s="1">
        <v>1</v>
      </c>
      <c r="E96" s="1">
        <v>330</v>
      </c>
      <c r="F96" s="1">
        <v>66</v>
      </c>
      <c r="G96" s="1">
        <v>13</v>
      </c>
      <c r="H96" s="1">
        <v>130</v>
      </c>
      <c r="I96" s="1" t="s">
        <v>178</v>
      </c>
      <c r="J96" s="1">
        <v>46</v>
      </c>
      <c r="K96" s="1">
        <v>4</v>
      </c>
      <c r="L96" s="1">
        <v>11</v>
      </c>
      <c r="M96" s="1">
        <v>210</v>
      </c>
      <c r="N96" s="1">
        <v>5</v>
      </c>
      <c r="O96" s="1">
        <v>48.5</v>
      </c>
      <c r="P96" s="1">
        <v>39</v>
      </c>
      <c r="Q96" s="1">
        <v>8</v>
      </c>
      <c r="R96" s="1">
        <v>8</v>
      </c>
      <c r="S96" s="1">
        <v>5.8467840000000004</v>
      </c>
    </row>
    <row r="97" spans="1:19" x14ac:dyDescent="0.3">
      <c r="A97" s="1" t="s">
        <v>96</v>
      </c>
      <c r="B97" s="1" t="s">
        <v>172</v>
      </c>
      <c r="C97" s="1">
        <v>1</v>
      </c>
      <c r="D97" s="1">
        <v>5</v>
      </c>
      <c r="E97" s="1">
        <v>308</v>
      </c>
      <c r="F97" s="1">
        <v>62</v>
      </c>
      <c r="G97" s="1">
        <v>12</v>
      </c>
      <c r="H97" s="1">
        <v>90</v>
      </c>
      <c r="I97" s="1" t="s">
        <v>175</v>
      </c>
      <c r="J97" s="1">
        <v>43</v>
      </c>
      <c r="K97" s="1">
        <v>1</v>
      </c>
      <c r="L97" s="1">
        <v>11</v>
      </c>
      <c r="M97" s="1">
        <v>154</v>
      </c>
      <c r="N97" s="1">
        <v>6</v>
      </c>
      <c r="O97" s="1">
        <v>38</v>
      </c>
      <c r="P97" s="1">
        <v>39</v>
      </c>
      <c r="Q97" s="1">
        <v>7</v>
      </c>
      <c r="R97" s="1">
        <v>7.66</v>
      </c>
      <c r="S97" s="1">
        <v>7.4355840000000022</v>
      </c>
    </row>
    <row r="98" spans="1:19" x14ac:dyDescent="0.3">
      <c r="A98" s="1" t="s">
        <v>96</v>
      </c>
      <c r="B98" s="1" t="s">
        <v>172</v>
      </c>
      <c r="C98" s="1">
        <v>1</v>
      </c>
      <c r="D98" s="1">
        <v>6</v>
      </c>
      <c r="E98" s="1">
        <v>313</v>
      </c>
      <c r="F98" s="1">
        <v>58</v>
      </c>
      <c r="G98" s="1">
        <v>12</v>
      </c>
      <c r="H98" s="1">
        <v>105</v>
      </c>
      <c r="I98" s="1" t="s">
        <v>176</v>
      </c>
      <c r="J98" s="1">
        <v>43</v>
      </c>
      <c r="K98" s="1">
        <v>1</v>
      </c>
      <c r="L98" s="1">
        <v>11</v>
      </c>
      <c r="M98" s="1">
        <v>147</v>
      </c>
      <c r="N98" s="1">
        <v>5</v>
      </c>
      <c r="O98" s="1">
        <v>34</v>
      </c>
      <c r="P98" s="1">
        <v>39</v>
      </c>
      <c r="Q98" s="1">
        <v>6</v>
      </c>
      <c r="R98" s="1">
        <v>8.1999999999999993</v>
      </c>
      <c r="S98" s="1">
        <v>4.6896080000000007</v>
      </c>
    </row>
    <row r="99" spans="1:19" x14ac:dyDescent="0.3">
      <c r="A99" s="1" t="s">
        <v>96</v>
      </c>
      <c r="B99" s="1" t="s">
        <v>172</v>
      </c>
      <c r="C99" s="1">
        <v>1</v>
      </c>
      <c r="D99" s="1">
        <v>7</v>
      </c>
      <c r="E99" s="1">
        <v>320</v>
      </c>
      <c r="F99" s="1">
        <v>62</v>
      </c>
      <c r="G99" s="1">
        <v>13</v>
      </c>
      <c r="H99" s="1">
        <v>106</v>
      </c>
      <c r="I99" s="1" t="s">
        <v>175</v>
      </c>
      <c r="J99" s="1">
        <v>43</v>
      </c>
      <c r="K99" s="1">
        <v>1</v>
      </c>
      <c r="L99" s="1">
        <v>11</v>
      </c>
      <c r="M99" s="1">
        <v>200</v>
      </c>
      <c r="N99" s="1">
        <v>6</v>
      </c>
      <c r="O99" s="1">
        <v>40</v>
      </c>
      <c r="P99" s="1">
        <v>39</v>
      </c>
      <c r="Q99" s="1">
        <v>7</v>
      </c>
      <c r="R99" s="1">
        <v>8</v>
      </c>
      <c r="S99" s="1">
        <v>6.8229427200000003</v>
      </c>
    </row>
    <row r="100" spans="1:19" x14ac:dyDescent="0.3">
      <c r="A100" s="1" t="s">
        <v>96</v>
      </c>
      <c r="B100" s="1" t="s">
        <v>172</v>
      </c>
      <c r="C100" s="1">
        <v>1</v>
      </c>
      <c r="D100" s="1">
        <v>10</v>
      </c>
      <c r="E100" s="1">
        <v>340</v>
      </c>
      <c r="F100" s="1">
        <v>67</v>
      </c>
      <c r="G100" s="1">
        <v>13</v>
      </c>
      <c r="H100" s="1">
        <v>108</v>
      </c>
      <c r="I100" s="1" t="s">
        <v>176</v>
      </c>
      <c r="J100" s="1">
        <v>45</v>
      </c>
      <c r="K100" s="1">
        <v>3</v>
      </c>
      <c r="L100" s="1">
        <v>11</v>
      </c>
      <c r="M100" s="1">
        <v>163</v>
      </c>
      <c r="N100" s="1">
        <v>6</v>
      </c>
      <c r="O100" s="1">
        <v>41.7</v>
      </c>
      <c r="P100" s="1">
        <v>38</v>
      </c>
      <c r="Q100" s="1">
        <v>7</v>
      </c>
      <c r="R100" s="1">
        <v>7.8</v>
      </c>
      <c r="S100" s="1">
        <v>5.4718271999999999</v>
      </c>
    </row>
    <row r="101" spans="1:19" x14ac:dyDescent="0.3">
      <c r="A101" s="1" t="s">
        <v>96</v>
      </c>
      <c r="B101" s="1" t="s">
        <v>172</v>
      </c>
      <c r="C101" s="1">
        <v>1</v>
      </c>
      <c r="D101" s="1">
        <v>12</v>
      </c>
      <c r="E101" s="1">
        <v>308</v>
      </c>
      <c r="F101" s="1">
        <v>63</v>
      </c>
      <c r="G101" s="1">
        <v>11</v>
      </c>
      <c r="H101" s="1">
        <v>143</v>
      </c>
      <c r="I101" s="1" t="s">
        <v>179</v>
      </c>
      <c r="J101" s="1">
        <v>49</v>
      </c>
      <c r="K101" s="1">
        <v>7</v>
      </c>
      <c r="L101" s="1">
        <v>11</v>
      </c>
      <c r="M101" s="1">
        <v>110</v>
      </c>
      <c r="N101" s="1">
        <v>5</v>
      </c>
      <c r="O101" s="1">
        <v>30</v>
      </c>
      <c r="P101" s="1">
        <v>37</v>
      </c>
      <c r="Q101" s="1">
        <v>6</v>
      </c>
      <c r="R101" s="1">
        <v>7.2</v>
      </c>
      <c r="S101" s="1">
        <v>4.3427200000000008</v>
      </c>
    </row>
    <row r="102" spans="1:19" x14ac:dyDescent="0.3">
      <c r="A102" s="1" t="s">
        <v>96</v>
      </c>
      <c r="B102" s="1" t="s">
        <v>99</v>
      </c>
      <c r="C102" s="1">
        <v>3</v>
      </c>
      <c r="D102" s="1">
        <v>6</v>
      </c>
      <c r="E102" s="1">
        <v>315</v>
      </c>
      <c r="F102" s="1">
        <v>62</v>
      </c>
      <c r="G102" s="1">
        <v>10</v>
      </c>
      <c r="H102" s="1">
        <v>100</v>
      </c>
      <c r="I102" s="1" t="s">
        <v>173</v>
      </c>
      <c r="J102" s="1">
        <v>3</v>
      </c>
      <c r="K102" s="1">
        <v>13</v>
      </c>
      <c r="L102" s="1">
        <v>11</v>
      </c>
      <c r="M102" s="1">
        <v>140</v>
      </c>
      <c r="N102" s="1">
        <v>5</v>
      </c>
      <c r="O102" s="1">
        <v>40</v>
      </c>
      <c r="P102" s="1">
        <v>38</v>
      </c>
      <c r="Q102" s="1">
        <v>7</v>
      </c>
      <c r="R102" s="1">
        <v>7.8</v>
      </c>
      <c r="S102" s="1">
        <v>5.3595520000000008</v>
      </c>
    </row>
    <row r="103" spans="1:19" x14ac:dyDescent="0.3">
      <c r="A103" s="1" t="s">
        <v>96</v>
      </c>
      <c r="B103" s="1" t="s">
        <v>99</v>
      </c>
      <c r="C103" s="1">
        <v>3</v>
      </c>
      <c r="D103" s="1">
        <v>9</v>
      </c>
      <c r="E103" s="1">
        <v>330</v>
      </c>
      <c r="F103" s="1">
        <v>64</v>
      </c>
      <c r="G103" s="1">
        <v>13</v>
      </c>
      <c r="H103" s="1">
        <v>125</v>
      </c>
      <c r="I103" s="1" t="s">
        <v>174</v>
      </c>
      <c r="J103" s="1">
        <v>42</v>
      </c>
      <c r="K103" s="1">
        <v>52</v>
      </c>
      <c r="L103" s="1">
        <v>11</v>
      </c>
      <c r="M103" s="1">
        <v>192</v>
      </c>
      <c r="N103" s="1">
        <v>6</v>
      </c>
      <c r="O103" s="1">
        <v>41</v>
      </c>
      <c r="P103" s="1">
        <v>39</v>
      </c>
      <c r="Q103" s="1">
        <v>7</v>
      </c>
      <c r="R103" s="1">
        <v>7.4</v>
      </c>
      <c r="S103" s="1">
        <v>7.3211904000000008</v>
      </c>
    </row>
    <row r="104" spans="1:19" x14ac:dyDescent="0.3">
      <c r="A104" s="1" t="s">
        <v>182</v>
      </c>
      <c r="B104" s="1" t="s">
        <v>97</v>
      </c>
      <c r="C104" s="1">
        <v>2</v>
      </c>
      <c r="D104" s="1">
        <v>1</v>
      </c>
      <c r="E104" s="1">
        <v>333</v>
      </c>
      <c r="F104" s="1">
        <v>64</v>
      </c>
      <c r="G104" s="1">
        <v>15</v>
      </c>
      <c r="H104" s="1">
        <v>142</v>
      </c>
      <c r="I104" s="1" t="s">
        <v>176</v>
      </c>
      <c r="J104" s="1">
        <v>45</v>
      </c>
      <c r="K104" s="1">
        <v>3</v>
      </c>
      <c r="L104" s="1">
        <v>11</v>
      </c>
      <c r="M104" s="1">
        <v>192</v>
      </c>
      <c r="N104" s="1">
        <v>6</v>
      </c>
      <c r="O104" s="1">
        <v>36.1</v>
      </c>
      <c r="P104" s="1">
        <v>37</v>
      </c>
      <c r="Q104" s="1">
        <v>7</v>
      </c>
      <c r="R104" s="1">
        <v>7.8</v>
      </c>
      <c r="S104" s="1">
        <v>6.7968864</v>
      </c>
    </row>
    <row r="105" spans="1:19" x14ac:dyDescent="0.3">
      <c r="A105" s="1" t="s">
        <v>182</v>
      </c>
      <c r="B105" s="1" t="s">
        <v>97</v>
      </c>
      <c r="C105" s="1">
        <v>2</v>
      </c>
      <c r="D105" s="1">
        <v>2</v>
      </c>
      <c r="E105" s="1">
        <v>350</v>
      </c>
      <c r="F105" s="1">
        <v>65</v>
      </c>
      <c r="G105" s="1">
        <v>11</v>
      </c>
      <c r="H105" s="1">
        <v>83</v>
      </c>
      <c r="I105" s="1" t="s">
        <v>178</v>
      </c>
      <c r="J105" s="1">
        <v>46</v>
      </c>
      <c r="K105" s="1">
        <v>4</v>
      </c>
      <c r="L105" s="1">
        <v>11</v>
      </c>
      <c r="M105" s="1">
        <v>172</v>
      </c>
      <c r="N105" s="1">
        <v>7</v>
      </c>
      <c r="O105" s="1">
        <v>40.299999999999997</v>
      </c>
      <c r="P105" s="1">
        <v>37</v>
      </c>
      <c r="Q105" s="1">
        <v>7</v>
      </c>
      <c r="R105" s="1">
        <v>8.1999999999999993</v>
      </c>
      <c r="S105" s="1">
        <v>7.0066080000000008</v>
      </c>
    </row>
    <row r="106" spans="1:19" x14ac:dyDescent="0.3">
      <c r="A106" s="1" t="s">
        <v>182</v>
      </c>
      <c r="B106" s="1" t="s">
        <v>97</v>
      </c>
      <c r="C106" s="1">
        <v>2</v>
      </c>
      <c r="D106" s="1">
        <v>4</v>
      </c>
      <c r="E106" s="1">
        <v>335</v>
      </c>
      <c r="F106" s="1">
        <v>64</v>
      </c>
      <c r="G106" s="1">
        <v>12</v>
      </c>
      <c r="H106" s="1">
        <v>117</v>
      </c>
      <c r="I106" s="1" t="s">
        <v>173</v>
      </c>
      <c r="J106" s="1">
        <v>47</v>
      </c>
      <c r="K106" s="1">
        <v>5</v>
      </c>
      <c r="L106" s="1">
        <v>11</v>
      </c>
      <c r="M106" s="1">
        <v>163</v>
      </c>
      <c r="N106" s="1">
        <v>6</v>
      </c>
      <c r="O106" s="1">
        <v>37.700000000000003</v>
      </c>
      <c r="P106" s="1">
        <v>38</v>
      </c>
      <c r="Q106" s="1">
        <v>7</v>
      </c>
      <c r="R106" s="1">
        <v>7.8</v>
      </c>
      <c r="S106" s="1">
        <v>7.7673254400000014</v>
      </c>
    </row>
    <row r="107" spans="1:19" x14ac:dyDescent="0.3">
      <c r="A107" s="1" t="s">
        <v>182</v>
      </c>
      <c r="B107" s="1" t="s">
        <v>97</v>
      </c>
      <c r="C107" s="1">
        <v>2</v>
      </c>
      <c r="D107" s="1">
        <v>6</v>
      </c>
      <c r="E107" s="1">
        <v>300</v>
      </c>
      <c r="F107" s="1">
        <v>59</v>
      </c>
      <c r="G107" s="1">
        <v>13</v>
      </c>
      <c r="H107" s="1">
        <v>110</v>
      </c>
      <c r="I107" s="1" t="s">
        <v>175</v>
      </c>
      <c r="J107" s="1">
        <v>43</v>
      </c>
      <c r="K107" s="1">
        <v>1</v>
      </c>
      <c r="L107" s="1">
        <v>11</v>
      </c>
      <c r="M107" s="1">
        <v>160</v>
      </c>
      <c r="N107" s="1">
        <v>9</v>
      </c>
      <c r="O107" s="1">
        <v>20.5</v>
      </c>
      <c r="P107" s="1">
        <v>37</v>
      </c>
      <c r="Q107" s="1">
        <v>5</v>
      </c>
      <c r="R107" s="1">
        <v>7.4</v>
      </c>
      <c r="S107" s="1">
        <v>8.9503459200000002</v>
      </c>
    </row>
    <row r="108" spans="1:19" x14ac:dyDescent="0.3">
      <c r="A108" s="1" t="s">
        <v>182</v>
      </c>
      <c r="B108" s="1" t="s">
        <v>97</v>
      </c>
      <c r="C108" s="1">
        <v>2</v>
      </c>
      <c r="D108" s="1">
        <v>9</v>
      </c>
      <c r="E108" s="1">
        <v>350</v>
      </c>
      <c r="F108" s="1">
        <v>62</v>
      </c>
      <c r="G108" s="1">
        <v>15</v>
      </c>
      <c r="H108" s="1">
        <v>145</v>
      </c>
      <c r="I108" s="1" t="s">
        <v>174</v>
      </c>
      <c r="J108" s="1">
        <v>42</v>
      </c>
      <c r="K108" s="1">
        <v>52</v>
      </c>
      <c r="L108" s="1">
        <v>11</v>
      </c>
      <c r="M108" s="1">
        <v>200</v>
      </c>
      <c r="N108" s="1">
        <v>5</v>
      </c>
      <c r="O108" s="1">
        <v>43</v>
      </c>
      <c r="P108" s="1">
        <v>39</v>
      </c>
      <c r="Q108" s="1">
        <v>7</v>
      </c>
      <c r="R108" s="1">
        <v>7.6</v>
      </c>
      <c r="S108" s="1">
        <v>4.72668</v>
      </c>
    </row>
    <row r="109" spans="1:19" x14ac:dyDescent="0.3">
      <c r="A109" s="1" t="s">
        <v>182</v>
      </c>
      <c r="B109" s="1" t="s">
        <v>97</v>
      </c>
      <c r="C109" s="1">
        <v>2</v>
      </c>
      <c r="D109" s="1">
        <v>10</v>
      </c>
      <c r="E109" s="1">
        <v>330</v>
      </c>
      <c r="F109" s="1">
        <v>59</v>
      </c>
      <c r="G109" s="1">
        <v>12</v>
      </c>
      <c r="H109" s="1">
        <v>115</v>
      </c>
      <c r="I109" s="1" t="s">
        <v>176</v>
      </c>
      <c r="J109" s="1">
        <v>45</v>
      </c>
      <c r="K109" s="1">
        <v>3</v>
      </c>
      <c r="L109" s="1">
        <v>11</v>
      </c>
      <c r="M109" s="1">
        <v>173</v>
      </c>
      <c r="N109" s="1">
        <v>3</v>
      </c>
      <c r="O109" s="1">
        <v>32.5</v>
      </c>
      <c r="P109" s="1">
        <v>39</v>
      </c>
      <c r="Q109" s="1">
        <v>6</v>
      </c>
      <c r="R109" s="1">
        <v>7.8</v>
      </c>
      <c r="S109" s="1">
        <v>2.7737270399999998</v>
      </c>
    </row>
    <row r="110" spans="1:19" x14ac:dyDescent="0.3">
      <c r="A110" s="1" t="s">
        <v>182</v>
      </c>
      <c r="B110" s="1" t="s">
        <v>97</v>
      </c>
      <c r="C110" s="1">
        <v>2</v>
      </c>
      <c r="D110" s="1">
        <v>12</v>
      </c>
      <c r="E110" s="1">
        <v>335</v>
      </c>
      <c r="F110" s="1">
        <v>61</v>
      </c>
      <c r="G110" s="1">
        <v>12</v>
      </c>
      <c r="H110" s="1">
        <v>75</v>
      </c>
      <c r="I110" s="1" t="s">
        <v>179</v>
      </c>
      <c r="J110" s="1">
        <v>41</v>
      </c>
      <c r="K110" s="1">
        <v>51</v>
      </c>
      <c r="L110" s="1">
        <v>11</v>
      </c>
      <c r="M110" s="1">
        <v>120</v>
      </c>
      <c r="N110" s="1">
        <v>7</v>
      </c>
      <c r="O110" s="1">
        <v>45.3</v>
      </c>
      <c r="P110" s="1">
        <v>40</v>
      </c>
      <c r="Q110" s="1">
        <v>7</v>
      </c>
      <c r="R110" s="1">
        <v>8.4</v>
      </c>
      <c r="S110" s="1">
        <v>6.8509056000000008</v>
      </c>
    </row>
    <row r="111" spans="1:19" x14ac:dyDescent="0.3">
      <c r="A111" s="1" t="s">
        <v>182</v>
      </c>
      <c r="B111" s="1" t="s">
        <v>97</v>
      </c>
      <c r="C111" s="1">
        <v>2</v>
      </c>
      <c r="D111" s="1">
        <v>13</v>
      </c>
      <c r="E111" s="1">
        <v>340</v>
      </c>
      <c r="F111" s="1">
        <v>63</v>
      </c>
      <c r="G111" s="1">
        <v>11</v>
      </c>
      <c r="H111" s="1">
        <v>117</v>
      </c>
      <c r="I111" s="1" t="s">
        <v>173</v>
      </c>
      <c r="J111" s="1">
        <v>47</v>
      </c>
      <c r="K111" s="1">
        <v>5</v>
      </c>
      <c r="L111" s="1">
        <v>11</v>
      </c>
      <c r="M111" s="1">
        <v>183</v>
      </c>
      <c r="N111" s="1">
        <v>6</v>
      </c>
      <c r="O111" s="1">
        <v>43.2</v>
      </c>
      <c r="P111" s="1">
        <v>38</v>
      </c>
      <c r="Q111" s="1">
        <v>7</v>
      </c>
      <c r="R111" s="1">
        <v>7.2</v>
      </c>
      <c r="S111" s="1">
        <v>5.8988966400000002</v>
      </c>
    </row>
    <row r="112" spans="1:19" x14ac:dyDescent="0.3">
      <c r="A112" s="1" t="s">
        <v>182</v>
      </c>
      <c r="B112" s="1" t="s">
        <v>172</v>
      </c>
      <c r="C112" s="1">
        <v>3</v>
      </c>
      <c r="D112" s="1">
        <v>1</v>
      </c>
      <c r="E112" s="1">
        <v>320</v>
      </c>
      <c r="F112" s="1">
        <v>65</v>
      </c>
      <c r="G112" s="1">
        <v>12</v>
      </c>
      <c r="H112" s="1">
        <v>76</v>
      </c>
      <c r="I112" s="1" t="s">
        <v>176</v>
      </c>
      <c r="J112" s="1">
        <v>45</v>
      </c>
      <c r="K112" s="1">
        <v>3</v>
      </c>
      <c r="L112" s="1">
        <v>11</v>
      </c>
      <c r="M112" s="1">
        <v>80</v>
      </c>
      <c r="N112" s="1">
        <v>7</v>
      </c>
      <c r="O112" s="1">
        <v>34.9</v>
      </c>
      <c r="P112" s="1">
        <v>39</v>
      </c>
      <c r="Q112" s="1">
        <v>6</v>
      </c>
      <c r="R112" s="1">
        <v>8.4</v>
      </c>
      <c r="S112" s="1">
        <v>5.9315200000000008</v>
      </c>
    </row>
    <row r="113" spans="1:19" x14ac:dyDescent="0.3">
      <c r="A113" s="1" t="s">
        <v>182</v>
      </c>
      <c r="B113" s="1" t="s">
        <v>172</v>
      </c>
      <c r="C113" s="1">
        <v>3</v>
      </c>
      <c r="D113" s="1">
        <v>2</v>
      </c>
      <c r="E113" s="1">
        <v>340</v>
      </c>
      <c r="F113" s="1">
        <v>63</v>
      </c>
      <c r="G113" s="1">
        <v>15</v>
      </c>
      <c r="H113" s="1">
        <v>124</v>
      </c>
      <c r="I113" s="1" t="s">
        <v>176</v>
      </c>
      <c r="J113" s="1">
        <v>45</v>
      </c>
      <c r="K113" s="1">
        <v>3</v>
      </c>
      <c r="L113" s="1">
        <v>11</v>
      </c>
      <c r="M113" s="1">
        <v>186</v>
      </c>
      <c r="N113" s="1">
        <v>6</v>
      </c>
      <c r="O113" s="1">
        <v>40.200000000000003</v>
      </c>
      <c r="P113" s="1">
        <v>38</v>
      </c>
      <c r="Q113" s="1">
        <v>7</v>
      </c>
      <c r="R113" s="1">
        <v>8.4</v>
      </c>
      <c r="S113" s="1">
        <v>6.9208128000000002</v>
      </c>
    </row>
    <row r="114" spans="1:19" x14ac:dyDescent="0.3">
      <c r="A114" s="1" t="s">
        <v>182</v>
      </c>
      <c r="B114" s="1" t="s">
        <v>172</v>
      </c>
      <c r="C114" s="1">
        <v>3</v>
      </c>
      <c r="D114" s="1">
        <v>3</v>
      </c>
      <c r="E114" s="1">
        <v>335</v>
      </c>
      <c r="F114" s="1">
        <v>64</v>
      </c>
      <c r="G114" s="1">
        <v>13</v>
      </c>
      <c r="H114" s="1">
        <v>106</v>
      </c>
      <c r="I114" s="1" t="s">
        <v>178</v>
      </c>
      <c r="J114" s="1">
        <v>46</v>
      </c>
      <c r="K114" s="1">
        <v>4</v>
      </c>
      <c r="L114" s="1">
        <v>11</v>
      </c>
      <c r="M114" s="1">
        <v>150</v>
      </c>
      <c r="N114" s="1">
        <v>5</v>
      </c>
      <c r="O114" s="1">
        <v>41</v>
      </c>
      <c r="P114" s="1">
        <v>38</v>
      </c>
      <c r="Q114" s="1">
        <v>7</v>
      </c>
      <c r="R114" s="1">
        <v>8.1999999999999993</v>
      </c>
      <c r="S114" s="1">
        <v>5.5422640000000003</v>
      </c>
    </row>
    <row r="115" spans="1:19" x14ac:dyDescent="0.3">
      <c r="A115" s="1" t="s">
        <v>182</v>
      </c>
      <c r="B115" s="1" t="s">
        <v>172</v>
      </c>
      <c r="C115" s="1">
        <v>3</v>
      </c>
      <c r="D115" s="1">
        <v>4</v>
      </c>
      <c r="E115" s="1">
        <v>325</v>
      </c>
      <c r="F115" s="1">
        <v>66</v>
      </c>
      <c r="G115" s="1">
        <v>11</v>
      </c>
      <c r="H115" s="1">
        <v>135</v>
      </c>
      <c r="I115" s="1" t="s">
        <v>178</v>
      </c>
      <c r="J115" s="1">
        <v>46</v>
      </c>
      <c r="K115" s="1">
        <v>4</v>
      </c>
      <c r="L115" s="1">
        <v>11</v>
      </c>
      <c r="M115" s="1">
        <v>204</v>
      </c>
      <c r="N115" s="1">
        <v>5</v>
      </c>
      <c r="O115" s="1">
        <v>43</v>
      </c>
      <c r="P115" s="1">
        <v>39</v>
      </c>
      <c r="Q115" s="1">
        <v>7</v>
      </c>
      <c r="R115" s="1">
        <v>8</v>
      </c>
      <c r="S115" s="1">
        <v>5.3026200000000001</v>
      </c>
    </row>
    <row r="116" spans="1:19" x14ac:dyDescent="0.3">
      <c r="A116" s="1" t="s">
        <v>182</v>
      </c>
      <c r="B116" s="1" t="s">
        <v>172</v>
      </c>
      <c r="C116" s="1">
        <v>3</v>
      </c>
      <c r="D116" s="1">
        <v>5</v>
      </c>
      <c r="E116" s="1">
        <v>336</v>
      </c>
      <c r="F116" s="1">
        <v>64</v>
      </c>
      <c r="G116" s="1">
        <v>11</v>
      </c>
      <c r="H116" s="1">
        <v>170</v>
      </c>
      <c r="I116" s="1" t="s">
        <v>178</v>
      </c>
      <c r="J116" s="1">
        <v>46</v>
      </c>
      <c r="K116" s="1">
        <v>4</v>
      </c>
      <c r="L116" s="1">
        <v>11</v>
      </c>
      <c r="M116" s="1">
        <v>216</v>
      </c>
      <c r="N116" s="1">
        <v>5</v>
      </c>
      <c r="O116" s="1">
        <v>41.8</v>
      </c>
      <c r="P116" s="1">
        <v>37</v>
      </c>
      <c r="Q116" s="1">
        <v>7</v>
      </c>
      <c r="R116" s="1">
        <v>7.4</v>
      </c>
      <c r="S116" s="1">
        <v>6.1009919999999997</v>
      </c>
    </row>
    <row r="117" spans="1:19" x14ac:dyDescent="0.3">
      <c r="A117" s="1" t="s">
        <v>182</v>
      </c>
      <c r="B117" s="1" t="s">
        <v>172</v>
      </c>
      <c r="C117" s="1">
        <v>3</v>
      </c>
      <c r="D117" s="1">
        <v>6</v>
      </c>
      <c r="E117" s="1">
        <v>315</v>
      </c>
      <c r="F117" s="1">
        <v>57</v>
      </c>
      <c r="G117" s="1">
        <v>13</v>
      </c>
      <c r="H117" s="1">
        <v>120</v>
      </c>
      <c r="I117" s="1" t="s">
        <v>176</v>
      </c>
      <c r="J117" s="1">
        <v>45</v>
      </c>
      <c r="K117" s="1">
        <v>3</v>
      </c>
      <c r="L117" s="1">
        <v>11</v>
      </c>
      <c r="M117" s="1">
        <v>155</v>
      </c>
      <c r="N117" s="1">
        <v>6</v>
      </c>
      <c r="O117" s="1">
        <v>28.9</v>
      </c>
      <c r="P117" s="1">
        <v>37</v>
      </c>
      <c r="Q117" s="1">
        <v>6</v>
      </c>
      <c r="R117" s="1">
        <v>7</v>
      </c>
      <c r="S117" s="1">
        <v>5.8722047999999996</v>
      </c>
    </row>
    <row r="118" spans="1:19" x14ac:dyDescent="0.3">
      <c r="A118" s="1" t="s">
        <v>182</v>
      </c>
      <c r="B118" s="1" t="s">
        <v>172</v>
      </c>
      <c r="C118" s="1">
        <v>3</v>
      </c>
      <c r="D118" s="1">
        <v>7</v>
      </c>
      <c r="E118" s="1">
        <v>315</v>
      </c>
      <c r="F118" s="1">
        <v>57</v>
      </c>
      <c r="G118" s="1">
        <v>12</v>
      </c>
      <c r="H118" s="1">
        <v>142</v>
      </c>
      <c r="I118" s="1" t="s">
        <v>176</v>
      </c>
      <c r="J118" s="1">
        <v>45</v>
      </c>
      <c r="K118" s="1">
        <v>3</v>
      </c>
      <c r="L118" s="1">
        <v>11</v>
      </c>
      <c r="M118" s="1">
        <v>194</v>
      </c>
      <c r="N118" s="1">
        <v>5</v>
      </c>
      <c r="O118" s="1">
        <v>32.700000000000003</v>
      </c>
      <c r="P118" s="1">
        <v>37</v>
      </c>
      <c r="Q118" s="1">
        <v>6</v>
      </c>
      <c r="R118" s="1">
        <v>7.6</v>
      </c>
      <c r="S118" s="1">
        <v>4.2368000000000023</v>
      </c>
    </row>
    <row r="119" spans="1:19" x14ac:dyDescent="0.3">
      <c r="A119" s="1" t="s">
        <v>182</v>
      </c>
      <c r="B119" s="1" t="s">
        <v>172</v>
      </c>
      <c r="C119" s="1">
        <v>3</v>
      </c>
      <c r="D119" s="1">
        <v>9</v>
      </c>
      <c r="E119" s="1">
        <v>345</v>
      </c>
      <c r="F119" s="1">
        <v>66</v>
      </c>
      <c r="G119" s="1">
        <v>14</v>
      </c>
      <c r="H119" s="1">
        <v>93</v>
      </c>
      <c r="I119" s="1" t="s">
        <v>175</v>
      </c>
      <c r="J119" s="1">
        <v>43</v>
      </c>
      <c r="K119" s="1">
        <v>52</v>
      </c>
      <c r="L119" s="1">
        <v>10</v>
      </c>
      <c r="M119" s="1">
        <v>192</v>
      </c>
      <c r="N119" s="1">
        <v>6</v>
      </c>
      <c r="O119" s="1">
        <v>46</v>
      </c>
      <c r="P119" s="1">
        <v>39</v>
      </c>
      <c r="Q119" s="1">
        <v>7</v>
      </c>
      <c r="R119" s="1">
        <v>8</v>
      </c>
      <c r="S119" s="1">
        <v>7.1623104000000017</v>
      </c>
    </row>
    <row r="120" spans="1:19" x14ac:dyDescent="0.3">
      <c r="A120" s="1" t="s">
        <v>182</v>
      </c>
      <c r="B120" s="1" t="s">
        <v>109</v>
      </c>
      <c r="C120" s="1">
        <v>1</v>
      </c>
      <c r="D120" s="1">
        <v>3</v>
      </c>
      <c r="E120" s="1">
        <v>353</v>
      </c>
      <c r="F120" s="1">
        <v>69</v>
      </c>
      <c r="G120" s="1">
        <v>14</v>
      </c>
      <c r="H120" s="1">
        <v>210</v>
      </c>
      <c r="I120" s="1" t="s">
        <v>177</v>
      </c>
      <c r="J120" s="1">
        <v>44</v>
      </c>
      <c r="K120" s="1">
        <v>2</v>
      </c>
      <c r="L120" s="1">
        <v>12</v>
      </c>
      <c r="M120" s="1">
        <v>235</v>
      </c>
      <c r="N120" s="1">
        <v>6</v>
      </c>
      <c r="O120" s="1">
        <v>38.799999999999997</v>
      </c>
      <c r="P120" s="1">
        <v>37</v>
      </c>
      <c r="Q120" s="1">
        <v>7</v>
      </c>
      <c r="R120" s="1">
        <v>8.4</v>
      </c>
      <c r="S120" s="1">
        <v>6.5776320000000004</v>
      </c>
    </row>
    <row r="121" spans="1:19" x14ac:dyDescent="0.3">
      <c r="A121" s="1" t="s">
        <v>182</v>
      </c>
      <c r="B121" s="1" t="s">
        <v>109</v>
      </c>
      <c r="C121" s="1">
        <v>1</v>
      </c>
      <c r="D121" s="1">
        <v>4</v>
      </c>
      <c r="E121" s="1">
        <v>336</v>
      </c>
      <c r="F121" s="1">
        <v>64</v>
      </c>
      <c r="G121" s="1">
        <v>12</v>
      </c>
      <c r="H121" s="1">
        <v>144</v>
      </c>
      <c r="I121" s="1" t="s">
        <v>179</v>
      </c>
      <c r="J121" s="1">
        <v>41</v>
      </c>
      <c r="K121" s="1">
        <v>51</v>
      </c>
      <c r="L121" s="1">
        <v>11</v>
      </c>
      <c r="M121" s="1">
        <v>210</v>
      </c>
      <c r="N121" s="1">
        <v>6</v>
      </c>
      <c r="O121" s="1">
        <v>43</v>
      </c>
      <c r="P121" s="1">
        <v>40</v>
      </c>
      <c r="Q121" s="1">
        <v>7</v>
      </c>
      <c r="R121" s="1">
        <v>8</v>
      </c>
      <c r="S121" s="1">
        <v>5.4718272000000008</v>
      </c>
    </row>
    <row r="122" spans="1:19" x14ac:dyDescent="0.3">
      <c r="A122" s="1" t="s">
        <v>182</v>
      </c>
      <c r="B122" s="1" t="s">
        <v>109</v>
      </c>
      <c r="C122" s="1">
        <v>1</v>
      </c>
      <c r="D122" s="1">
        <v>5</v>
      </c>
      <c r="E122" s="1">
        <v>303</v>
      </c>
      <c r="F122" s="1">
        <v>56</v>
      </c>
      <c r="G122" s="1">
        <v>12</v>
      </c>
      <c r="H122" s="1">
        <v>106</v>
      </c>
      <c r="I122" s="1" t="s">
        <v>179</v>
      </c>
      <c r="J122" s="1">
        <v>41</v>
      </c>
      <c r="K122" s="1">
        <v>51</v>
      </c>
      <c r="L122" s="1">
        <v>11</v>
      </c>
      <c r="M122" s="1">
        <v>160</v>
      </c>
      <c r="N122" s="1">
        <v>7</v>
      </c>
      <c r="O122" s="1">
        <v>36.4</v>
      </c>
      <c r="P122" s="1">
        <v>40</v>
      </c>
      <c r="Q122" s="1">
        <v>6</v>
      </c>
      <c r="R122" s="1">
        <v>8.1999999999999993</v>
      </c>
      <c r="S122" s="1">
        <v>6.2280960000000007</v>
      </c>
    </row>
    <row r="123" spans="1:19" x14ac:dyDescent="0.3">
      <c r="A123" s="1" t="s">
        <v>182</v>
      </c>
      <c r="B123" s="1" t="s">
        <v>109</v>
      </c>
      <c r="C123" s="1">
        <v>1</v>
      </c>
      <c r="D123" s="1">
        <v>6</v>
      </c>
      <c r="E123" s="1">
        <v>330</v>
      </c>
      <c r="F123" s="1">
        <v>64</v>
      </c>
      <c r="G123" s="1">
        <v>13</v>
      </c>
      <c r="H123" s="1">
        <v>106</v>
      </c>
      <c r="I123" s="1" t="s">
        <v>176</v>
      </c>
      <c r="J123" s="1">
        <v>45</v>
      </c>
      <c r="K123" s="1">
        <v>3</v>
      </c>
      <c r="L123" s="1">
        <v>11</v>
      </c>
      <c r="M123" s="1">
        <v>160</v>
      </c>
      <c r="N123" s="1">
        <v>4</v>
      </c>
      <c r="O123" s="1">
        <v>37.200000000000003</v>
      </c>
      <c r="P123" s="1">
        <v>37</v>
      </c>
      <c r="Q123" s="1">
        <v>7</v>
      </c>
      <c r="R123" s="1">
        <v>7.6</v>
      </c>
      <c r="S123" s="1">
        <v>4.1817216000000004</v>
      </c>
    </row>
    <row r="124" spans="1:19" x14ac:dyDescent="0.3">
      <c r="A124" s="1" t="s">
        <v>182</v>
      </c>
      <c r="B124" s="1" t="s">
        <v>109</v>
      </c>
      <c r="C124" s="1">
        <v>1</v>
      </c>
      <c r="D124" s="1">
        <v>8</v>
      </c>
      <c r="E124" s="1">
        <v>350</v>
      </c>
      <c r="F124" s="1">
        <v>64</v>
      </c>
      <c r="G124" s="1">
        <v>11</v>
      </c>
      <c r="H124" s="1">
        <v>138</v>
      </c>
      <c r="I124" s="1" t="s">
        <v>173</v>
      </c>
      <c r="J124" s="1">
        <v>47</v>
      </c>
      <c r="K124" s="1">
        <v>5</v>
      </c>
      <c r="L124" s="1">
        <v>12</v>
      </c>
      <c r="M124" s="1">
        <v>206</v>
      </c>
      <c r="N124" s="1">
        <v>7</v>
      </c>
      <c r="O124" s="1">
        <v>41.2</v>
      </c>
      <c r="P124" s="1">
        <v>38</v>
      </c>
      <c r="Q124" s="1">
        <v>7</v>
      </c>
      <c r="R124" s="1">
        <v>7.8</v>
      </c>
      <c r="S124" s="1">
        <v>7.2475760000000014</v>
      </c>
    </row>
    <row r="125" spans="1:19" x14ac:dyDescent="0.3">
      <c r="A125" s="1" t="s">
        <v>182</v>
      </c>
      <c r="B125" s="1" t="s">
        <v>109</v>
      </c>
      <c r="C125" s="1">
        <v>1</v>
      </c>
      <c r="D125" s="1">
        <v>9</v>
      </c>
      <c r="E125" s="1">
        <v>336</v>
      </c>
      <c r="F125" s="1">
        <v>66</v>
      </c>
      <c r="G125" s="1">
        <v>14</v>
      </c>
      <c r="H125" s="1">
        <v>145</v>
      </c>
      <c r="I125" s="1" t="s">
        <v>175</v>
      </c>
      <c r="J125" s="1">
        <v>43</v>
      </c>
      <c r="K125" s="1">
        <v>1</v>
      </c>
      <c r="L125" s="1">
        <v>11</v>
      </c>
      <c r="M125" s="1">
        <v>216</v>
      </c>
      <c r="N125" s="1">
        <v>7</v>
      </c>
      <c r="O125" s="1">
        <v>48.1</v>
      </c>
      <c r="P125" s="1">
        <v>39</v>
      </c>
      <c r="Q125" s="1">
        <v>7</v>
      </c>
      <c r="R125" s="1">
        <v>8.1999999999999993</v>
      </c>
      <c r="S125" s="1">
        <v>7.5626880000000014</v>
      </c>
    </row>
    <row r="126" spans="1:19" x14ac:dyDescent="0.3">
      <c r="A126" s="1" t="s">
        <v>182</v>
      </c>
      <c r="B126" s="1" t="s">
        <v>109</v>
      </c>
      <c r="C126" s="1">
        <v>1</v>
      </c>
      <c r="D126" s="1">
        <v>10</v>
      </c>
      <c r="E126" s="1">
        <v>310</v>
      </c>
      <c r="F126" s="1">
        <v>59</v>
      </c>
      <c r="G126" s="1">
        <v>14</v>
      </c>
      <c r="H126" s="1">
        <v>100</v>
      </c>
      <c r="I126" s="1" t="s">
        <v>176</v>
      </c>
      <c r="J126" s="1">
        <v>45</v>
      </c>
      <c r="K126" s="1">
        <v>3</v>
      </c>
      <c r="L126" s="1">
        <v>11</v>
      </c>
      <c r="M126" s="1">
        <v>146</v>
      </c>
      <c r="N126" s="1">
        <v>5</v>
      </c>
      <c r="O126" s="1">
        <v>29.2</v>
      </c>
      <c r="P126" s="1">
        <v>39</v>
      </c>
      <c r="Q126" s="1">
        <v>6</v>
      </c>
      <c r="R126" s="1">
        <v>8.1999999999999993</v>
      </c>
      <c r="S126" s="1">
        <v>3.813120000000001</v>
      </c>
    </row>
    <row r="127" spans="1:19" x14ac:dyDescent="0.3">
      <c r="A127" s="1" t="s">
        <v>182</v>
      </c>
      <c r="B127" s="1" t="s">
        <v>109</v>
      </c>
      <c r="C127" s="1">
        <v>1</v>
      </c>
      <c r="D127" s="1">
        <v>11</v>
      </c>
      <c r="E127" s="1">
        <v>348</v>
      </c>
      <c r="F127" s="1">
        <v>69</v>
      </c>
      <c r="G127" s="1">
        <v>14</v>
      </c>
      <c r="H127" s="1">
        <v>100</v>
      </c>
      <c r="I127" s="1" t="s">
        <v>176</v>
      </c>
      <c r="J127" s="1">
        <v>45</v>
      </c>
      <c r="K127" s="1">
        <v>3</v>
      </c>
      <c r="L127" s="1">
        <v>11</v>
      </c>
      <c r="M127" s="1">
        <v>146</v>
      </c>
      <c r="N127" s="1">
        <v>6</v>
      </c>
      <c r="O127" s="1">
        <v>36.5</v>
      </c>
      <c r="P127" s="1">
        <v>37</v>
      </c>
      <c r="Q127" s="1">
        <v>7</v>
      </c>
      <c r="R127" s="1">
        <v>7.8</v>
      </c>
      <c r="S127" s="1">
        <v>7.3211904000000008</v>
      </c>
    </row>
    <row r="128" spans="1:19" x14ac:dyDescent="0.3">
      <c r="A128" s="1" t="s">
        <v>182</v>
      </c>
      <c r="B128" s="1" t="s">
        <v>109</v>
      </c>
      <c r="C128" s="1">
        <v>1</v>
      </c>
      <c r="D128" s="1">
        <v>13</v>
      </c>
      <c r="E128" s="1">
        <v>345</v>
      </c>
      <c r="F128" s="1">
        <v>67</v>
      </c>
      <c r="G128" s="1">
        <v>13</v>
      </c>
      <c r="H128" s="1">
        <v>100</v>
      </c>
      <c r="I128" s="1" t="s">
        <v>176</v>
      </c>
      <c r="J128" s="1">
        <v>45</v>
      </c>
      <c r="K128" s="1">
        <v>3</v>
      </c>
      <c r="L128" s="1">
        <v>11</v>
      </c>
      <c r="M128" s="1">
        <v>175</v>
      </c>
      <c r="N128" s="1">
        <v>5</v>
      </c>
      <c r="O128" s="1">
        <v>29.2</v>
      </c>
      <c r="P128" s="1">
        <v>37</v>
      </c>
      <c r="Q128" s="1">
        <v>7</v>
      </c>
      <c r="R128" s="1">
        <v>7.6</v>
      </c>
      <c r="S128" s="1">
        <v>4.7769920000000008</v>
      </c>
    </row>
    <row r="129" spans="1:19" x14ac:dyDescent="0.3">
      <c r="A129" s="1" t="s">
        <v>182</v>
      </c>
      <c r="B129" s="1" t="s">
        <v>97</v>
      </c>
      <c r="C129" s="1">
        <v>3</v>
      </c>
      <c r="D129" s="1">
        <v>2</v>
      </c>
      <c r="E129" s="1">
        <v>330</v>
      </c>
      <c r="F129" s="1">
        <v>66</v>
      </c>
      <c r="G129" s="1">
        <v>12</v>
      </c>
      <c r="H129" s="1">
        <v>130</v>
      </c>
      <c r="I129" s="1" t="s">
        <v>178</v>
      </c>
      <c r="J129" s="1">
        <v>46</v>
      </c>
      <c r="K129" s="1">
        <v>4</v>
      </c>
      <c r="L129" s="1">
        <v>11</v>
      </c>
      <c r="M129" s="1">
        <v>180</v>
      </c>
      <c r="N129" s="1">
        <v>6</v>
      </c>
      <c r="O129" s="1">
        <v>40.4</v>
      </c>
      <c r="P129" s="1">
        <v>38</v>
      </c>
      <c r="Q129" s="1">
        <v>7</v>
      </c>
      <c r="R129" s="1">
        <v>8</v>
      </c>
      <c r="S129" s="1">
        <v>6.2852927999999997</v>
      </c>
    </row>
    <row r="130" spans="1:19" x14ac:dyDescent="0.3">
      <c r="A130" s="1" t="s">
        <v>182</v>
      </c>
      <c r="B130" s="1" t="s">
        <v>97</v>
      </c>
      <c r="C130" s="1">
        <v>3</v>
      </c>
      <c r="D130" s="1">
        <v>3</v>
      </c>
      <c r="E130" s="1">
        <v>323</v>
      </c>
      <c r="F130" s="1">
        <v>69</v>
      </c>
      <c r="G130" s="1">
        <v>13</v>
      </c>
      <c r="H130" s="1">
        <v>82</v>
      </c>
      <c r="I130" s="1" t="s">
        <v>175</v>
      </c>
      <c r="J130" s="1">
        <v>43</v>
      </c>
      <c r="K130" s="1">
        <v>1</v>
      </c>
      <c r="L130" s="1">
        <v>11</v>
      </c>
      <c r="M130" s="1">
        <v>130</v>
      </c>
      <c r="N130" s="1">
        <v>7</v>
      </c>
      <c r="O130" s="1">
        <v>51</v>
      </c>
      <c r="P130" s="1">
        <v>39</v>
      </c>
      <c r="Q130" s="1">
        <v>8</v>
      </c>
      <c r="R130" s="1">
        <v>7.6</v>
      </c>
      <c r="S130" s="1">
        <v>7.7832664000000014</v>
      </c>
    </row>
    <row r="131" spans="1:19" x14ac:dyDescent="0.3">
      <c r="A131" s="1" t="s">
        <v>182</v>
      </c>
      <c r="B131" s="1" t="s">
        <v>97</v>
      </c>
      <c r="C131" s="1">
        <v>3</v>
      </c>
      <c r="D131" s="1">
        <v>4</v>
      </c>
      <c r="E131" s="1">
        <v>332</v>
      </c>
      <c r="F131" s="1">
        <v>64</v>
      </c>
      <c r="G131" s="1">
        <v>11</v>
      </c>
      <c r="H131" s="1">
        <v>156</v>
      </c>
      <c r="I131" s="1" t="s">
        <v>174</v>
      </c>
      <c r="J131" s="1">
        <v>42</v>
      </c>
      <c r="K131" s="1">
        <v>52</v>
      </c>
      <c r="L131" s="1">
        <v>11</v>
      </c>
      <c r="M131" s="1">
        <v>220</v>
      </c>
      <c r="N131" s="1">
        <v>8</v>
      </c>
      <c r="O131" s="1">
        <v>45</v>
      </c>
      <c r="P131" s="1">
        <v>40</v>
      </c>
      <c r="Q131" s="1">
        <v>7</v>
      </c>
      <c r="R131" s="1">
        <v>7.8</v>
      </c>
      <c r="S131" s="1">
        <v>8.0668672000000008</v>
      </c>
    </row>
    <row r="132" spans="1:19" x14ac:dyDescent="0.3">
      <c r="A132" s="1" t="s">
        <v>182</v>
      </c>
      <c r="B132" s="1" t="s">
        <v>97</v>
      </c>
      <c r="C132" s="1">
        <v>3</v>
      </c>
      <c r="D132" s="1">
        <v>9</v>
      </c>
      <c r="E132" s="1">
        <v>343</v>
      </c>
      <c r="F132" s="1">
        <v>69</v>
      </c>
      <c r="G132" s="1">
        <v>15</v>
      </c>
      <c r="H132" s="1">
        <v>150</v>
      </c>
      <c r="I132" s="1" t="s">
        <v>173</v>
      </c>
      <c r="J132" s="1">
        <v>47</v>
      </c>
      <c r="K132" s="1">
        <v>5</v>
      </c>
      <c r="L132" s="1">
        <v>11</v>
      </c>
      <c r="M132" s="1">
        <v>193</v>
      </c>
      <c r="N132" s="1">
        <v>6</v>
      </c>
      <c r="O132" s="1">
        <v>40.200000000000003</v>
      </c>
      <c r="P132" s="1">
        <v>37</v>
      </c>
      <c r="Q132" s="1">
        <v>7</v>
      </c>
      <c r="R132" s="1">
        <v>7.4</v>
      </c>
      <c r="S132" s="1">
        <v>6.5776320000000004</v>
      </c>
    </row>
    <row r="133" spans="1:19" x14ac:dyDescent="0.3">
      <c r="A133" s="1" t="s">
        <v>182</v>
      </c>
      <c r="B133" s="1" t="s">
        <v>99</v>
      </c>
      <c r="C133" s="1">
        <v>2</v>
      </c>
      <c r="D133" s="1">
        <v>2</v>
      </c>
      <c r="E133" s="1">
        <v>350</v>
      </c>
      <c r="F133" s="1">
        <v>65</v>
      </c>
      <c r="G133" s="1">
        <v>15</v>
      </c>
      <c r="H133" s="1">
        <v>124</v>
      </c>
      <c r="I133" s="1" t="s">
        <v>176</v>
      </c>
      <c r="J133" s="1">
        <v>45</v>
      </c>
      <c r="K133" s="1">
        <v>3</v>
      </c>
      <c r="L133" s="1">
        <v>11</v>
      </c>
      <c r="M133" s="1">
        <v>203</v>
      </c>
      <c r="N133" s="1">
        <v>6</v>
      </c>
      <c r="O133" s="1">
        <v>43</v>
      </c>
      <c r="P133" s="1">
        <v>39</v>
      </c>
      <c r="Q133" s="1">
        <v>7</v>
      </c>
      <c r="R133" s="1">
        <v>7.8</v>
      </c>
      <c r="S133" s="1">
        <v>5.6367446400000008</v>
      </c>
    </row>
    <row r="134" spans="1:19" x14ac:dyDescent="0.3">
      <c r="A134" s="1" t="s">
        <v>182</v>
      </c>
      <c r="B134" s="1" t="s">
        <v>99</v>
      </c>
      <c r="C134" s="1">
        <v>2</v>
      </c>
      <c r="D134" s="1">
        <v>4</v>
      </c>
      <c r="E134" s="1">
        <v>344</v>
      </c>
      <c r="F134" s="1">
        <v>65</v>
      </c>
      <c r="G134" s="1">
        <v>13</v>
      </c>
      <c r="H134" s="1">
        <v>86</v>
      </c>
      <c r="I134" s="1" t="s">
        <v>177</v>
      </c>
      <c r="J134" s="1">
        <v>44</v>
      </c>
      <c r="K134" s="1">
        <v>2</v>
      </c>
      <c r="L134" s="1">
        <v>11</v>
      </c>
      <c r="M134" s="1">
        <v>145</v>
      </c>
      <c r="N134" s="1">
        <v>6</v>
      </c>
      <c r="O134" s="1">
        <v>44</v>
      </c>
      <c r="P134" s="1">
        <v>38</v>
      </c>
      <c r="Q134" s="1">
        <v>7</v>
      </c>
      <c r="R134" s="1">
        <v>8.4</v>
      </c>
      <c r="S134" s="1">
        <v>5.8054752000000009</v>
      </c>
    </row>
    <row r="135" spans="1:19" x14ac:dyDescent="0.3">
      <c r="A135" s="1" t="s">
        <v>182</v>
      </c>
      <c r="B135" s="1" t="s">
        <v>99</v>
      </c>
      <c r="C135" s="1">
        <v>2</v>
      </c>
      <c r="D135" s="1">
        <v>5</v>
      </c>
      <c r="E135" s="1">
        <v>342</v>
      </c>
      <c r="F135" s="1">
        <v>69</v>
      </c>
      <c r="G135" s="1">
        <v>15</v>
      </c>
      <c r="H135" s="1">
        <v>164</v>
      </c>
      <c r="I135" s="1" t="s">
        <v>178</v>
      </c>
      <c r="J135" s="1">
        <v>46</v>
      </c>
      <c r="K135" s="1">
        <v>4</v>
      </c>
      <c r="L135" s="1">
        <v>11</v>
      </c>
      <c r="M135" s="1">
        <v>172</v>
      </c>
      <c r="N135" s="1">
        <v>6</v>
      </c>
      <c r="O135" s="1">
        <v>28.8</v>
      </c>
      <c r="P135" s="1">
        <v>38</v>
      </c>
      <c r="Q135" s="1">
        <v>6</v>
      </c>
      <c r="R135" s="1">
        <v>7.8</v>
      </c>
      <c r="S135" s="1">
        <v>5.2764047999999999</v>
      </c>
    </row>
    <row r="136" spans="1:19" x14ac:dyDescent="0.3">
      <c r="A136" s="1" t="s">
        <v>182</v>
      </c>
      <c r="B136" s="1" t="s">
        <v>99</v>
      </c>
      <c r="C136" s="1">
        <v>2</v>
      </c>
      <c r="D136" s="1">
        <v>6</v>
      </c>
      <c r="E136" s="1">
        <v>310</v>
      </c>
      <c r="F136" s="1">
        <v>56</v>
      </c>
      <c r="G136" s="1">
        <v>16</v>
      </c>
      <c r="H136" s="1">
        <v>100</v>
      </c>
      <c r="I136" s="1" t="s">
        <v>175</v>
      </c>
      <c r="J136" s="1">
        <v>43</v>
      </c>
      <c r="K136" s="1">
        <v>1</v>
      </c>
      <c r="L136" s="1">
        <v>11</v>
      </c>
      <c r="M136" s="1">
        <v>125</v>
      </c>
      <c r="N136" s="1">
        <v>7</v>
      </c>
      <c r="O136" s="1">
        <v>28.6</v>
      </c>
      <c r="P136" s="1">
        <v>37</v>
      </c>
      <c r="Q136" s="1">
        <v>6</v>
      </c>
      <c r="R136" s="1">
        <v>7.6</v>
      </c>
      <c r="S136" s="1">
        <v>6.1539520000000012</v>
      </c>
    </row>
    <row r="137" spans="1:19" x14ac:dyDescent="0.3">
      <c r="A137" s="1" t="s">
        <v>182</v>
      </c>
      <c r="B137" s="1" t="s">
        <v>99</v>
      </c>
      <c r="C137" s="1">
        <v>2</v>
      </c>
      <c r="D137" s="1">
        <v>7</v>
      </c>
      <c r="E137" s="1">
        <v>330</v>
      </c>
      <c r="F137" s="1">
        <v>67</v>
      </c>
      <c r="G137" s="1">
        <v>13</v>
      </c>
      <c r="H137" s="1">
        <v>150</v>
      </c>
      <c r="I137" s="1" t="s">
        <v>175</v>
      </c>
      <c r="J137" s="1">
        <v>43</v>
      </c>
      <c r="K137" s="1">
        <v>52</v>
      </c>
      <c r="L137" s="1">
        <v>11</v>
      </c>
      <c r="M137" s="1">
        <v>223</v>
      </c>
      <c r="N137" s="1">
        <v>7</v>
      </c>
      <c r="O137" s="1">
        <v>45</v>
      </c>
      <c r="P137" s="1">
        <v>39</v>
      </c>
      <c r="Q137" s="1">
        <v>7</v>
      </c>
      <c r="R137" s="1">
        <v>7.6</v>
      </c>
      <c r="S137" s="1">
        <v>7.3536019199999991</v>
      </c>
    </row>
    <row r="138" spans="1:19" x14ac:dyDescent="0.3">
      <c r="A138" s="1" t="s">
        <v>182</v>
      </c>
      <c r="B138" s="1" t="s">
        <v>99</v>
      </c>
      <c r="C138" s="1">
        <v>2</v>
      </c>
      <c r="D138" s="1">
        <v>9</v>
      </c>
      <c r="E138" s="1">
        <v>330</v>
      </c>
      <c r="F138" s="1">
        <v>64</v>
      </c>
      <c r="G138" s="1">
        <v>13</v>
      </c>
      <c r="H138" s="1">
        <v>136</v>
      </c>
      <c r="I138" s="1" t="s">
        <v>173</v>
      </c>
      <c r="J138" s="1">
        <v>47</v>
      </c>
      <c r="K138" s="1">
        <v>5</v>
      </c>
      <c r="L138" s="1">
        <v>12</v>
      </c>
      <c r="M138" s="1">
        <v>190</v>
      </c>
      <c r="N138" s="1">
        <v>6</v>
      </c>
      <c r="O138" s="1">
        <v>35.200000000000003</v>
      </c>
      <c r="P138" s="1">
        <v>37</v>
      </c>
      <c r="Q138" s="1">
        <v>7</v>
      </c>
      <c r="R138" s="1">
        <v>7.4</v>
      </c>
      <c r="S138" s="1">
        <v>6.3583776000000007</v>
      </c>
    </row>
    <row r="139" spans="1:19" x14ac:dyDescent="0.3">
      <c r="A139" s="1" t="s">
        <v>182</v>
      </c>
      <c r="B139" s="1" t="s">
        <v>99</v>
      </c>
      <c r="C139" s="1">
        <v>2</v>
      </c>
      <c r="D139" s="1">
        <v>12</v>
      </c>
      <c r="E139" s="1">
        <v>321</v>
      </c>
      <c r="F139" s="1">
        <v>59</v>
      </c>
      <c r="G139" s="1">
        <v>14</v>
      </c>
      <c r="H139" s="1">
        <v>95</v>
      </c>
      <c r="I139" s="1" t="s">
        <v>173</v>
      </c>
      <c r="J139" s="1">
        <v>47</v>
      </c>
      <c r="K139" s="1">
        <v>5</v>
      </c>
      <c r="L139" s="1">
        <v>11</v>
      </c>
      <c r="M139" s="1">
        <v>132</v>
      </c>
      <c r="N139" s="1">
        <v>7</v>
      </c>
      <c r="O139" s="1">
        <v>30.9</v>
      </c>
      <c r="P139" s="1">
        <v>38</v>
      </c>
      <c r="Q139" s="1">
        <v>6</v>
      </c>
      <c r="R139" s="1">
        <v>7.6</v>
      </c>
      <c r="S139" s="1">
        <v>7.6739039999999994</v>
      </c>
    </row>
    <row r="140" spans="1:19" x14ac:dyDescent="0.3">
      <c r="A140" s="1" t="s">
        <v>182</v>
      </c>
      <c r="B140" s="1" t="s">
        <v>99</v>
      </c>
      <c r="C140" s="1">
        <v>2</v>
      </c>
      <c r="D140" s="1">
        <v>13</v>
      </c>
      <c r="E140" s="1">
        <v>358</v>
      </c>
      <c r="F140" s="1">
        <v>73</v>
      </c>
      <c r="G140" s="1">
        <v>15</v>
      </c>
      <c r="H140" s="1">
        <v>126</v>
      </c>
      <c r="I140" s="1" t="s">
        <v>177</v>
      </c>
      <c r="J140" s="1">
        <v>44</v>
      </c>
      <c r="K140" s="1">
        <v>2</v>
      </c>
      <c r="L140" s="1">
        <v>11</v>
      </c>
      <c r="M140" s="1">
        <v>207</v>
      </c>
      <c r="N140" s="1">
        <v>5</v>
      </c>
      <c r="O140" s="1">
        <v>52.2</v>
      </c>
      <c r="P140" s="1">
        <v>38</v>
      </c>
      <c r="Q140" s="1">
        <v>8</v>
      </c>
      <c r="R140" s="1">
        <v>7.6</v>
      </c>
      <c r="S140" s="1">
        <v>5.8256000000000014</v>
      </c>
    </row>
    <row r="141" spans="1:19" x14ac:dyDescent="0.3">
      <c r="A141" s="1" t="s">
        <v>182</v>
      </c>
      <c r="B141" s="1" t="s">
        <v>99</v>
      </c>
      <c r="C141" s="1">
        <v>2</v>
      </c>
      <c r="D141" s="1">
        <v>14</v>
      </c>
      <c r="E141" s="1">
        <v>320</v>
      </c>
      <c r="F141" s="1">
        <v>67</v>
      </c>
      <c r="G141" s="1">
        <v>14</v>
      </c>
      <c r="H141" s="1">
        <v>117</v>
      </c>
      <c r="I141" s="1" t="s">
        <v>173</v>
      </c>
      <c r="J141" s="1">
        <v>47</v>
      </c>
      <c r="K141" s="1">
        <v>5</v>
      </c>
      <c r="L141" s="1">
        <v>11</v>
      </c>
      <c r="M141" s="1">
        <v>140</v>
      </c>
      <c r="N141" s="1">
        <v>5</v>
      </c>
      <c r="O141" s="1">
        <v>30.5</v>
      </c>
      <c r="P141" s="1">
        <v>38</v>
      </c>
      <c r="Q141" s="1">
        <v>6</v>
      </c>
      <c r="R141" s="1">
        <v>7.4</v>
      </c>
      <c r="S141" s="1">
        <v>5.0555616000000008</v>
      </c>
    </row>
    <row r="142" spans="1:19" x14ac:dyDescent="0.3">
      <c r="A142" s="1" t="s">
        <v>182</v>
      </c>
      <c r="B142" s="1" t="s">
        <v>109</v>
      </c>
      <c r="C142" s="1">
        <v>3</v>
      </c>
      <c r="D142" s="1">
        <v>1</v>
      </c>
      <c r="E142" s="1">
        <v>328</v>
      </c>
      <c r="F142" s="1">
        <v>61</v>
      </c>
      <c r="G142" s="1">
        <v>14</v>
      </c>
      <c r="H142" s="1">
        <v>80</v>
      </c>
      <c r="I142" s="1" t="s">
        <v>177</v>
      </c>
      <c r="J142" s="1">
        <v>44</v>
      </c>
      <c r="K142" s="1">
        <v>2</v>
      </c>
      <c r="L142" s="1">
        <v>11</v>
      </c>
      <c r="M142" s="1">
        <v>123</v>
      </c>
      <c r="N142" s="1">
        <v>4</v>
      </c>
      <c r="O142" s="1">
        <v>41.2</v>
      </c>
      <c r="P142" s="1">
        <v>39</v>
      </c>
      <c r="Q142" s="1">
        <v>7</v>
      </c>
      <c r="R142" s="1">
        <v>7.8</v>
      </c>
      <c r="S142" s="1">
        <v>4.0037760000000002</v>
      </c>
    </row>
    <row r="143" spans="1:19" x14ac:dyDescent="0.3">
      <c r="A143" s="1" t="s">
        <v>182</v>
      </c>
      <c r="B143" s="1" t="s">
        <v>109</v>
      </c>
      <c r="C143" s="1">
        <v>3</v>
      </c>
      <c r="D143" s="1">
        <v>3</v>
      </c>
      <c r="E143" s="1">
        <v>280</v>
      </c>
      <c r="F143" s="1">
        <v>64</v>
      </c>
      <c r="G143" s="1">
        <v>14</v>
      </c>
      <c r="H143" s="1">
        <v>88</v>
      </c>
      <c r="I143" s="1" t="s">
        <v>173</v>
      </c>
      <c r="J143" s="1">
        <v>47</v>
      </c>
      <c r="K143" s="1">
        <v>5</v>
      </c>
      <c r="L143" s="1">
        <v>11</v>
      </c>
      <c r="M143" s="1">
        <v>160</v>
      </c>
      <c r="N143" s="1">
        <v>5</v>
      </c>
      <c r="O143" s="1">
        <v>34.200000000000003</v>
      </c>
      <c r="P143" s="1">
        <v>38</v>
      </c>
      <c r="Q143" s="1">
        <v>6</v>
      </c>
      <c r="R143" s="1">
        <v>7.6</v>
      </c>
      <c r="S143" s="1">
        <v>4.8193600000000014</v>
      </c>
    </row>
    <row r="144" spans="1:19" x14ac:dyDescent="0.3">
      <c r="A144" s="1" t="s">
        <v>182</v>
      </c>
      <c r="B144" s="1" t="s">
        <v>109</v>
      </c>
      <c r="C144" s="1">
        <v>3</v>
      </c>
      <c r="D144" s="1">
        <v>4</v>
      </c>
      <c r="E144" s="1">
        <v>350</v>
      </c>
      <c r="F144" s="1">
        <v>70</v>
      </c>
      <c r="G144" s="1">
        <v>15</v>
      </c>
      <c r="H144" s="1">
        <v>103</v>
      </c>
      <c r="I144" s="1" t="s">
        <v>173</v>
      </c>
      <c r="J144" s="1">
        <v>47</v>
      </c>
      <c r="K144" s="1">
        <v>5</v>
      </c>
      <c r="L144" s="1">
        <v>11</v>
      </c>
      <c r="M144" s="1">
        <v>185</v>
      </c>
      <c r="N144" s="1">
        <v>6</v>
      </c>
      <c r="O144" s="1">
        <v>49.3</v>
      </c>
      <c r="P144" s="1">
        <v>40</v>
      </c>
      <c r="Q144" s="1">
        <v>8</v>
      </c>
      <c r="R144" s="1">
        <v>7.5</v>
      </c>
      <c r="S144" s="1">
        <v>7.6262400000000001</v>
      </c>
    </row>
    <row r="145" spans="1:19" x14ac:dyDescent="0.3">
      <c r="A145" s="1" t="s">
        <v>182</v>
      </c>
      <c r="B145" s="1" t="s">
        <v>109</v>
      </c>
      <c r="C145" s="1">
        <v>3</v>
      </c>
      <c r="D145" s="1">
        <v>5</v>
      </c>
      <c r="E145" s="1">
        <v>332</v>
      </c>
      <c r="F145" s="1">
        <v>68</v>
      </c>
      <c r="G145" s="1">
        <v>10</v>
      </c>
      <c r="H145" s="1">
        <v>189</v>
      </c>
      <c r="I145" s="1" t="s">
        <v>177</v>
      </c>
      <c r="J145" s="1">
        <v>44</v>
      </c>
      <c r="K145" s="1">
        <v>2</v>
      </c>
      <c r="L145" s="1">
        <v>11</v>
      </c>
      <c r="M145" s="1">
        <v>245</v>
      </c>
      <c r="N145" s="1">
        <v>5</v>
      </c>
      <c r="O145" s="1">
        <v>51.5</v>
      </c>
      <c r="P145" s="1">
        <v>39</v>
      </c>
      <c r="Q145" s="1">
        <v>7</v>
      </c>
      <c r="R145" s="1">
        <v>8.4</v>
      </c>
      <c r="S145" s="1">
        <v>5.9738879999999996</v>
      </c>
    </row>
    <row r="146" spans="1:19" x14ac:dyDescent="0.3">
      <c r="A146" s="1" t="s">
        <v>182</v>
      </c>
      <c r="B146" s="1" t="s">
        <v>109</v>
      </c>
      <c r="C146" s="1">
        <v>3</v>
      </c>
      <c r="D146" s="1">
        <v>6</v>
      </c>
      <c r="E146" s="1">
        <v>344</v>
      </c>
      <c r="F146" s="1">
        <v>70</v>
      </c>
      <c r="G146" s="1">
        <v>15</v>
      </c>
      <c r="H146" s="1">
        <v>153</v>
      </c>
      <c r="I146" s="1" t="s">
        <v>177</v>
      </c>
      <c r="J146" s="1">
        <v>44</v>
      </c>
      <c r="K146" s="1">
        <v>2</v>
      </c>
      <c r="L146" s="1">
        <v>11</v>
      </c>
      <c r="M146" s="1">
        <v>210</v>
      </c>
      <c r="N146" s="1">
        <v>5</v>
      </c>
      <c r="O146" s="1">
        <v>52</v>
      </c>
      <c r="P146" s="1">
        <v>38</v>
      </c>
      <c r="Q146" s="1">
        <v>8</v>
      </c>
      <c r="R146" s="1">
        <v>8</v>
      </c>
      <c r="S146" s="1">
        <v>6.4876000000000014</v>
      </c>
    </row>
    <row r="147" spans="1:19" x14ac:dyDescent="0.3">
      <c r="A147" s="1" t="s">
        <v>182</v>
      </c>
      <c r="B147" s="1" t="s">
        <v>109</v>
      </c>
      <c r="C147" s="1">
        <v>3</v>
      </c>
      <c r="D147" s="1">
        <v>7</v>
      </c>
      <c r="E147" s="1">
        <v>320</v>
      </c>
      <c r="F147" s="1">
        <v>61</v>
      </c>
      <c r="G147" s="1">
        <v>12</v>
      </c>
      <c r="H147" s="1">
        <v>143</v>
      </c>
      <c r="I147" s="1" t="s">
        <v>178</v>
      </c>
      <c r="J147" s="1">
        <v>46</v>
      </c>
      <c r="K147" s="1">
        <v>4</v>
      </c>
      <c r="L147" s="1">
        <v>11</v>
      </c>
      <c r="M147" s="1">
        <v>175</v>
      </c>
      <c r="N147" s="1">
        <v>6</v>
      </c>
      <c r="O147" s="1">
        <v>40.5</v>
      </c>
      <c r="P147" s="1">
        <v>38</v>
      </c>
      <c r="Q147" s="1">
        <v>8</v>
      </c>
      <c r="R147" s="1">
        <v>8</v>
      </c>
      <c r="S147" s="1">
        <v>8.1028800000000007</v>
      </c>
    </row>
    <row r="148" spans="1:19" x14ac:dyDescent="0.3">
      <c r="A148" s="1" t="s">
        <v>182</v>
      </c>
      <c r="B148" s="1" t="s">
        <v>109</v>
      </c>
      <c r="C148" s="1">
        <v>3</v>
      </c>
      <c r="D148" s="1">
        <v>8</v>
      </c>
      <c r="E148" s="1">
        <v>340</v>
      </c>
      <c r="F148" s="1">
        <v>61</v>
      </c>
      <c r="G148" s="1">
        <v>14</v>
      </c>
      <c r="H148" s="1">
        <v>90</v>
      </c>
      <c r="I148" s="1" t="s">
        <v>175</v>
      </c>
      <c r="J148" s="1">
        <v>43</v>
      </c>
      <c r="K148" s="1">
        <v>1</v>
      </c>
      <c r="L148" s="1">
        <v>11</v>
      </c>
      <c r="M148" s="1">
        <v>160</v>
      </c>
      <c r="N148" s="1">
        <v>7</v>
      </c>
      <c r="O148" s="1">
        <v>41.5</v>
      </c>
      <c r="P148" s="1">
        <v>39</v>
      </c>
      <c r="Q148" s="1">
        <v>7</v>
      </c>
      <c r="R148" s="1">
        <v>8.1999999999999993</v>
      </c>
      <c r="S148" s="1">
        <v>7.720244000000001</v>
      </c>
    </row>
    <row r="149" spans="1:19" x14ac:dyDescent="0.3">
      <c r="A149" s="1" t="s">
        <v>182</v>
      </c>
      <c r="B149" s="1" t="s">
        <v>109</v>
      </c>
      <c r="C149" s="1">
        <v>3</v>
      </c>
      <c r="D149" s="1">
        <v>9</v>
      </c>
      <c r="E149" s="1">
        <v>340</v>
      </c>
      <c r="F149" s="1">
        <v>64</v>
      </c>
      <c r="G149" s="1">
        <v>13</v>
      </c>
      <c r="H149" s="1">
        <v>130</v>
      </c>
      <c r="I149" s="1" t="s">
        <v>174</v>
      </c>
      <c r="J149" s="1">
        <v>42</v>
      </c>
      <c r="K149" s="1">
        <v>52</v>
      </c>
      <c r="L149" s="1">
        <v>10</v>
      </c>
      <c r="M149" s="1">
        <v>170</v>
      </c>
      <c r="N149" s="1">
        <v>7</v>
      </c>
      <c r="O149" s="1">
        <v>44</v>
      </c>
      <c r="P149" s="1">
        <v>39</v>
      </c>
      <c r="Q149" s="1">
        <v>7</v>
      </c>
      <c r="R149" s="1">
        <v>8</v>
      </c>
      <c r="S149" s="1">
        <v>7.5385912000000017</v>
      </c>
    </row>
    <row r="150" spans="1:19" x14ac:dyDescent="0.3">
      <c r="A150" s="1" t="s">
        <v>182</v>
      </c>
      <c r="B150" s="1" t="s">
        <v>109</v>
      </c>
      <c r="C150" s="1">
        <v>3</v>
      </c>
      <c r="D150" s="1">
        <v>10</v>
      </c>
      <c r="E150" s="1">
        <v>300</v>
      </c>
      <c r="F150" s="1">
        <v>54</v>
      </c>
      <c r="G150" s="1">
        <v>12</v>
      </c>
      <c r="H150" s="1">
        <v>83</v>
      </c>
      <c r="I150" s="1" t="s">
        <v>174</v>
      </c>
      <c r="J150" s="1">
        <v>42</v>
      </c>
      <c r="K150" s="1">
        <v>52</v>
      </c>
      <c r="L150" s="1">
        <v>11</v>
      </c>
      <c r="M150" s="1">
        <v>104</v>
      </c>
      <c r="N150" s="1">
        <v>5</v>
      </c>
      <c r="O150" s="1">
        <v>35</v>
      </c>
      <c r="P150" s="1">
        <v>39</v>
      </c>
      <c r="Q150" s="1">
        <v>6</v>
      </c>
      <c r="R150" s="1">
        <v>7.6</v>
      </c>
      <c r="S150" s="1">
        <v>4.448640000000001</v>
      </c>
    </row>
    <row r="151" spans="1:19" x14ac:dyDescent="0.3">
      <c r="A151" s="1" t="s">
        <v>182</v>
      </c>
      <c r="B151" s="1" t="s">
        <v>109</v>
      </c>
      <c r="C151" s="1">
        <v>3</v>
      </c>
      <c r="D151" s="1">
        <v>11</v>
      </c>
      <c r="E151" s="1">
        <v>315</v>
      </c>
      <c r="F151" s="1">
        <v>53</v>
      </c>
      <c r="G151" s="1">
        <v>12</v>
      </c>
      <c r="H151" s="1">
        <v>133</v>
      </c>
      <c r="I151" s="1" t="s">
        <v>176</v>
      </c>
      <c r="J151" s="1">
        <v>45</v>
      </c>
      <c r="K151" s="1">
        <v>3</v>
      </c>
      <c r="L151" s="1">
        <v>11</v>
      </c>
      <c r="M151" s="1">
        <v>170</v>
      </c>
      <c r="N151" s="1">
        <v>4</v>
      </c>
      <c r="O151" s="1">
        <v>24</v>
      </c>
      <c r="P151" s="1">
        <v>37</v>
      </c>
      <c r="Q151" s="1">
        <v>6</v>
      </c>
      <c r="R151" s="1">
        <v>7.4</v>
      </c>
      <c r="S151" s="1">
        <v>3.7961728000000008</v>
      </c>
    </row>
    <row r="152" spans="1:19" x14ac:dyDescent="0.3">
      <c r="A152" s="1" t="s">
        <v>182</v>
      </c>
      <c r="B152" s="1" t="s">
        <v>109</v>
      </c>
      <c r="C152" s="1">
        <v>3</v>
      </c>
      <c r="D152" s="1">
        <v>12</v>
      </c>
      <c r="E152" s="1">
        <v>325</v>
      </c>
      <c r="F152" s="1">
        <v>63</v>
      </c>
      <c r="G152" s="1">
        <v>11</v>
      </c>
      <c r="H152" s="1">
        <v>140</v>
      </c>
      <c r="I152" s="1" t="s">
        <v>173</v>
      </c>
      <c r="J152" s="1">
        <v>47</v>
      </c>
      <c r="K152" s="1">
        <v>5</v>
      </c>
      <c r="L152" s="1">
        <v>11</v>
      </c>
      <c r="M152" s="1">
        <v>204</v>
      </c>
      <c r="N152" s="1">
        <v>4</v>
      </c>
      <c r="O152" s="1">
        <v>46.5</v>
      </c>
      <c r="P152" s="1">
        <v>39</v>
      </c>
      <c r="Q152" s="1">
        <v>7</v>
      </c>
      <c r="R152" s="1">
        <v>7.8</v>
      </c>
      <c r="S152" s="1">
        <v>4.6265856000000012</v>
      </c>
    </row>
    <row r="153" spans="1:19" x14ac:dyDescent="0.3">
      <c r="A153" s="1" t="s">
        <v>182</v>
      </c>
      <c r="B153" s="1" t="s">
        <v>109</v>
      </c>
      <c r="C153" s="1">
        <v>3</v>
      </c>
      <c r="D153" s="1">
        <v>14</v>
      </c>
      <c r="E153" s="1">
        <v>322</v>
      </c>
      <c r="F153" s="1">
        <v>64</v>
      </c>
      <c r="G153" s="1">
        <v>13</v>
      </c>
      <c r="H153" s="1">
        <v>128</v>
      </c>
      <c r="I153" s="1" t="s">
        <v>177</v>
      </c>
      <c r="J153" s="1">
        <v>44</v>
      </c>
      <c r="K153" s="1">
        <v>2</v>
      </c>
      <c r="L153" s="1">
        <v>11</v>
      </c>
      <c r="M153" s="1">
        <v>180</v>
      </c>
      <c r="N153" s="1">
        <v>4</v>
      </c>
      <c r="O153" s="1">
        <v>48.9</v>
      </c>
      <c r="P153" s="1">
        <v>39</v>
      </c>
      <c r="Q153" s="1">
        <v>7</v>
      </c>
      <c r="R153" s="1">
        <v>7.6</v>
      </c>
      <c r="S153" s="1">
        <v>4.5960806399999994</v>
      </c>
    </row>
    <row r="154" spans="1:19" x14ac:dyDescent="0.3">
      <c r="A154" s="1" t="s">
        <v>182</v>
      </c>
      <c r="B154" s="1" t="s">
        <v>99</v>
      </c>
      <c r="C154" s="1">
        <v>1</v>
      </c>
      <c r="D154" s="1">
        <v>1</v>
      </c>
      <c r="E154" s="1">
        <v>350</v>
      </c>
      <c r="F154" s="1">
        <v>69</v>
      </c>
      <c r="G154" s="1">
        <v>14</v>
      </c>
      <c r="H154" s="1">
        <v>170</v>
      </c>
      <c r="I154" s="1" t="s">
        <v>174</v>
      </c>
      <c r="J154" s="1">
        <v>42</v>
      </c>
      <c r="K154" s="1">
        <v>52</v>
      </c>
      <c r="L154" s="1">
        <v>11</v>
      </c>
      <c r="M154" s="1">
        <v>230</v>
      </c>
      <c r="N154" s="1">
        <v>6</v>
      </c>
      <c r="O154" s="1">
        <v>52</v>
      </c>
      <c r="P154" s="1">
        <v>39</v>
      </c>
      <c r="Q154" s="1">
        <v>8</v>
      </c>
      <c r="R154" s="1">
        <v>8.1999999999999993</v>
      </c>
      <c r="S154" s="1">
        <v>5.9738880000000014</v>
      </c>
    </row>
    <row r="155" spans="1:19" x14ac:dyDescent="0.3">
      <c r="A155" s="1" t="s">
        <v>182</v>
      </c>
      <c r="B155" s="1" t="s">
        <v>99</v>
      </c>
      <c r="C155" s="1">
        <v>1</v>
      </c>
      <c r="D155" s="1">
        <v>2</v>
      </c>
      <c r="E155" s="1">
        <v>330</v>
      </c>
      <c r="F155" s="1">
        <v>61</v>
      </c>
      <c r="G155" s="1">
        <v>13</v>
      </c>
      <c r="H155" s="1">
        <v>116</v>
      </c>
      <c r="I155" s="1" t="s">
        <v>175</v>
      </c>
      <c r="J155" s="1">
        <v>43</v>
      </c>
      <c r="K155" s="1">
        <v>1</v>
      </c>
      <c r="L155" s="1">
        <v>10</v>
      </c>
      <c r="M155" s="1">
        <v>162</v>
      </c>
      <c r="N155" s="1">
        <v>8</v>
      </c>
      <c r="O155" s="1">
        <v>42</v>
      </c>
      <c r="P155" s="1">
        <v>39</v>
      </c>
      <c r="Q155" s="1">
        <v>7</v>
      </c>
      <c r="R155" s="1">
        <v>8</v>
      </c>
      <c r="S155" s="1">
        <v>7.7363968000000014</v>
      </c>
    </row>
    <row r="156" spans="1:19" x14ac:dyDescent="0.3">
      <c r="A156" s="1" t="s">
        <v>182</v>
      </c>
      <c r="B156" s="1" t="s">
        <v>99</v>
      </c>
      <c r="C156" s="1">
        <v>1</v>
      </c>
      <c r="D156" s="1">
        <v>3</v>
      </c>
      <c r="E156" s="1">
        <v>322</v>
      </c>
      <c r="F156" s="1">
        <v>64</v>
      </c>
      <c r="G156" s="1">
        <v>12</v>
      </c>
      <c r="H156" s="1">
        <v>145</v>
      </c>
      <c r="I156" s="1" t="s">
        <v>178</v>
      </c>
      <c r="J156" s="1">
        <v>46</v>
      </c>
      <c r="K156" s="1">
        <v>4</v>
      </c>
      <c r="L156" s="1">
        <v>11</v>
      </c>
      <c r="M156" s="1">
        <v>193</v>
      </c>
      <c r="N156" s="1">
        <v>5</v>
      </c>
      <c r="O156" s="1">
        <v>41.2</v>
      </c>
      <c r="P156" s="1">
        <v>38</v>
      </c>
      <c r="Q156" s="1">
        <v>7</v>
      </c>
      <c r="R156" s="1">
        <v>8.1999999999999993</v>
      </c>
      <c r="S156" s="1">
        <v>5.5422640000000003</v>
      </c>
    </row>
    <row r="157" spans="1:19" x14ac:dyDescent="0.3">
      <c r="A157" s="1" t="s">
        <v>182</v>
      </c>
      <c r="B157" s="1" t="s">
        <v>99</v>
      </c>
      <c r="C157" s="1">
        <v>1</v>
      </c>
      <c r="D157" s="1">
        <v>6</v>
      </c>
      <c r="E157" s="1">
        <v>355</v>
      </c>
      <c r="F157" s="1">
        <v>69</v>
      </c>
      <c r="G157" s="1">
        <v>12</v>
      </c>
      <c r="H157" s="1">
        <v>168</v>
      </c>
      <c r="I157" s="1" t="s">
        <v>178</v>
      </c>
      <c r="J157" s="1">
        <v>46</v>
      </c>
      <c r="K157" s="1">
        <v>4</v>
      </c>
      <c r="L157" s="1">
        <v>11</v>
      </c>
      <c r="M157" s="1">
        <v>215</v>
      </c>
      <c r="N157" s="1">
        <v>5</v>
      </c>
      <c r="O157" s="1">
        <v>45</v>
      </c>
      <c r="P157" s="1">
        <v>38</v>
      </c>
      <c r="Q157" s="1">
        <v>8</v>
      </c>
      <c r="R157" s="1">
        <v>7.6</v>
      </c>
      <c r="S157" s="1">
        <v>6.0374400000000001</v>
      </c>
    </row>
    <row r="158" spans="1:19" x14ac:dyDescent="0.3">
      <c r="A158" s="1" t="s">
        <v>182</v>
      </c>
      <c r="B158" s="1" t="s">
        <v>99</v>
      </c>
      <c r="C158" s="1">
        <v>1</v>
      </c>
      <c r="D158" s="1">
        <v>7</v>
      </c>
      <c r="E158" s="1">
        <v>340</v>
      </c>
      <c r="F158" s="1">
        <v>61</v>
      </c>
      <c r="G158" s="1">
        <v>12</v>
      </c>
      <c r="H158" s="1">
        <v>185</v>
      </c>
      <c r="I158" s="1" t="s">
        <v>177</v>
      </c>
      <c r="J158" s="1">
        <v>44</v>
      </c>
      <c r="K158" s="1">
        <v>2</v>
      </c>
      <c r="L158" s="1">
        <v>12</v>
      </c>
      <c r="M158" s="1">
        <v>217</v>
      </c>
      <c r="N158" s="1">
        <v>5</v>
      </c>
      <c r="O158" s="1">
        <v>31.5</v>
      </c>
      <c r="P158" s="1">
        <v>37</v>
      </c>
      <c r="Q158" s="1">
        <v>6</v>
      </c>
      <c r="R158" s="1">
        <v>7</v>
      </c>
      <c r="S158" s="1">
        <v>5.2946760000000008</v>
      </c>
    </row>
    <row r="159" spans="1:19" x14ac:dyDescent="0.3">
      <c r="A159" s="1" t="s">
        <v>182</v>
      </c>
      <c r="B159" s="1" t="s">
        <v>99</v>
      </c>
      <c r="C159" s="1">
        <v>1</v>
      </c>
      <c r="D159" s="1">
        <v>9</v>
      </c>
      <c r="E159" s="1">
        <v>354</v>
      </c>
      <c r="F159" s="1">
        <v>66</v>
      </c>
      <c r="G159" s="1">
        <v>13</v>
      </c>
      <c r="H159" s="1">
        <v>164</v>
      </c>
      <c r="I159" s="1" t="s">
        <v>178</v>
      </c>
      <c r="J159" s="1">
        <v>46</v>
      </c>
      <c r="K159" s="1">
        <v>4</v>
      </c>
      <c r="L159" s="1">
        <v>11</v>
      </c>
      <c r="M159" s="1">
        <v>212</v>
      </c>
      <c r="N159" s="1">
        <v>5</v>
      </c>
      <c r="O159" s="1">
        <v>44.6</v>
      </c>
      <c r="P159" s="1">
        <v>38</v>
      </c>
      <c r="Q159" s="1">
        <v>7</v>
      </c>
      <c r="R159" s="1">
        <v>8.4</v>
      </c>
      <c r="S159" s="1">
        <v>5.1768400000000003</v>
      </c>
    </row>
    <row r="160" spans="1:19" x14ac:dyDescent="0.3">
      <c r="A160" s="1" t="s">
        <v>182</v>
      </c>
      <c r="B160" s="1" t="s">
        <v>99</v>
      </c>
      <c r="C160" s="1">
        <v>1</v>
      </c>
      <c r="D160" s="1">
        <v>10</v>
      </c>
      <c r="E160" s="1">
        <v>300</v>
      </c>
      <c r="F160" s="1">
        <v>51</v>
      </c>
      <c r="G160" s="1">
        <v>10</v>
      </c>
      <c r="H160" s="1">
        <v>90</v>
      </c>
      <c r="I160" s="1" t="s">
        <v>176</v>
      </c>
      <c r="J160" s="1">
        <v>45</v>
      </c>
      <c r="K160" s="1">
        <v>3</v>
      </c>
      <c r="L160" s="1">
        <v>11</v>
      </c>
      <c r="M160" s="1">
        <v>123</v>
      </c>
      <c r="N160" s="1">
        <v>5</v>
      </c>
      <c r="O160" s="1">
        <v>24.6</v>
      </c>
      <c r="P160" s="1">
        <v>38</v>
      </c>
      <c r="Q160" s="1">
        <v>6</v>
      </c>
      <c r="R160" s="1">
        <v>7.6</v>
      </c>
      <c r="S160" s="1">
        <v>3.4614655999999999</v>
      </c>
    </row>
    <row r="161" spans="1:19" x14ac:dyDescent="0.3">
      <c r="A161" s="1" t="s">
        <v>182</v>
      </c>
      <c r="B161" s="1" t="s">
        <v>99</v>
      </c>
      <c r="C161" s="1">
        <v>1</v>
      </c>
      <c r="D161" s="1">
        <v>13</v>
      </c>
      <c r="E161" s="1">
        <v>300</v>
      </c>
      <c r="F161" s="1">
        <v>60</v>
      </c>
      <c r="G161" s="1">
        <v>13</v>
      </c>
      <c r="H161" s="1">
        <v>76</v>
      </c>
      <c r="I161" s="1" t="s">
        <v>173</v>
      </c>
      <c r="J161" s="1">
        <v>47</v>
      </c>
      <c r="K161" s="1">
        <v>5</v>
      </c>
      <c r="L161" s="1">
        <v>11</v>
      </c>
      <c r="M161" s="1">
        <v>143</v>
      </c>
      <c r="N161" s="1">
        <v>5</v>
      </c>
      <c r="O161" s="1">
        <v>29.8</v>
      </c>
      <c r="P161" s="1">
        <v>39</v>
      </c>
      <c r="Q161" s="1">
        <v>6</v>
      </c>
      <c r="R161" s="1">
        <v>8.4</v>
      </c>
      <c r="S161" s="1">
        <v>4.8723200000000002</v>
      </c>
    </row>
    <row r="162" spans="1:19" x14ac:dyDescent="0.3">
      <c r="A162" s="1" t="s">
        <v>182</v>
      </c>
      <c r="B162" s="1" t="s">
        <v>109</v>
      </c>
      <c r="C162" s="1">
        <v>2</v>
      </c>
      <c r="D162" s="1">
        <v>3</v>
      </c>
      <c r="E162" s="1">
        <v>320</v>
      </c>
      <c r="F162" s="1">
        <v>64</v>
      </c>
      <c r="G162" s="1">
        <v>13</v>
      </c>
      <c r="H162" s="1">
        <v>105</v>
      </c>
      <c r="I162" s="1" t="s">
        <v>180</v>
      </c>
      <c r="J162" s="1">
        <v>48</v>
      </c>
      <c r="K162" s="1">
        <v>6</v>
      </c>
      <c r="L162" s="1">
        <v>11</v>
      </c>
      <c r="M162" s="1">
        <v>195</v>
      </c>
      <c r="N162" s="1">
        <v>5</v>
      </c>
      <c r="O162" s="1">
        <v>43.5</v>
      </c>
      <c r="P162" s="1">
        <v>39</v>
      </c>
      <c r="Q162" s="1">
        <v>7</v>
      </c>
      <c r="R162" s="1">
        <v>8.4</v>
      </c>
      <c r="S162" s="1">
        <v>5.0047200000000007</v>
      </c>
    </row>
    <row r="163" spans="1:19" x14ac:dyDescent="0.3">
      <c r="A163" s="1" t="s">
        <v>182</v>
      </c>
      <c r="B163" s="1" t="s">
        <v>109</v>
      </c>
      <c r="C163" s="1">
        <v>2</v>
      </c>
      <c r="D163" s="1">
        <v>4</v>
      </c>
      <c r="E163" s="1">
        <v>305</v>
      </c>
      <c r="F163" s="1">
        <v>61</v>
      </c>
      <c r="G163" s="1">
        <v>14</v>
      </c>
      <c r="H163" s="1">
        <v>145</v>
      </c>
      <c r="I163" s="1" t="s">
        <v>176</v>
      </c>
      <c r="J163" s="1">
        <v>45</v>
      </c>
      <c r="K163" s="1">
        <v>3</v>
      </c>
      <c r="L163" s="1">
        <v>11</v>
      </c>
      <c r="M163" s="1">
        <v>186</v>
      </c>
      <c r="N163" s="1">
        <v>6</v>
      </c>
      <c r="O163" s="1">
        <v>29.4</v>
      </c>
      <c r="P163" s="1">
        <v>38</v>
      </c>
      <c r="Q163" s="1">
        <v>6</v>
      </c>
      <c r="R163" s="1">
        <v>7.8</v>
      </c>
      <c r="S163" s="1">
        <v>6.1518336000000016</v>
      </c>
    </row>
    <row r="164" spans="1:19" x14ac:dyDescent="0.3">
      <c r="A164" s="1" t="s">
        <v>182</v>
      </c>
      <c r="B164" s="1" t="s">
        <v>109</v>
      </c>
      <c r="C164" s="1">
        <v>2</v>
      </c>
      <c r="D164" s="1">
        <v>6</v>
      </c>
      <c r="E164" s="1">
        <v>340</v>
      </c>
      <c r="F164" s="1">
        <v>64</v>
      </c>
      <c r="G164" s="1">
        <v>15</v>
      </c>
      <c r="H164" s="1">
        <v>150</v>
      </c>
      <c r="I164" s="1" t="s">
        <v>175</v>
      </c>
      <c r="J164" s="1">
        <v>43</v>
      </c>
      <c r="K164" s="1">
        <v>1</v>
      </c>
      <c r="L164" s="1">
        <v>11</v>
      </c>
      <c r="M164" s="1">
        <v>203</v>
      </c>
      <c r="N164" s="1">
        <v>7</v>
      </c>
      <c r="O164" s="1">
        <v>38.5</v>
      </c>
      <c r="P164" s="1">
        <v>38</v>
      </c>
      <c r="Q164" s="1">
        <v>7</v>
      </c>
      <c r="R164" s="1">
        <v>8</v>
      </c>
      <c r="S164" s="1">
        <v>8.1854976000000015</v>
      </c>
    </row>
    <row r="165" spans="1:19" x14ac:dyDescent="0.3">
      <c r="A165" s="1" t="s">
        <v>182</v>
      </c>
      <c r="B165" s="1" t="s">
        <v>109</v>
      </c>
      <c r="C165" s="1">
        <v>2</v>
      </c>
      <c r="D165" s="1">
        <v>7</v>
      </c>
      <c r="E165" s="1">
        <v>350</v>
      </c>
      <c r="F165" s="1">
        <v>72</v>
      </c>
      <c r="G165" s="1">
        <v>13</v>
      </c>
      <c r="H165" s="1">
        <v>140</v>
      </c>
      <c r="I165" s="1" t="s">
        <v>177</v>
      </c>
      <c r="J165" s="1">
        <v>44</v>
      </c>
      <c r="K165" s="1">
        <v>2</v>
      </c>
      <c r="L165" s="1">
        <v>11</v>
      </c>
      <c r="M165" s="1">
        <v>215</v>
      </c>
      <c r="N165" s="1">
        <v>5</v>
      </c>
      <c r="O165" s="1">
        <v>48</v>
      </c>
      <c r="P165" s="1">
        <v>38</v>
      </c>
      <c r="Q165" s="1">
        <v>7</v>
      </c>
      <c r="R165" s="1">
        <v>8</v>
      </c>
      <c r="S165" s="1">
        <v>5.1159360000000014</v>
      </c>
    </row>
    <row r="166" spans="1:19" x14ac:dyDescent="0.3">
      <c r="A166" s="1" t="s">
        <v>182</v>
      </c>
      <c r="B166" s="1" t="s">
        <v>109</v>
      </c>
      <c r="C166" s="1">
        <v>2</v>
      </c>
      <c r="D166" s="1">
        <v>8</v>
      </c>
      <c r="E166" s="1">
        <v>320</v>
      </c>
      <c r="F166" s="1">
        <v>71</v>
      </c>
      <c r="G166" s="1">
        <v>14</v>
      </c>
      <c r="H166" s="1">
        <v>100</v>
      </c>
      <c r="I166" s="1" t="s">
        <v>174</v>
      </c>
      <c r="J166" s="1">
        <v>42</v>
      </c>
      <c r="K166" s="1">
        <v>52</v>
      </c>
      <c r="L166" s="1">
        <v>12</v>
      </c>
      <c r="M166" s="1">
        <v>200</v>
      </c>
      <c r="N166" s="1">
        <v>5</v>
      </c>
      <c r="O166" s="1">
        <v>31.4</v>
      </c>
      <c r="P166" s="1">
        <v>40</v>
      </c>
      <c r="Q166" s="1">
        <v>7</v>
      </c>
      <c r="R166" s="1">
        <v>8.1999999999999993</v>
      </c>
      <c r="S166" s="1">
        <v>5.0550319999999997</v>
      </c>
    </row>
    <row r="167" spans="1:19" x14ac:dyDescent="0.3">
      <c r="A167" s="1" t="s">
        <v>182</v>
      </c>
      <c r="B167" s="1" t="s">
        <v>109</v>
      </c>
      <c r="C167" s="1">
        <v>2</v>
      </c>
      <c r="D167" s="1">
        <v>9</v>
      </c>
      <c r="E167" s="1">
        <v>352</v>
      </c>
      <c r="F167" s="1">
        <v>64</v>
      </c>
      <c r="G167" s="1">
        <v>14</v>
      </c>
      <c r="H167" s="1">
        <v>100</v>
      </c>
      <c r="I167" s="1" t="s">
        <v>174</v>
      </c>
      <c r="J167" s="1">
        <v>42</v>
      </c>
      <c r="K167" s="1">
        <v>52</v>
      </c>
      <c r="L167" s="1">
        <v>11</v>
      </c>
      <c r="M167" s="1">
        <v>174</v>
      </c>
      <c r="N167" s="1">
        <v>8</v>
      </c>
      <c r="O167" s="1">
        <v>42</v>
      </c>
      <c r="P167" s="1">
        <v>39</v>
      </c>
      <c r="Q167" s="1">
        <v>7</v>
      </c>
      <c r="R167" s="1">
        <v>8.1999999999999993</v>
      </c>
      <c r="S167" s="1">
        <v>8.2109183999999988</v>
      </c>
    </row>
    <row r="168" spans="1:19" x14ac:dyDescent="0.3">
      <c r="A168" s="1" t="s">
        <v>182</v>
      </c>
      <c r="B168" s="1" t="s">
        <v>109</v>
      </c>
      <c r="C168" s="1">
        <v>2</v>
      </c>
      <c r="D168" s="1">
        <v>10</v>
      </c>
      <c r="E168" s="1">
        <v>320</v>
      </c>
      <c r="F168" s="1">
        <v>66</v>
      </c>
      <c r="G168" s="1">
        <v>13</v>
      </c>
      <c r="H168" s="1">
        <v>75</v>
      </c>
      <c r="I168" s="1" t="s">
        <v>173</v>
      </c>
      <c r="J168" s="1">
        <v>47</v>
      </c>
      <c r="K168" s="1">
        <v>5</v>
      </c>
      <c r="L168" s="1">
        <v>11</v>
      </c>
      <c r="M168" s="1">
        <v>145</v>
      </c>
      <c r="N168" s="1">
        <v>6</v>
      </c>
      <c r="O168" s="1">
        <v>35.5</v>
      </c>
      <c r="P168" s="1">
        <v>37</v>
      </c>
      <c r="Q168" s="1">
        <v>7</v>
      </c>
      <c r="R168" s="1">
        <v>8</v>
      </c>
      <c r="S168" s="1">
        <v>6.5712768000000006</v>
      </c>
    </row>
    <row r="169" spans="1:19" x14ac:dyDescent="0.3">
      <c r="A169" s="1" t="s">
        <v>182</v>
      </c>
      <c r="B169" s="1" t="s">
        <v>109</v>
      </c>
      <c r="C169" s="1">
        <v>2</v>
      </c>
      <c r="D169" s="1">
        <v>11</v>
      </c>
      <c r="E169" s="1">
        <v>315</v>
      </c>
      <c r="F169" s="1">
        <v>64</v>
      </c>
      <c r="G169" s="1">
        <v>14</v>
      </c>
      <c r="H169" s="1">
        <v>55</v>
      </c>
      <c r="I169" s="1" t="s">
        <v>173</v>
      </c>
      <c r="J169" s="1">
        <v>47</v>
      </c>
      <c r="K169" s="1">
        <v>5</v>
      </c>
      <c r="L169" s="1">
        <v>12</v>
      </c>
      <c r="M169" s="1">
        <v>130</v>
      </c>
      <c r="N169" s="1">
        <v>4</v>
      </c>
      <c r="O169" s="1">
        <v>34</v>
      </c>
      <c r="P169" s="1">
        <v>37</v>
      </c>
      <c r="Q169" s="1">
        <v>6</v>
      </c>
      <c r="R169" s="1">
        <v>7.2</v>
      </c>
      <c r="S169" s="1">
        <v>4.7293280000000006</v>
      </c>
    </row>
    <row r="170" spans="1:19" x14ac:dyDescent="0.3">
      <c r="A170" s="1" t="s">
        <v>182</v>
      </c>
      <c r="B170" s="1" t="s">
        <v>109</v>
      </c>
      <c r="C170" s="1">
        <v>2</v>
      </c>
      <c r="D170" s="1">
        <v>14</v>
      </c>
      <c r="E170" s="1">
        <v>324</v>
      </c>
      <c r="F170" s="1">
        <v>66</v>
      </c>
      <c r="G170" s="1">
        <v>12</v>
      </c>
      <c r="H170" s="1">
        <v>130</v>
      </c>
      <c r="I170" s="1" t="s">
        <v>178</v>
      </c>
      <c r="J170" s="1">
        <v>46</v>
      </c>
      <c r="K170" s="1">
        <v>4</v>
      </c>
      <c r="L170" s="1">
        <v>11</v>
      </c>
      <c r="M170" s="1">
        <v>194</v>
      </c>
      <c r="N170" s="1">
        <v>6</v>
      </c>
      <c r="O170" s="1">
        <v>42.4</v>
      </c>
      <c r="P170" s="1">
        <v>39</v>
      </c>
      <c r="Q170" s="1">
        <v>8</v>
      </c>
      <c r="R170" s="1">
        <v>8.4</v>
      </c>
      <c r="S170" s="1">
        <v>6.7530355200000001</v>
      </c>
    </row>
    <row r="171" spans="1:19" x14ac:dyDescent="0.3">
      <c r="A171" s="1" t="s">
        <v>182</v>
      </c>
      <c r="B171" s="1" t="s">
        <v>97</v>
      </c>
      <c r="C171" s="1">
        <v>1</v>
      </c>
      <c r="D171" s="1">
        <v>4</v>
      </c>
      <c r="E171" s="1">
        <v>342</v>
      </c>
      <c r="F171" s="1">
        <v>65</v>
      </c>
      <c r="G171" s="1">
        <v>13</v>
      </c>
      <c r="H171" s="1">
        <v>135</v>
      </c>
      <c r="I171" s="1" t="s">
        <v>177</v>
      </c>
      <c r="J171" s="1">
        <v>44</v>
      </c>
      <c r="K171" s="1">
        <v>2</v>
      </c>
      <c r="L171" s="1">
        <v>12</v>
      </c>
      <c r="M171" s="1">
        <v>204</v>
      </c>
      <c r="N171" s="1">
        <v>4</v>
      </c>
      <c r="O171" s="1">
        <v>40.700000000000003</v>
      </c>
      <c r="P171" s="1">
        <v>37</v>
      </c>
      <c r="Q171" s="1">
        <v>7</v>
      </c>
      <c r="R171" s="1">
        <v>7.4</v>
      </c>
      <c r="S171" s="1">
        <v>4.3768262400000006</v>
      </c>
    </row>
    <row r="172" spans="1:19" x14ac:dyDescent="0.3">
      <c r="A172" s="1" t="s">
        <v>182</v>
      </c>
      <c r="B172" s="1" t="s">
        <v>97</v>
      </c>
      <c r="C172" s="1">
        <v>1</v>
      </c>
      <c r="D172" s="1">
        <v>6</v>
      </c>
      <c r="E172" s="1">
        <v>342</v>
      </c>
      <c r="F172" s="1">
        <v>63</v>
      </c>
      <c r="G172" s="1">
        <v>14</v>
      </c>
      <c r="H172" s="1">
        <v>162</v>
      </c>
      <c r="I172" s="1" t="s">
        <v>175</v>
      </c>
      <c r="J172" s="1">
        <v>43</v>
      </c>
      <c r="K172" s="1">
        <v>1</v>
      </c>
      <c r="L172" s="1">
        <v>12</v>
      </c>
      <c r="M172" s="1">
        <v>186</v>
      </c>
      <c r="N172" s="1">
        <v>4</v>
      </c>
      <c r="O172" s="1">
        <v>38.200000000000003</v>
      </c>
      <c r="P172" s="1">
        <v>39</v>
      </c>
      <c r="Q172" s="1">
        <v>7</v>
      </c>
      <c r="R172" s="1">
        <v>7.6</v>
      </c>
      <c r="S172" s="1">
        <v>4.4804160000000008</v>
      </c>
    </row>
    <row r="173" spans="1:19" x14ac:dyDescent="0.3">
      <c r="A173" s="1" t="s">
        <v>182</v>
      </c>
      <c r="B173" s="1" t="s">
        <v>97</v>
      </c>
      <c r="C173" s="1">
        <v>1</v>
      </c>
      <c r="D173" s="1">
        <v>8</v>
      </c>
      <c r="E173" s="1">
        <v>363</v>
      </c>
      <c r="F173" s="1">
        <v>71</v>
      </c>
      <c r="G173" s="1">
        <v>15</v>
      </c>
      <c r="H173" s="1">
        <v>130</v>
      </c>
      <c r="I173" s="1" t="s">
        <v>175</v>
      </c>
      <c r="J173" s="1">
        <v>43</v>
      </c>
      <c r="K173" s="1">
        <v>1</v>
      </c>
      <c r="L173" s="1">
        <v>11</v>
      </c>
      <c r="M173" s="1">
        <v>210</v>
      </c>
      <c r="N173" s="1">
        <v>7</v>
      </c>
      <c r="O173" s="1">
        <v>51</v>
      </c>
      <c r="P173" s="1">
        <v>39</v>
      </c>
      <c r="Q173" s="1">
        <v>8</v>
      </c>
      <c r="R173" s="1">
        <v>7.6</v>
      </c>
      <c r="S173" s="1">
        <v>7.7591696000000008</v>
      </c>
    </row>
    <row r="174" spans="1:19" x14ac:dyDescent="0.3">
      <c r="A174" s="1" t="s">
        <v>182</v>
      </c>
      <c r="B174" s="1" t="s">
        <v>97</v>
      </c>
      <c r="C174" s="1">
        <v>1</v>
      </c>
      <c r="D174" s="1">
        <v>9</v>
      </c>
      <c r="E174" s="1">
        <v>340</v>
      </c>
      <c r="F174" s="1">
        <v>65</v>
      </c>
      <c r="G174" s="1">
        <v>13</v>
      </c>
      <c r="H174" s="1">
        <v>126</v>
      </c>
      <c r="I174" s="1" t="s">
        <v>175</v>
      </c>
      <c r="J174" s="1">
        <v>43</v>
      </c>
      <c r="K174" s="1">
        <v>1</v>
      </c>
      <c r="L174" s="1">
        <v>12</v>
      </c>
      <c r="M174" s="1">
        <v>165</v>
      </c>
      <c r="N174" s="1">
        <v>6</v>
      </c>
      <c r="O174" s="1">
        <v>34.5</v>
      </c>
      <c r="P174" s="1">
        <v>37</v>
      </c>
      <c r="Q174" s="1">
        <v>6</v>
      </c>
      <c r="R174" s="1">
        <v>7.6</v>
      </c>
      <c r="S174" s="1">
        <v>5.8626719999999999</v>
      </c>
    </row>
    <row r="175" spans="1:19" x14ac:dyDescent="0.3">
      <c r="A175" s="1" t="s">
        <v>182</v>
      </c>
      <c r="B175" s="1" t="s">
        <v>97</v>
      </c>
      <c r="C175" s="1">
        <v>1</v>
      </c>
      <c r="D175" s="1">
        <v>10</v>
      </c>
      <c r="E175" s="1">
        <v>290</v>
      </c>
      <c r="F175" s="1">
        <v>53</v>
      </c>
      <c r="G175" s="1">
        <v>11</v>
      </c>
      <c r="H175" s="1">
        <v>75</v>
      </c>
      <c r="I175" s="1" t="s">
        <v>179</v>
      </c>
      <c r="J175" s="1">
        <v>41</v>
      </c>
      <c r="K175" s="1">
        <v>51</v>
      </c>
      <c r="L175" s="1">
        <v>11</v>
      </c>
      <c r="M175" s="1">
        <v>174</v>
      </c>
      <c r="N175" s="1">
        <v>7</v>
      </c>
      <c r="O175" s="1">
        <v>35</v>
      </c>
      <c r="P175" s="1">
        <v>39</v>
      </c>
      <c r="Q175" s="1">
        <v>6</v>
      </c>
      <c r="R175" s="1">
        <v>7.8</v>
      </c>
      <c r="S175" s="1">
        <v>5.42178</v>
      </c>
    </row>
    <row r="176" spans="1:19" x14ac:dyDescent="0.3">
      <c r="A176" s="1" t="s">
        <v>182</v>
      </c>
      <c r="B176" s="1" t="s">
        <v>97</v>
      </c>
      <c r="C176" s="1">
        <v>1</v>
      </c>
      <c r="D176" s="1">
        <v>11</v>
      </c>
      <c r="E176" s="1">
        <v>340</v>
      </c>
      <c r="F176" s="1">
        <v>65</v>
      </c>
      <c r="G176" s="1">
        <v>13</v>
      </c>
      <c r="H176" s="1">
        <v>137</v>
      </c>
      <c r="I176" s="1" t="s">
        <v>173</v>
      </c>
      <c r="J176" s="1">
        <v>47</v>
      </c>
      <c r="K176" s="1">
        <v>5</v>
      </c>
      <c r="L176" s="1">
        <v>11</v>
      </c>
      <c r="M176" s="1">
        <v>204</v>
      </c>
      <c r="N176" s="1">
        <v>6</v>
      </c>
      <c r="O176" s="1">
        <v>40.299999999999997</v>
      </c>
      <c r="P176" s="1">
        <v>38</v>
      </c>
      <c r="Q176" s="1">
        <v>7</v>
      </c>
      <c r="R176" s="1">
        <v>7.6</v>
      </c>
      <c r="S176" s="1">
        <v>6.1772544000000007</v>
      </c>
    </row>
    <row r="177" spans="1:19" x14ac:dyDescent="0.3">
      <c r="A177" s="1" t="s">
        <v>182</v>
      </c>
      <c r="B177" s="1" t="s">
        <v>97</v>
      </c>
      <c r="C177" s="1">
        <v>1</v>
      </c>
      <c r="D177" s="1">
        <v>12</v>
      </c>
      <c r="E177" s="1">
        <v>336</v>
      </c>
      <c r="F177" s="1">
        <v>57</v>
      </c>
      <c r="G177" s="1">
        <v>13</v>
      </c>
      <c r="H177" s="1">
        <v>120</v>
      </c>
      <c r="I177" s="1" t="s">
        <v>175</v>
      </c>
      <c r="J177" s="1">
        <v>43</v>
      </c>
      <c r="K177" s="1">
        <v>52</v>
      </c>
      <c r="L177" s="1">
        <v>10</v>
      </c>
      <c r="M177" s="1">
        <v>165</v>
      </c>
      <c r="N177" s="1">
        <v>6</v>
      </c>
      <c r="O177" s="1">
        <v>36</v>
      </c>
      <c r="P177" s="1">
        <v>39</v>
      </c>
      <c r="Q177" s="1">
        <v>6</v>
      </c>
      <c r="R177" s="1">
        <v>8</v>
      </c>
      <c r="S177" s="1">
        <v>6.1311792000000009</v>
      </c>
    </row>
    <row r="178" spans="1:19" x14ac:dyDescent="0.3">
      <c r="A178" s="1" t="s">
        <v>182</v>
      </c>
      <c r="B178" s="1" t="s">
        <v>97</v>
      </c>
      <c r="C178" s="1">
        <v>1</v>
      </c>
      <c r="D178" s="1">
        <v>14</v>
      </c>
      <c r="E178" s="1">
        <v>332</v>
      </c>
      <c r="F178" s="1">
        <v>65</v>
      </c>
      <c r="G178" s="1">
        <v>12</v>
      </c>
      <c r="H178" s="1">
        <v>170</v>
      </c>
      <c r="I178" s="1" t="s">
        <v>175</v>
      </c>
      <c r="J178" s="1">
        <v>43</v>
      </c>
      <c r="K178" s="1">
        <v>1</v>
      </c>
      <c r="L178" s="1">
        <v>11</v>
      </c>
      <c r="M178" s="1">
        <v>135</v>
      </c>
      <c r="N178" s="1">
        <v>7</v>
      </c>
      <c r="O178" s="1">
        <v>46.6</v>
      </c>
      <c r="P178" s="1">
        <v>39</v>
      </c>
      <c r="Q178" s="1">
        <v>7</v>
      </c>
      <c r="R178" s="1">
        <v>7.8</v>
      </c>
      <c r="S178" s="1">
        <v>8.78161536</v>
      </c>
    </row>
    <row r="179" spans="1:19" x14ac:dyDescent="0.3">
      <c r="A179" s="1" t="s">
        <v>182</v>
      </c>
      <c r="B179" s="1" t="s">
        <v>172</v>
      </c>
      <c r="C179" s="1">
        <v>2</v>
      </c>
      <c r="D179" s="1">
        <v>1</v>
      </c>
      <c r="E179" s="1">
        <v>347</v>
      </c>
      <c r="F179" s="1">
        <v>65</v>
      </c>
      <c r="G179" s="1">
        <v>12</v>
      </c>
      <c r="H179" s="1">
        <v>107</v>
      </c>
      <c r="I179" s="1" t="s">
        <v>176</v>
      </c>
      <c r="J179" s="1">
        <v>45</v>
      </c>
      <c r="K179" s="1">
        <v>3</v>
      </c>
      <c r="L179" s="1">
        <v>11</v>
      </c>
      <c r="M179" s="1">
        <v>196</v>
      </c>
      <c r="N179" s="1">
        <v>6</v>
      </c>
      <c r="O179" s="1">
        <v>36.4</v>
      </c>
      <c r="P179" s="1">
        <v>38</v>
      </c>
      <c r="Q179" s="1">
        <v>7</v>
      </c>
      <c r="R179" s="1">
        <v>7.8</v>
      </c>
      <c r="S179" s="1">
        <v>7.1241792000000013</v>
      </c>
    </row>
    <row r="180" spans="1:19" x14ac:dyDescent="0.3">
      <c r="A180" s="1" t="s">
        <v>182</v>
      </c>
      <c r="B180" s="1" t="s">
        <v>172</v>
      </c>
      <c r="C180" s="1">
        <v>2</v>
      </c>
      <c r="D180" s="1">
        <v>2</v>
      </c>
      <c r="E180" s="1">
        <v>315</v>
      </c>
      <c r="F180" s="1">
        <v>59</v>
      </c>
      <c r="G180" s="1">
        <v>12</v>
      </c>
      <c r="H180" s="1">
        <v>118</v>
      </c>
      <c r="I180" s="1" t="s">
        <v>178</v>
      </c>
      <c r="J180" s="1">
        <v>46</v>
      </c>
      <c r="K180" s="1">
        <v>4</v>
      </c>
      <c r="L180" s="1">
        <v>12</v>
      </c>
      <c r="M180" s="1">
        <v>182</v>
      </c>
      <c r="N180" s="1">
        <v>4</v>
      </c>
      <c r="O180" s="1">
        <v>35.799999999999997</v>
      </c>
      <c r="P180" s="1">
        <v>37</v>
      </c>
      <c r="Q180" s="1">
        <v>7</v>
      </c>
      <c r="R180" s="1">
        <v>7.6</v>
      </c>
      <c r="S180" s="1">
        <v>4.0215705599999998</v>
      </c>
    </row>
    <row r="181" spans="1:19" x14ac:dyDescent="0.3">
      <c r="A181" s="1" t="s">
        <v>182</v>
      </c>
      <c r="B181" s="1" t="s">
        <v>172</v>
      </c>
      <c r="C181" s="1">
        <v>2</v>
      </c>
      <c r="D181" s="1">
        <v>3</v>
      </c>
      <c r="E181" s="1">
        <v>300</v>
      </c>
      <c r="F181" s="1">
        <v>55</v>
      </c>
      <c r="G181" s="1">
        <v>9</v>
      </c>
      <c r="H181" s="1">
        <v>97</v>
      </c>
      <c r="I181" s="1" t="s">
        <v>174</v>
      </c>
      <c r="J181" s="1">
        <v>42</v>
      </c>
      <c r="K181" s="1">
        <v>52</v>
      </c>
      <c r="L181" s="1">
        <v>11</v>
      </c>
      <c r="M181" s="1">
        <v>155</v>
      </c>
      <c r="N181" s="1">
        <v>6</v>
      </c>
      <c r="O181" s="1">
        <v>36</v>
      </c>
      <c r="P181" s="1">
        <v>39</v>
      </c>
      <c r="Q181" s="1">
        <v>6</v>
      </c>
      <c r="R181" s="1">
        <v>8</v>
      </c>
      <c r="S181" s="1">
        <v>4.7733907200000001</v>
      </c>
    </row>
    <row r="182" spans="1:19" x14ac:dyDescent="0.3">
      <c r="A182" s="1" t="s">
        <v>182</v>
      </c>
      <c r="B182" s="1" t="s">
        <v>172</v>
      </c>
      <c r="C182" s="1">
        <v>2</v>
      </c>
      <c r="D182" s="1">
        <v>4</v>
      </c>
      <c r="E182" s="1">
        <v>320</v>
      </c>
      <c r="F182" s="1">
        <v>62</v>
      </c>
      <c r="G182" s="1">
        <v>12</v>
      </c>
      <c r="H182" s="1">
        <v>142</v>
      </c>
      <c r="I182" s="1" t="s">
        <v>177</v>
      </c>
      <c r="J182" s="1">
        <v>44</v>
      </c>
      <c r="K182" s="1">
        <v>2</v>
      </c>
      <c r="L182" s="1">
        <v>11</v>
      </c>
      <c r="M182" s="1">
        <v>180</v>
      </c>
      <c r="N182" s="1">
        <v>5</v>
      </c>
      <c r="O182" s="1">
        <v>41</v>
      </c>
      <c r="P182" s="1">
        <v>39</v>
      </c>
      <c r="Q182" s="1">
        <v>7</v>
      </c>
      <c r="R182" s="1">
        <v>8</v>
      </c>
      <c r="S182" s="1">
        <v>5.5290240000000006</v>
      </c>
    </row>
    <row r="183" spans="1:19" x14ac:dyDescent="0.3">
      <c r="A183" s="1" t="s">
        <v>182</v>
      </c>
      <c r="B183" s="1" t="s">
        <v>172</v>
      </c>
      <c r="C183" s="1">
        <v>2</v>
      </c>
      <c r="D183" s="1">
        <v>6</v>
      </c>
      <c r="E183" s="1">
        <v>360</v>
      </c>
      <c r="F183" s="1">
        <v>67</v>
      </c>
      <c r="G183" s="1">
        <v>15</v>
      </c>
      <c r="H183" s="1">
        <v>110</v>
      </c>
      <c r="I183" s="1" t="s">
        <v>173</v>
      </c>
      <c r="J183" s="1">
        <v>47</v>
      </c>
      <c r="K183" s="1">
        <v>5</v>
      </c>
      <c r="L183" s="1">
        <v>12</v>
      </c>
      <c r="M183" s="1">
        <v>195</v>
      </c>
      <c r="N183" s="1">
        <v>6</v>
      </c>
      <c r="O183" s="1">
        <v>50.9</v>
      </c>
      <c r="P183" s="1">
        <v>39</v>
      </c>
      <c r="Q183" s="1">
        <v>7</v>
      </c>
      <c r="R183" s="1">
        <v>7.4</v>
      </c>
      <c r="S183" s="1">
        <v>7.1623104000000017</v>
      </c>
    </row>
    <row r="184" spans="1:19" x14ac:dyDescent="0.3">
      <c r="A184" s="1" t="s">
        <v>182</v>
      </c>
      <c r="B184" s="1" t="s">
        <v>172</v>
      </c>
      <c r="C184" s="1">
        <v>2</v>
      </c>
      <c r="D184" s="1">
        <v>8</v>
      </c>
      <c r="E184" s="1">
        <v>320</v>
      </c>
      <c r="F184" s="1">
        <v>67</v>
      </c>
      <c r="G184" s="1">
        <v>14</v>
      </c>
      <c r="H184" s="1">
        <v>96</v>
      </c>
      <c r="I184" s="1" t="s">
        <v>177</v>
      </c>
      <c r="J184" s="1">
        <v>44</v>
      </c>
      <c r="K184" s="1">
        <v>2</v>
      </c>
      <c r="L184" s="1">
        <v>11</v>
      </c>
      <c r="M184" s="1">
        <v>175</v>
      </c>
      <c r="N184" s="1">
        <v>5</v>
      </c>
      <c r="O184" s="1">
        <v>41</v>
      </c>
      <c r="P184" s="1">
        <v>37</v>
      </c>
      <c r="Q184" s="1">
        <v>7</v>
      </c>
      <c r="R184" s="1">
        <v>8</v>
      </c>
      <c r="S184" s="1">
        <v>5.8976255999999996</v>
      </c>
    </row>
    <row r="185" spans="1:19" x14ac:dyDescent="0.3">
      <c r="A185" s="1" t="s">
        <v>182</v>
      </c>
      <c r="B185" s="1" t="s">
        <v>172</v>
      </c>
      <c r="C185" s="1">
        <v>2</v>
      </c>
      <c r="D185" s="1">
        <v>9</v>
      </c>
      <c r="E185" s="1">
        <v>315</v>
      </c>
      <c r="F185" s="1">
        <v>67</v>
      </c>
      <c r="G185" s="1">
        <v>13</v>
      </c>
      <c r="H185" s="1">
        <v>110</v>
      </c>
      <c r="I185" s="1" t="s">
        <v>178</v>
      </c>
      <c r="J185" s="1">
        <v>46</v>
      </c>
      <c r="K185" s="1">
        <v>4</v>
      </c>
      <c r="L185" s="1">
        <v>11</v>
      </c>
      <c r="M185" s="1">
        <v>186</v>
      </c>
      <c r="N185" s="1">
        <v>4</v>
      </c>
      <c r="O185" s="1">
        <v>42</v>
      </c>
      <c r="P185" s="1">
        <v>38</v>
      </c>
      <c r="Q185" s="1">
        <v>7</v>
      </c>
      <c r="R185" s="1">
        <v>8.1999999999999993</v>
      </c>
      <c r="S185" s="1">
        <v>4.0440256000000003</v>
      </c>
    </row>
    <row r="186" spans="1:19" x14ac:dyDescent="0.3">
      <c r="A186" s="1" t="s">
        <v>182</v>
      </c>
      <c r="B186" s="1" t="s">
        <v>172</v>
      </c>
      <c r="C186" s="1">
        <v>1</v>
      </c>
      <c r="D186" s="1">
        <v>1</v>
      </c>
      <c r="E186" s="1">
        <v>336</v>
      </c>
      <c r="F186" s="1">
        <v>64</v>
      </c>
      <c r="G186" s="1">
        <v>12</v>
      </c>
      <c r="H186" s="1">
        <v>106</v>
      </c>
      <c r="I186" s="1" t="s">
        <v>179</v>
      </c>
      <c r="J186" s="1">
        <v>41</v>
      </c>
      <c r="K186" s="1">
        <v>51</v>
      </c>
      <c r="L186" s="1">
        <v>11</v>
      </c>
      <c r="M186" s="1">
        <v>210</v>
      </c>
      <c r="N186" s="1">
        <v>6</v>
      </c>
      <c r="O186" s="1">
        <v>44</v>
      </c>
      <c r="P186" s="1">
        <v>40</v>
      </c>
      <c r="Q186" s="1">
        <v>7</v>
      </c>
      <c r="R186" s="1">
        <v>8</v>
      </c>
      <c r="S186" s="1">
        <v>4.0037760000000002</v>
      </c>
    </row>
    <row r="187" spans="1:19" x14ac:dyDescent="0.3">
      <c r="A187" s="1" t="s">
        <v>182</v>
      </c>
      <c r="B187" s="1" t="s">
        <v>172</v>
      </c>
      <c r="C187" s="1">
        <v>1</v>
      </c>
      <c r="D187" s="1">
        <v>3</v>
      </c>
      <c r="E187" s="1">
        <v>344</v>
      </c>
      <c r="F187" s="1">
        <v>67</v>
      </c>
      <c r="G187" s="1">
        <v>15</v>
      </c>
      <c r="H187" s="1">
        <v>92</v>
      </c>
      <c r="I187" s="1" t="s">
        <v>177</v>
      </c>
      <c r="J187" s="1">
        <v>44</v>
      </c>
      <c r="K187" s="1">
        <v>2</v>
      </c>
      <c r="L187" s="1">
        <v>11</v>
      </c>
      <c r="M187" s="1">
        <v>180</v>
      </c>
      <c r="N187" s="1">
        <v>4</v>
      </c>
      <c r="O187" s="1">
        <v>46.9</v>
      </c>
      <c r="P187" s="1">
        <v>38</v>
      </c>
      <c r="Q187" s="1">
        <v>7</v>
      </c>
      <c r="R187" s="1">
        <v>7.6</v>
      </c>
      <c r="S187" s="1">
        <v>4.9418035200000006</v>
      </c>
    </row>
    <row r="188" spans="1:19" x14ac:dyDescent="0.3">
      <c r="A188" s="1" t="s">
        <v>182</v>
      </c>
      <c r="B188" s="1" t="s">
        <v>172</v>
      </c>
      <c r="C188" s="1">
        <v>1</v>
      </c>
      <c r="D188" s="1">
        <v>4</v>
      </c>
      <c r="E188" s="1">
        <v>340</v>
      </c>
      <c r="F188" s="1">
        <v>68</v>
      </c>
      <c r="G188" s="1">
        <v>14</v>
      </c>
      <c r="H188" s="1">
        <v>150</v>
      </c>
      <c r="I188" s="1" t="s">
        <v>178</v>
      </c>
      <c r="J188" s="1">
        <v>46</v>
      </c>
      <c r="K188" s="1">
        <v>4</v>
      </c>
      <c r="L188" s="1">
        <v>12</v>
      </c>
      <c r="M188" s="1">
        <v>200</v>
      </c>
      <c r="N188" s="1">
        <v>5</v>
      </c>
      <c r="O188" s="1">
        <v>44.3</v>
      </c>
      <c r="P188" s="1">
        <v>38</v>
      </c>
      <c r="Q188" s="1">
        <v>7</v>
      </c>
      <c r="R188" s="1">
        <v>7.8</v>
      </c>
      <c r="S188" s="1">
        <v>4.7769920000000008</v>
      </c>
    </row>
    <row r="189" spans="1:19" x14ac:dyDescent="0.3">
      <c r="A189" s="1" t="s">
        <v>182</v>
      </c>
      <c r="B189" s="1" t="s">
        <v>172</v>
      </c>
      <c r="C189" s="1">
        <v>1</v>
      </c>
      <c r="D189" s="1">
        <v>5</v>
      </c>
      <c r="E189" s="1">
        <v>352</v>
      </c>
      <c r="F189" s="1">
        <v>71</v>
      </c>
      <c r="G189" s="1">
        <v>15</v>
      </c>
      <c r="H189" s="1">
        <v>115</v>
      </c>
      <c r="I189" s="1" t="s">
        <v>175</v>
      </c>
      <c r="J189" s="1">
        <v>43</v>
      </c>
      <c r="K189" s="1">
        <v>52</v>
      </c>
      <c r="L189" s="1">
        <v>10</v>
      </c>
      <c r="M189" s="1">
        <v>220</v>
      </c>
      <c r="N189" s="1">
        <v>6</v>
      </c>
      <c r="O189" s="1">
        <v>52</v>
      </c>
      <c r="P189" s="1">
        <v>39</v>
      </c>
      <c r="Q189" s="1">
        <v>8</v>
      </c>
      <c r="R189" s="1">
        <v>8.1999999999999993</v>
      </c>
      <c r="S189" s="1">
        <v>6.1502448000000012</v>
      </c>
    </row>
    <row r="190" spans="1:19" x14ac:dyDescent="0.3">
      <c r="A190" s="1" t="s">
        <v>182</v>
      </c>
      <c r="B190" s="1" t="s">
        <v>172</v>
      </c>
      <c r="C190" s="1">
        <v>1</v>
      </c>
      <c r="D190" s="1">
        <v>6</v>
      </c>
      <c r="E190" s="1">
        <v>348</v>
      </c>
      <c r="F190" s="1">
        <v>61</v>
      </c>
      <c r="G190" s="1">
        <v>11</v>
      </c>
      <c r="H190" s="1">
        <v>140</v>
      </c>
      <c r="I190" s="1" t="s">
        <v>177</v>
      </c>
      <c r="J190" s="1">
        <v>44</v>
      </c>
      <c r="K190" s="1">
        <v>2</v>
      </c>
      <c r="L190" s="1">
        <v>11</v>
      </c>
      <c r="M190" s="1">
        <v>104</v>
      </c>
      <c r="N190" s="1">
        <v>4</v>
      </c>
      <c r="O190" s="1">
        <v>42.2</v>
      </c>
      <c r="P190" s="1">
        <v>37</v>
      </c>
      <c r="Q190" s="1">
        <v>7</v>
      </c>
      <c r="R190" s="1">
        <v>8</v>
      </c>
      <c r="S190" s="1">
        <v>4.7229728000000009</v>
      </c>
    </row>
    <row r="191" spans="1:19" x14ac:dyDescent="0.3">
      <c r="A191" s="1" t="s">
        <v>182</v>
      </c>
      <c r="B191" s="1" t="s">
        <v>172</v>
      </c>
      <c r="C191" s="1">
        <v>1</v>
      </c>
      <c r="D191" s="1">
        <v>7</v>
      </c>
      <c r="E191" s="1">
        <v>323</v>
      </c>
      <c r="F191" s="1">
        <v>59</v>
      </c>
      <c r="G191" s="1">
        <v>12</v>
      </c>
      <c r="H191" s="1">
        <v>92</v>
      </c>
      <c r="I191" s="1" t="s">
        <v>173</v>
      </c>
      <c r="J191" s="1">
        <v>47</v>
      </c>
      <c r="K191" s="1">
        <v>5</v>
      </c>
      <c r="L191" s="1">
        <v>12</v>
      </c>
      <c r="M191" s="1">
        <v>140</v>
      </c>
      <c r="N191" s="1">
        <v>6</v>
      </c>
      <c r="O191" s="1">
        <v>30</v>
      </c>
      <c r="P191" s="1">
        <v>37</v>
      </c>
      <c r="Q191" s="1">
        <v>7</v>
      </c>
      <c r="R191" s="1">
        <v>8</v>
      </c>
      <c r="S191" s="1">
        <v>6.5776320000000004</v>
      </c>
    </row>
    <row r="192" spans="1:19" x14ac:dyDescent="0.3">
      <c r="A192" s="1" t="s">
        <v>182</v>
      </c>
      <c r="B192" s="1" t="s">
        <v>172</v>
      </c>
      <c r="C192" s="1">
        <v>1</v>
      </c>
      <c r="D192" s="1">
        <v>8</v>
      </c>
      <c r="E192" s="1">
        <v>353</v>
      </c>
      <c r="F192" s="1">
        <v>69</v>
      </c>
      <c r="G192" s="1">
        <v>12</v>
      </c>
      <c r="H192" s="1">
        <v>170</v>
      </c>
      <c r="I192" s="1" t="s">
        <v>175</v>
      </c>
      <c r="J192" s="1">
        <v>43</v>
      </c>
      <c r="K192" s="1">
        <v>1</v>
      </c>
      <c r="L192" s="1">
        <v>11</v>
      </c>
      <c r="M192" s="1">
        <v>218</v>
      </c>
      <c r="N192" s="1">
        <v>6</v>
      </c>
      <c r="O192" s="1">
        <v>46.3</v>
      </c>
      <c r="P192" s="1">
        <v>39</v>
      </c>
      <c r="Q192" s="1">
        <v>7</v>
      </c>
      <c r="R192" s="1">
        <v>8</v>
      </c>
      <c r="S192" s="1">
        <v>7.2284044800000009</v>
      </c>
    </row>
    <row r="193" spans="1:19" x14ac:dyDescent="0.3">
      <c r="A193" s="1" t="s">
        <v>182</v>
      </c>
      <c r="B193" s="1" t="s">
        <v>172</v>
      </c>
      <c r="C193" s="1">
        <v>1</v>
      </c>
      <c r="D193" s="1">
        <v>9</v>
      </c>
      <c r="E193" s="1">
        <v>336</v>
      </c>
      <c r="F193" s="1">
        <v>64</v>
      </c>
      <c r="G193" s="1">
        <v>12</v>
      </c>
      <c r="H193" s="1">
        <v>154</v>
      </c>
      <c r="I193" s="1" t="s">
        <v>180</v>
      </c>
      <c r="J193" s="1">
        <v>40</v>
      </c>
      <c r="K193" s="1">
        <v>50</v>
      </c>
      <c r="L193" s="1">
        <v>11</v>
      </c>
      <c r="M193" s="1">
        <v>193</v>
      </c>
      <c r="N193" s="1">
        <v>7</v>
      </c>
      <c r="O193" s="1">
        <v>49</v>
      </c>
      <c r="P193" s="1">
        <v>40</v>
      </c>
      <c r="Q193" s="1">
        <v>8</v>
      </c>
      <c r="R193" s="1">
        <v>8</v>
      </c>
      <c r="S193" s="1">
        <v>5.6052864000000007</v>
      </c>
    </row>
    <row r="194" spans="1:19" x14ac:dyDescent="0.3">
      <c r="A194" s="1" t="s">
        <v>182</v>
      </c>
      <c r="B194" s="1" t="s">
        <v>172</v>
      </c>
      <c r="C194" s="1">
        <v>1</v>
      </c>
      <c r="D194" s="1">
        <v>10</v>
      </c>
      <c r="E194" s="1">
        <v>335</v>
      </c>
      <c r="F194" s="1">
        <v>64</v>
      </c>
      <c r="G194" s="1">
        <v>12</v>
      </c>
      <c r="H194" s="1">
        <v>100</v>
      </c>
      <c r="I194" s="1" t="s">
        <v>179</v>
      </c>
      <c r="J194" s="1">
        <v>41</v>
      </c>
      <c r="K194" s="1">
        <v>51</v>
      </c>
      <c r="L194" s="1">
        <v>11</v>
      </c>
      <c r="M194" s="1">
        <v>142</v>
      </c>
      <c r="N194" s="1">
        <v>8</v>
      </c>
      <c r="O194" s="1">
        <v>45</v>
      </c>
      <c r="P194" s="1">
        <v>40</v>
      </c>
      <c r="Q194" s="1">
        <v>7</v>
      </c>
      <c r="R194" s="1">
        <v>8</v>
      </c>
      <c r="S194" s="1">
        <v>6.7619328000000012</v>
      </c>
    </row>
    <row r="195" spans="1:19" x14ac:dyDescent="0.3">
      <c r="A195" s="1" t="s">
        <v>182</v>
      </c>
      <c r="B195" s="1" t="s">
        <v>172</v>
      </c>
      <c r="C195" s="1">
        <v>1</v>
      </c>
      <c r="D195" s="1">
        <v>11</v>
      </c>
      <c r="E195" s="1">
        <v>315</v>
      </c>
      <c r="F195" s="1">
        <v>64</v>
      </c>
      <c r="G195" s="1">
        <v>12</v>
      </c>
      <c r="H195" s="1">
        <v>93</v>
      </c>
      <c r="I195" s="1" t="s">
        <v>177</v>
      </c>
      <c r="J195" s="1">
        <v>44</v>
      </c>
      <c r="K195" s="1">
        <v>2</v>
      </c>
      <c r="L195" s="1">
        <v>12</v>
      </c>
      <c r="M195" s="1">
        <v>158</v>
      </c>
      <c r="N195" s="1">
        <v>6</v>
      </c>
      <c r="O195" s="1">
        <v>30.6</v>
      </c>
      <c r="P195" s="1">
        <v>37</v>
      </c>
      <c r="Q195" s="1">
        <v>7</v>
      </c>
      <c r="R195" s="1">
        <v>8</v>
      </c>
      <c r="S195" s="1">
        <v>5.2112639999999999</v>
      </c>
    </row>
    <row r="196" spans="1:19" x14ac:dyDescent="0.3">
      <c r="A196" s="1" t="s">
        <v>182</v>
      </c>
      <c r="B196" s="1" t="s">
        <v>172</v>
      </c>
      <c r="C196" s="1">
        <v>1</v>
      </c>
      <c r="D196" s="1">
        <v>14</v>
      </c>
      <c r="E196" s="1">
        <v>290</v>
      </c>
      <c r="F196" s="1">
        <v>57</v>
      </c>
      <c r="G196" s="1">
        <v>12</v>
      </c>
      <c r="H196" s="1">
        <v>86</v>
      </c>
      <c r="I196" s="1" t="s">
        <v>176</v>
      </c>
      <c r="J196" s="1">
        <v>45</v>
      </c>
      <c r="K196" s="1">
        <v>3</v>
      </c>
      <c r="L196" s="1">
        <v>11</v>
      </c>
      <c r="M196" s="1">
        <v>160</v>
      </c>
      <c r="N196" s="1">
        <v>6</v>
      </c>
      <c r="O196" s="1">
        <v>23.3</v>
      </c>
      <c r="P196" s="1">
        <v>37</v>
      </c>
      <c r="Q196" s="1">
        <v>6</v>
      </c>
      <c r="R196" s="1">
        <v>7.6</v>
      </c>
      <c r="S196" s="1">
        <v>5.7323904000000008</v>
      </c>
    </row>
    <row r="197" spans="1:19" x14ac:dyDescent="0.3">
      <c r="A197" s="1" t="s">
        <v>182</v>
      </c>
      <c r="B197" s="1" t="s">
        <v>99</v>
      </c>
      <c r="C197" s="1">
        <v>3</v>
      </c>
      <c r="D197" s="1">
        <v>1</v>
      </c>
      <c r="E197" s="1">
        <v>344</v>
      </c>
      <c r="F197" s="1">
        <v>62</v>
      </c>
      <c r="G197" s="1">
        <v>14</v>
      </c>
      <c r="H197" s="1">
        <v>90</v>
      </c>
      <c r="I197" s="1" t="s">
        <v>177</v>
      </c>
      <c r="J197" s="1">
        <v>44</v>
      </c>
      <c r="K197" s="1">
        <v>2</v>
      </c>
      <c r="L197" s="1">
        <v>11</v>
      </c>
      <c r="M197" s="1">
        <v>170</v>
      </c>
      <c r="N197" s="1">
        <v>6</v>
      </c>
      <c r="O197" s="1">
        <v>40.6</v>
      </c>
      <c r="P197" s="1">
        <v>39</v>
      </c>
      <c r="Q197" s="1">
        <v>7</v>
      </c>
      <c r="R197" s="1">
        <v>7.8</v>
      </c>
      <c r="S197" s="1">
        <v>7.2207782400000013</v>
      </c>
    </row>
    <row r="198" spans="1:19" x14ac:dyDescent="0.3">
      <c r="A198" s="1" t="s">
        <v>182</v>
      </c>
      <c r="B198" s="1" t="s">
        <v>99</v>
      </c>
      <c r="C198" s="1">
        <v>3</v>
      </c>
      <c r="D198" s="1">
        <v>2</v>
      </c>
      <c r="E198" s="1">
        <v>345</v>
      </c>
      <c r="F198" s="1">
        <v>66</v>
      </c>
      <c r="G198" s="1">
        <v>12</v>
      </c>
      <c r="H198" s="1">
        <v>165</v>
      </c>
      <c r="I198" s="1" t="s">
        <v>174</v>
      </c>
      <c r="J198" s="1">
        <v>42</v>
      </c>
      <c r="K198" s="1">
        <v>52</v>
      </c>
      <c r="L198" s="1">
        <v>10</v>
      </c>
      <c r="M198" s="1">
        <v>230</v>
      </c>
      <c r="N198" s="1">
        <v>6</v>
      </c>
      <c r="O198" s="1">
        <v>44.7</v>
      </c>
      <c r="P198" s="1">
        <v>39</v>
      </c>
      <c r="Q198" s="1">
        <v>7</v>
      </c>
      <c r="R198" s="1">
        <v>7.6</v>
      </c>
      <c r="S198" s="1">
        <v>5.8467840000000004</v>
      </c>
    </row>
    <row r="199" spans="1:19" x14ac:dyDescent="0.3">
      <c r="A199" s="1" t="s">
        <v>182</v>
      </c>
      <c r="B199" s="1" t="s">
        <v>99</v>
      </c>
      <c r="C199" s="1">
        <v>3</v>
      </c>
      <c r="D199" s="1">
        <v>3</v>
      </c>
      <c r="E199" s="1">
        <v>340</v>
      </c>
      <c r="F199" s="1">
        <v>64</v>
      </c>
      <c r="G199" s="1">
        <v>14</v>
      </c>
      <c r="H199" s="1">
        <v>133</v>
      </c>
      <c r="I199" s="1" t="s">
        <v>177</v>
      </c>
      <c r="J199" s="1">
        <v>44</v>
      </c>
      <c r="K199" s="1">
        <v>2</v>
      </c>
      <c r="L199" s="1">
        <v>12</v>
      </c>
      <c r="M199" s="1">
        <v>204</v>
      </c>
      <c r="N199" s="1">
        <v>6</v>
      </c>
      <c r="O199" s="1">
        <v>37</v>
      </c>
      <c r="P199" s="1">
        <v>38</v>
      </c>
      <c r="Q199" s="1">
        <v>7</v>
      </c>
      <c r="R199" s="1">
        <v>7.4</v>
      </c>
      <c r="S199" s="1">
        <v>5.8722047999999996</v>
      </c>
    </row>
    <row r="200" spans="1:19" x14ac:dyDescent="0.3">
      <c r="A200" s="1" t="s">
        <v>182</v>
      </c>
      <c r="B200" s="1" t="s">
        <v>99</v>
      </c>
      <c r="C200" s="1">
        <v>3</v>
      </c>
      <c r="D200" s="1">
        <v>4</v>
      </c>
      <c r="E200" s="1">
        <v>327</v>
      </c>
      <c r="F200" s="1">
        <v>73</v>
      </c>
      <c r="G200" s="1">
        <v>12</v>
      </c>
      <c r="H200" s="1">
        <v>135</v>
      </c>
      <c r="I200" s="1" t="s">
        <v>173</v>
      </c>
      <c r="J200" s="1">
        <v>47</v>
      </c>
      <c r="K200" s="1">
        <v>5</v>
      </c>
      <c r="L200" s="1">
        <v>11</v>
      </c>
      <c r="M200" s="1">
        <v>206</v>
      </c>
      <c r="N200" s="1">
        <v>6</v>
      </c>
      <c r="O200" s="1">
        <v>46.5</v>
      </c>
      <c r="P200" s="1">
        <v>40</v>
      </c>
      <c r="Q200" s="1">
        <v>7</v>
      </c>
      <c r="R200" s="1">
        <v>8</v>
      </c>
      <c r="S200" s="1">
        <v>6.1391231999999993</v>
      </c>
    </row>
    <row r="201" spans="1:19" x14ac:dyDescent="0.3">
      <c r="A201" s="1" t="s">
        <v>182</v>
      </c>
      <c r="B201" s="1" t="s">
        <v>99</v>
      </c>
      <c r="C201" s="1">
        <v>3</v>
      </c>
      <c r="D201" s="1">
        <v>5</v>
      </c>
      <c r="E201" s="1">
        <v>342</v>
      </c>
      <c r="F201" s="1">
        <v>65</v>
      </c>
      <c r="G201" s="1">
        <v>10</v>
      </c>
      <c r="H201" s="1">
        <v>135</v>
      </c>
      <c r="I201" s="1" t="s">
        <v>173</v>
      </c>
      <c r="J201" s="1">
        <v>47</v>
      </c>
      <c r="K201" s="1">
        <v>5</v>
      </c>
      <c r="L201" s="1">
        <v>11</v>
      </c>
      <c r="M201" s="1">
        <v>205</v>
      </c>
      <c r="N201" s="1">
        <v>6</v>
      </c>
      <c r="O201" s="1">
        <v>40.200000000000003</v>
      </c>
      <c r="P201" s="1">
        <v>39</v>
      </c>
      <c r="Q201" s="1">
        <v>7</v>
      </c>
      <c r="R201" s="1">
        <v>7.8</v>
      </c>
      <c r="S201" s="1">
        <v>6.0485616000000011</v>
      </c>
    </row>
    <row r="202" spans="1:19" x14ac:dyDescent="0.3">
      <c r="A202" s="1" t="s">
        <v>182</v>
      </c>
      <c r="B202" s="1" t="s">
        <v>99</v>
      </c>
      <c r="C202" s="1">
        <v>3</v>
      </c>
      <c r="D202" s="1">
        <v>7</v>
      </c>
      <c r="E202" s="1">
        <v>345</v>
      </c>
      <c r="F202" s="1">
        <v>66</v>
      </c>
      <c r="G202" s="1">
        <v>16</v>
      </c>
      <c r="H202" s="1">
        <v>133</v>
      </c>
      <c r="I202" s="1" t="s">
        <v>175</v>
      </c>
      <c r="J202" s="1">
        <v>43</v>
      </c>
      <c r="K202" s="1">
        <v>1</v>
      </c>
      <c r="L202" s="1">
        <v>11</v>
      </c>
      <c r="M202" s="1">
        <v>210</v>
      </c>
      <c r="N202" s="1">
        <v>7</v>
      </c>
      <c r="O202" s="1">
        <v>40.700000000000003</v>
      </c>
      <c r="P202" s="1">
        <v>38</v>
      </c>
      <c r="Q202" s="1">
        <v>7</v>
      </c>
      <c r="R202" s="1">
        <v>8.4</v>
      </c>
      <c r="S202" s="1">
        <v>7.8748342400000011</v>
      </c>
    </row>
    <row r="203" spans="1:19" x14ac:dyDescent="0.3">
      <c r="A203" s="1" t="s">
        <v>182</v>
      </c>
      <c r="B203" s="1" t="s">
        <v>99</v>
      </c>
      <c r="C203" s="1">
        <v>3</v>
      </c>
      <c r="D203" s="1">
        <v>8</v>
      </c>
      <c r="E203" s="1">
        <v>335</v>
      </c>
      <c r="F203" s="1">
        <v>66</v>
      </c>
      <c r="G203" s="1">
        <v>13</v>
      </c>
      <c r="H203" s="1">
        <v>104</v>
      </c>
      <c r="I203" s="1" t="s">
        <v>174</v>
      </c>
      <c r="J203" s="1">
        <v>42</v>
      </c>
      <c r="K203" s="1">
        <v>52</v>
      </c>
      <c r="L203" s="1">
        <v>10</v>
      </c>
      <c r="M203" s="1">
        <v>190</v>
      </c>
      <c r="N203" s="1">
        <v>7</v>
      </c>
      <c r="O203" s="1">
        <v>47.5</v>
      </c>
      <c r="P203" s="1">
        <v>37</v>
      </c>
      <c r="Q203" s="1">
        <v>7</v>
      </c>
      <c r="R203" s="1">
        <v>7.6</v>
      </c>
      <c r="S203" s="1">
        <v>7.4603692800000001</v>
      </c>
    </row>
    <row r="204" spans="1:19" x14ac:dyDescent="0.3">
      <c r="A204" s="1" t="s">
        <v>182</v>
      </c>
      <c r="B204" s="1" t="s">
        <v>99</v>
      </c>
      <c r="C204" s="1">
        <v>3</v>
      </c>
      <c r="D204" s="1">
        <v>12</v>
      </c>
      <c r="E204" s="1">
        <v>326</v>
      </c>
      <c r="F204" s="1">
        <v>66</v>
      </c>
      <c r="G204" s="1">
        <v>11</v>
      </c>
      <c r="H204" s="1">
        <v>147</v>
      </c>
      <c r="I204" s="1" t="s">
        <v>176</v>
      </c>
      <c r="J204" s="1">
        <v>45</v>
      </c>
      <c r="K204" s="1">
        <v>3</v>
      </c>
      <c r="L204" s="1">
        <v>12</v>
      </c>
      <c r="M204" s="1">
        <v>190</v>
      </c>
      <c r="N204" s="1">
        <v>6</v>
      </c>
      <c r="O204" s="1">
        <v>36.6</v>
      </c>
      <c r="P204" s="1">
        <v>38</v>
      </c>
      <c r="Q204" s="1">
        <v>7</v>
      </c>
      <c r="R204" s="1">
        <v>6.8</v>
      </c>
      <c r="S204" s="1">
        <v>5.9840563200000014</v>
      </c>
    </row>
    <row r="205" spans="1:19" x14ac:dyDescent="0.3">
      <c r="A205" s="1" t="s">
        <v>182</v>
      </c>
      <c r="B205" s="1" t="s">
        <v>99</v>
      </c>
      <c r="C205" s="1">
        <v>3</v>
      </c>
      <c r="D205" s="1">
        <v>13</v>
      </c>
      <c r="E205" s="1">
        <v>290</v>
      </c>
      <c r="F205" s="1">
        <v>55</v>
      </c>
      <c r="G205" s="1">
        <v>9</v>
      </c>
      <c r="H205" s="1">
        <v>110</v>
      </c>
      <c r="I205" s="1" t="s">
        <v>173</v>
      </c>
      <c r="J205" s="1">
        <v>47</v>
      </c>
      <c r="K205" s="1">
        <v>5</v>
      </c>
      <c r="L205" s="1">
        <v>11</v>
      </c>
      <c r="M205" s="1">
        <v>170</v>
      </c>
      <c r="N205" s="1">
        <v>4</v>
      </c>
      <c r="O205" s="1">
        <v>34</v>
      </c>
      <c r="P205" s="1">
        <v>30</v>
      </c>
      <c r="Q205" s="1">
        <v>6</v>
      </c>
      <c r="R205" s="1">
        <v>7</v>
      </c>
      <c r="S205" s="1">
        <v>3.4699392000000011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A4062-A93B-4408-90D6-AF108FB7E6D9}">
  <dimension ref="A1:J337"/>
  <sheetViews>
    <sheetView workbookViewId="0">
      <selection sqref="A1:J1"/>
    </sheetView>
  </sheetViews>
  <sheetFormatPr baseColWidth="10" defaultRowHeight="14.4" x14ac:dyDescent="0.3"/>
  <cols>
    <col min="1" max="16384" width="11.5546875" style="3"/>
  </cols>
  <sheetData>
    <row r="1" spans="1:10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127</v>
      </c>
      <c r="J1" s="2" t="s">
        <v>171</v>
      </c>
    </row>
    <row r="2" spans="1:10" x14ac:dyDescent="0.3">
      <c r="A2" s="1" t="s">
        <v>96</v>
      </c>
      <c r="B2" s="1" t="s">
        <v>172</v>
      </c>
      <c r="C2" s="1" t="s">
        <v>144</v>
      </c>
      <c r="D2" s="1">
        <v>1</v>
      </c>
      <c r="E2" s="1">
        <v>300</v>
      </c>
      <c r="F2" s="1">
        <v>59</v>
      </c>
      <c r="G2" s="1">
        <v>10</v>
      </c>
      <c r="H2" s="1">
        <v>76</v>
      </c>
      <c r="I2" s="1"/>
      <c r="J2" s="1"/>
    </row>
    <row r="3" spans="1:10" x14ac:dyDescent="0.3">
      <c r="A3" s="1" t="s">
        <v>96</v>
      </c>
      <c r="B3" s="1" t="s">
        <v>172</v>
      </c>
      <c r="C3" s="1" t="s">
        <v>144</v>
      </c>
      <c r="D3" s="1">
        <v>2</v>
      </c>
      <c r="E3" s="1">
        <v>340</v>
      </c>
      <c r="F3" s="1">
        <v>70</v>
      </c>
      <c r="G3" s="1">
        <v>14</v>
      </c>
      <c r="H3" s="1">
        <v>120</v>
      </c>
      <c r="I3" s="1">
        <v>184</v>
      </c>
      <c r="J3" s="1">
        <v>6</v>
      </c>
    </row>
    <row r="4" spans="1:10" x14ac:dyDescent="0.3">
      <c r="A4" s="1" t="s">
        <v>96</v>
      </c>
      <c r="B4" s="1" t="s">
        <v>172</v>
      </c>
      <c r="C4" s="1" t="s">
        <v>144</v>
      </c>
      <c r="D4" s="1">
        <v>3</v>
      </c>
      <c r="E4" s="1">
        <v>330</v>
      </c>
      <c r="F4" s="1">
        <v>63</v>
      </c>
      <c r="G4" s="1">
        <v>11</v>
      </c>
      <c r="H4" s="1">
        <v>138</v>
      </c>
      <c r="I4" s="1">
        <v>160</v>
      </c>
      <c r="J4" s="1">
        <v>7</v>
      </c>
    </row>
    <row r="5" spans="1:10" x14ac:dyDescent="0.3">
      <c r="A5" s="1" t="s">
        <v>96</v>
      </c>
      <c r="B5" s="1" t="s">
        <v>172</v>
      </c>
      <c r="C5" s="1" t="s">
        <v>144</v>
      </c>
      <c r="D5" s="1">
        <v>4</v>
      </c>
      <c r="E5" s="1">
        <v>265</v>
      </c>
      <c r="F5" s="1">
        <v>55</v>
      </c>
      <c r="G5" s="1">
        <v>11</v>
      </c>
      <c r="H5" s="1">
        <v>96</v>
      </c>
      <c r="I5" s="1"/>
      <c r="J5" s="1"/>
    </row>
    <row r="6" spans="1:10" x14ac:dyDescent="0.3">
      <c r="A6" s="1" t="s">
        <v>96</v>
      </c>
      <c r="B6" s="1" t="s">
        <v>172</v>
      </c>
      <c r="C6" s="1" t="s">
        <v>144</v>
      </c>
      <c r="D6" s="1">
        <v>5</v>
      </c>
      <c r="E6" s="1">
        <v>275</v>
      </c>
      <c r="F6" s="1">
        <v>54</v>
      </c>
      <c r="G6" s="1">
        <v>10</v>
      </c>
      <c r="H6" s="1">
        <v>90</v>
      </c>
      <c r="I6" s="1"/>
      <c r="J6" s="1"/>
    </row>
    <row r="7" spans="1:10" x14ac:dyDescent="0.3">
      <c r="A7" s="1" t="s">
        <v>96</v>
      </c>
      <c r="B7" s="1" t="s">
        <v>172</v>
      </c>
      <c r="C7" s="1" t="s">
        <v>144</v>
      </c>
      <c r="D7" s="1">
        <v>6</v>
      </c>
      <c r="E7" s="1">
        <v>270</v>
      </c>
      <c r="F7" s="1">
        <v>56</v>
      </c>
      <c r="G7" s="1">
        <v>10</v>
      </c>
      <c r="H7" s="1">
        <v>68</v>
      </c>
      <c r="I7" s="1"/>
      <c r="J7" s="1"/>
    </row>
    <row r="8" spans="1:10" x14ac:dyDescent="0.3">
      <c r="A8" s="1" t="s">
        <v>96</v>
      </c>
      <c r="B8" s="1" t="s">
        <v>172</v>
      </c>
      <c r="C8" s="1" t="s">
        <v>144</v>
      </c>
      <c r="D8" s="1">
        <v>7</v>
      </c>
      <c r="E8" s="1">
        <v>310</v>
      </c>
      <c r="F8" s="1">
        <v>65</v>
      </c>
      <c r="G8" s="1">
        <v>11</v>
      </c>
      <c r="H8" s="1">
        <v>153</v>
      </c>
      <c r="I8" s="1"/>
      <c r="J8" s="1"/>
    </row>
    <row r="9" spans="1:10" x14ac:dyDescent="0.3">
      <c r="A9" s="1" t="s">
        <v>96</v>
      </c>
      <c r="B9" s="1" t="s">
        <v>172</v>
      </c>
      <c r="C9" s="1" t="s">
        <v>144</v>
      </c>
      <c r="D9" s="1">
        <v>8</v>
      </c>
      <c r="E9" s="1">
        <v>300</v>
      </c>
      <c r="F9" s="1">
        <v>59</v>
      </c>
      <c r="G9" s="1">
        <v>13</v>
      </c>
      <c r="H9" s="1">
        <v>122</v>
      </c>
      <c r="I9" s="1">
        <v>167</v>
      </c>
      <c r="J9" s="1">
        <v>5</v>
      </c>
    </row>
    <row r="10" spans="1:10" x14ac:dyDescent="0.3">
      <c r="A10" s="1" t="s">
        <v>96</v>
      </c>
      <c r="B10" s="1" t="s">
        <v>172</v>
      </c>
      <c r="C10" s="1" t="s">
        <v>144</v>
      </c>
      <c r="D10" s="1">
        <v>9</v>
      </c>
      <c r="E10" s="1">
        <v>300</v>
      </c>
      <c r="F10" s="1">
        <v>64</v>
      </c>
      <c r="G10" s="1">
        <v>11</v>
      </c>
      <c r="H10" s="1">
        <v>87</v>
      </c>
      <c r="I10" s="1"/>
      <c r="J10" s="1"/>
    </row>
    <row r="11" spans="1:10" x14ac:dyDescent="0.3">
      <c r="A11" s="1" t="s">
        <v>96</v>
      </c>
      <c r="B11" s="1" t="s">
        <v>172</v>
      </c>
      <c r="C11" s="1" t="s">
        <v>144</v>
      </c>
      <c r="D11" s="1">
        <v>10</v>
      </c>
      <c r="E11" s="1">
        <v>272</v>
      </c>
      <c r="F11" s="1">
        <v>56</v>
      </c>
      <c r="G11" s="1">
        <v>12</v>
      </c>
      <c r="H11" s="1">
        <v>70</v>
      </c>
      <c r="I11" s="1"/>
      <c r="J11" s="1"/>
    </row>
    <row r="12" spans="1:10" x14ac:dyDescent="0.3">
      <c r="A12" s="1" t="s">
        <v>96</v>
      </c>
      <c r="B12" s="1" t="s">
        <v>172</v>
      </c>
      <c r="C12" s="1" t="s">
        <v>144</v>
      </c>
      <c r="D12" s="1">
        <v>11</v>
      </c>
      <c r="E12" s="1">
        <v>290</v>
      </c>
      <c r="F12" s="1">
        <v>57</v>
      </c>
      <c r="G12" s="1">
        <v>12</v>
      </c>
      <c r="H12" s="1">
        <v>80</v>
      </c>
      <c r="I12" s="1">
        <v>150</v>
      </c>
      <c r="J12" s="1">
        <v>6</v>
      </c>
    </row>
    <row r="13" spans="1:10" x14ac:dyDescent="0.3">
      <c r="A13" s="1" t="s">
        <v>96</v>
      </c>
      <c r="B13" s="1" t="s">
        <v>172</v>
      </c>
      <c r="C13" s="1" t="s">
        <v>144</v>
      </c>
      <c r="D13" s="1">
        <v>12</v>
      </c>
      <c r="E13" s="1">
        <v>330</v>
      </c>
      <c r="F13" s="1">
        <v>65</v>
      </c>
      <c r="G13" s="1">
        <v>13</v>
      </c>
      <c r="H13" s="1">
        <v>95</v>
      </c>
      <c r="I13" s="1"/>
      <c r="J13" s="1"/>
    </row>
    <row r="14" spans="1:10" x14ac:dyDescent="0.3">
      <c r="A14" s="1" t="s">
        <v>96</v>
      </c>
      <c r="B14" s="1" t="s">
        <v>172</v>
      </c>
      <c r="C14" s="1" t="s">
        <v>144</v>
      </c>
      <c r="D14" s="1">
        <v>13</v>
      </c>
      <c r="E14" s="1">
        <v>354</v>
      </c>
      <c r="F14" s="1">
        <v>70</v>
      </c>
      <c r="G14" s="1">
        <v>11</v>
      </c>
      <c r="H14" s="1">
        <v>172</v>
      </c>
      <c r="I14" s="1">
        <v>230</v>
      </c>
      <c r="J14" s="1">
        <v>6</v>
      </c>
    </row>
    <row r="15" spans="1:10" x14ac:dyDescent="0.3">
      <c r="A15" s="1" t="s">
        <v>96</v>
      </c>
      <c r="B15" s="1" t="s">
        <v>172</v>
      </c>
      <c r="C15" s="1" t="s">
        <v>144</v>
      </c>
      <c r="D15" s="1">
        <v>14</v>
      </c>
      <c r="E15" s="1">
        <v>340</v>
      </c>
      <c r="F15" s="1">
        <v>63</v>
      </c>
      <c r="G15" s="1">
        <v>13</v>
      </c>
      <c r="H15" s="1">
        <v>155</v>
      </c>
      <c r="I15" s="1">
        <v>215</v>
      </c>
      <c r="J15" s="1">
        <v>5</v>
      </c>
    </row>
    <row r="16" spans="1:10" x14ac:dyDescent="0.3">
      <c r="A16" s="1" t="s">
        <v>96</v>
      </c>
      <c r="B16" s="1" t="s">
        <v>97</v>
      </c>
      <c r="C16" s="1" t="s">
        <v>147</v>
      </c>
      <c r="D16" s="1">
        <v>1</v>
      </c>
      <c r="E16" s="1">
        <v>308</v>
      </c>
      <c r="F16" s="1">
        <v>61</v>
      </c>
      <c r="G16" s="1">
        <v>13</v>
      </c>
      <c r="H16" s="1">
        <v>95</v>
      </c>
      <c r="I16" s="1"/>
      <c r="J16" s="1"/>
    </row>
    <row r="17" spans="1:10" x14ac:dyDescent="0.3">
      <c r="A17" s="1" t="s">
        <v>96</v>
      </c>
      <c r="B17" s="1" t="s">
        <v>97</v>
      </c>
      <c r="C17" s="1" t="s">
        <v>147</v>
      </c>
      <c r="D17" s="1">
        <v>2</v>
      </c>
      <c r="E17" s="1">
        <v>370</v>
      </c>
      <c r="F17" s="1">
        <v>71</v>
      </c>
      <c r="G17" s="1">
        <v>14</v>
      </c>
      <c r="H17" s="1">
        <v>153</v>
      </c>
      <c r="I17" s="1">
        <v>245</v>
      </c>
      <c r="J17" s="1">
        <v>6</v>
      </c>
    </row>
    <row r="18" spans="1:10" x14ac:dyDescent="0.3">
      <c r="A18" s="1" t="s">
        <v>96</v>
      </c>
      <c r="B18" s="1" t="s">
        <v>97</v>
      </c>
      <c r="C18" s="1" t="s">
        <v>147</v>
      </c>
      <c r="D18" s="1">
        <v>3</v>
      </c>
      <c r="E18" s="1">
        <v>300</v>
      </c>
      <c r="F18" s="1">
        <v>60</v>
      </c>
      <c r="G18" s="1">
        <v>12</v>
      </c>
      <c r="H18" s="1">
        <v>90</v>
      </c>
      <c r="I18" s="1"/>
      <c r="J18" s="1"/>
    </row>
    <row r="19" spans="1:10" x14ac:dyDescent="0.3">
      <c r="A19" s="1" t="s">
        <v>96</v>
      </c>
      <c r="B19" s="1" t="s">
        <v>97</v>
      </c>
      <c r="C19" s="1" t="s">
        <v>147</v>
      </c>
      <c r="D19" s="1">
        <v>4</v>
      </c>
      <c r="E19" s="1">
        <v>310</v>
      </c>
      <c r="F19" s="1">
        <v>61</v>
      </c>
      <c r="G19" s="1">
        <v>10</v>
      </c>
      <c r="H19" s="1">
        <v>100</v>
      </c>
      <c r="I19" s="1"/>
      <c r="J19" s="1"/>
    </row>
    <row r="20" spans="1:10" x14ac:dyDescent="0.3">
      <c r="A20" s="1" t="s">
        <v>96</v>
      </c>
      <c r="B20" s="1" t="s">
        <v>97</v>
      </c>
      <c r="C20" s="1" t="s">
        <v>147</v>
      </c>
      <c r="D20" s="1">
        <v>5</v>
      </c>
      <c r="E20" s="1"/>
      <c r="F20" s="1"/>
      <c r="G20" s="1"/>
      <c r="H20" s="1"/>
      <c r="I20" s="1"/>
      <c r="J20" s="1"/>
    </row>
    <row r="21" spans="1:10" x14ac:dyDescent="0.3">
      <c r="A21" s="1" t="s">
        <v>96</v>
      </c>
      <c r="B21" s="1" t="s">
        <v>97</v>
      </c>
      <c r="C21" s="1" t="s">
        <v>147</v>
      </c>
      <c r="D21" s="1">
        <v>6</v>
      </c>
      <c r="E21" s="1">
        <v>307</v>
      </c>
      <c r="F21" s="1">
        <v>63</v>
      </c>
      <c r="G21" s="1">
        <v>9</v>
      </c>
      <c r="H21" s="1">
        <v>80</v>
      </c>
      <c r="I21" s="1"/>
      <c r="J21" s="1"/>
    </row>
    <row r="22" spans="1:10" x14ac:dyDescent="0.3">
      <c r="A22" s="1" t="s">
        <v>96</v>
      </c>
      <c r="B22" s="1" t="s">
        <v>97</v>
      </c>
      <c r="C22" s="1" t="s">
        <v>147</v>
      </c>
      <c r="D22" s="1">
        <v>7</v>
      </c>
      <c r="E22" s="1">
        <v>292</v>
      </c>
      <c r="F22" s="1">
        <v>61</v>
      </c>
      <c r="G22" s="1">
        <v>10</v>
      </c>
      <c r="H22" s="1">
        <v>67</v>
      </c>
      <c r="I22" s="1"/>
      <c r="J22" s="1"/>
    </row>
    <row r="23" spans="1:10" x14ac:dyDescent="0.3">
      <c r="A23" s="1" t="s">
        <v>96</v>
      </c>
      <c r="B23" s="1" t="s">
        <v>97</v>
      </c>
      <c r="C23" s="1" t="s">
        <v>147</v>
      </c>
      <c r="D23" s="1">
        <v>8</v>
      </c>
      <c r="E23" s="1">
        <v>260</v>
      </c>
      <c r="F23" s="1">
        <v>53</v>
      </c>
      <c r="G23" s="1">
        <v>9</v>
      </c>
      <c r="H23" s="1">
        <v>78</v>
      </c>
      <c r="I23" s="1"/>
      <c r="J23" s="1"/>
    </row>
    <row r="24" spans="1:10" x14ac:dyDescent="0.3">
      <c r="A24" s="1" t="s">
        <v>96</v>
      </c>
      <c r="B24" s="1" t="s">
        <v>97</v>
      </c>
      <c r="C24" s="1" t="s">
        <v>147</v>
      </c>
      <c r="D24" s="1">
        <v>9</v>
      </c>
      <c r="E24" s="1">
        <v>330</v>
      </c>
      <c r="F24" s="1">
        <v>64</v>
      </c>
      <c r="G24" s="1">
        <v>12</v>
      </c>
      <c r="H24" s="1">
        <v>120</v>
      </c>
      <c r="I24" s="1">
        <v>205</v>
      </c>
      <c r="J24" s="1">
        <v>6</v>
      </c>
    </row>
    <row r="25" spans="1:10" x14ac:dyDescent="0.3">
      <c r="A25" s="1" t="s">
        <v>96</v>
      </c>
      <c r="B25" s="1" t="s">
        <v>97</v>
      </c>
      <c r="C25" s="1" t="s">
        <v>147</v>
      </c>
      <c r="D25" s="1">
        <v>10</v>
      </c>
      <c r="E25" s="1">
        <v>310</v>
      </c>
      <c r="F25" s="1">
        <v>62</v>
      </c>
      <c r="G25" s="1">
        <v>10</v>
      </c>
      <c r="H25" s="1">
        <v>110</v>
      </c>
      <c r="I25" s="1"/>
      <c r="J25" s="1"/>
    </row>
    <row r="26" spans="1:10" x14ac:dyDescent="0.3">
      <c r="A26" s="1" t="s">
        <v>96</v>
      </c>
      <c r="B26" s="1" t="s">
        <v>97</v>
      </c>
      <c r="C26" s="1" t="s">
        <v>147</v>
      </c>
      <c r="D26" s="1">
        <v>11</v>
      </c>
      <c r="E26" s="1">
        <v>305</v>
      </c>
      <c r="F26" s="1">
        <v>60</v>
      </c>
      <c r="G26" s="1">
        <v>13</v>
      </c>
      <c r="H26" s="1">
        <v>60</v>
      </c>
      <c r="I26" s="1">
        <v>160</v>
      </c>
      <c r="J26" s="1">
        <v>5</v>
      </c>
    </row>
    <row r="27" spans="1:10" x14ac:dyDescent="0.3">
      <c r="A27" s="1" t="s">
        <v>96</v>
      </c>
      <c r="B27" s="1" t="s">
        <v>97</v>
      </c>
      <c r="C27" s="1" t="s">
        <v>147</v>
      </c>
      <c r="D27" s="1">
        <v>12</v>
      </c>
      <c r="E27" s="1">
        <v>330</v>
      </c>
      <c r="F27" s="1">
        <v>63</v>
      </c>
      <c r="G27" s="1">
        <v>12</v>
      </c>
      <c r="H27" s="1">
        <v>100</v>
      </c>
      <c r="I27" s="1">
        <v>166</v>
      </c>
      <c r="J27" s="1">
        <v>5</v>
      </c>
    </row>
    <row r="28" spans="1:10" x14ac:dyDescent="0.3">
      <c r="A28" s="1" t="s">
        <v>96</v>
      </c>
      <c r="B28" s="1" t="s">
        <v>97</v>
      </c>
      <c r="C28" s="1" t="s">
        <v>147</v>
      </c>
      <c r="D28" s="1">
        <v>13</v>
      </c>
      <c r="E28" s="1">
        <v>330</v>
      </c>
      <c r="F28" s="1">
        <v>65</v>
      </c>
      <c r="G28" s="1">
        <v>13</v>
      </c>
      <c r="H28" s="1">
        <v>132</v>
      </c>
      <c r="I28" s="1">
        <v>220</v>
      </c>
      <c r="J28" s="1">
        <v>5</v>
      </c>
    </row>
    <row r="29" spans="1:10" x14ac:dyDescent="0.3">
      <c r="A29" s="1" t="s">
        <v>96</v>
      </c>
      <c r="B29" s="1" t="s">
        <v>97</v>
      </c>
      <c r="C29" s="1" t="s">
        <v>147</v>
      </c>
      <c r="D29" s="1">
        <v>14</v>
      </c>
      <c r="E29" s="1">
        <v>295</v>
      </c>
      <c r="F29" s="1">
        <v>59</v>
      </c>
      <c r="G29" s="1">
        <v>11</v>
      </c>
      <c r="H29" s="1">
        <v>105</v>
      </c>
      <c r="I29" s="1">
        <v>182</v>
      </c>
      <c r="J29" s="1">
        <v>5</v>
      </c>
    </row>
    <row r="30" spans="1:10" x14ac:dyDescent="0.3">
      <c r="A30" s="1" t="s">
        <v>96</v>
      </c>
      <c r="B30" s="1" t="s">
        <v>109</v>
      </c>
      <c r="C30" s="1" t="s">
        <v>144</v>
      </c>
      <c r="D30" s="1">
        <v>1</v>
      </c>
      <c r="E30" s="1">
        <v>360</v>
      </c>
      <c r="F30" s="1">
        <v>67</v>
      </c>
      <c r="G30" s="1">
        <v>13</v>
      </c>
      <c r="H30" s="1">
        <v>118</v>
      </c>
      <c r="I30" s="1">
        <v>190</v>
      </c>
      <c r="J30" s="1">
        <v>6</v>
      </c>
    </row>
    <row r="31" spans="1:10" x14ac:dyDescent="0.3">
      <c r="A31" s="1" t="s">
        <v>96</v>
      </c>
      <c r="B31" s="1" t="s">
        <v>109</v>
      </c>
      <c r="C31" s="1" t="s">
        <v>144</v>
      </c>
      <c r="D31" s="1">
        <v>2</v>
      </c>
      <c r="E31" s="1">
        <v>330</v>
      </c>
      <c r="F31" s="1">
        <v>60</v>
      </c>
      <c r="G31" s="1">
        <v>12</v>
      </c>
      <c r="H31" s="1">
        <v>80</v>
      </c>
      <c r="I31" s="1">
        <v>170</v>
      </c>
      <c r="J31" s="1">
        <v>5</v>
      </c>
    </row>
    <row r="32" spans="1:10" x14ac:dyDescent="0.3">
      <c r="A32" s="1" t="s">
        <v>96</v>
      </c>
      <c r="B32" s="1" t="s">
        <v>109</v>
      </c>
      <c r="C32" s="1" t="s">
        <v>144</v>
      </c>
      <c r="D32" s="1">
        <v>3</v>
      </c>
      <c r="E32" s="1">
        <v>300</v>
      </c>
      <c r="F32" s="1">
        <v>62</v>
      </c>
      <c r="G32" s="1">
        <v>8</v>
      </c>
      <c r="H32" s="1">
        <v>125</v>
      </c>
      <c r="I32" s="1"/>
      <c r="J32" s="1"/>
    </row>
    <row r="33" spans="1:10" x14ac:dyDescent="0.3">
      <c r="A33" s="1" t="s">
        <v>96</v>
      </c>
      <c r="B33" s="1" t="s">
        <v>109</v>
      </c>
      <c r="C33" s="1" t="s">
        <v>144</v>
      </c>
      <c r="D33" s="1">
        <v>4</v>
      </c>
      <c r="E33" s="1">
        <v>357</v>
      </c>
      <c r="F33" s="1">
        <v>72</v>
      </c>
      <c r="G33" s="1">
        <v>13</v>
      </c>
      <c r="H33" s="1">
        <v>125</v>
      </c>
      <c r="I33" s="1">
        <v>235</v>
      </c>
      <c r="J33" s="1">
        <v>5</v>
      </c>
    </row>
    <row r="34" spans="1:10" x14ac:dyDescent="0.3">
      <c r="A34" s="1" t="s">
        <v>96</v>
      </c>
      <c r="B34" s="1" t="s">
        <v>109</v>
      </c>
      <c r="C34" s="1" t="s">
        <v>144</v>
      </c>
      <c r="D34" s="1">
        <v>5</v>
      </c>
      <c r="E34" s="1">
        <v>355</v>
      </c>
      <c r="F34" s="1">
        <v>64</v>
      </c>
      <c r="G34" s="1">
        <v>13</v>
      </c>
      <c r="H34" s="1">
        <v>125</v>
      </c>
      <c r="I34" s="1">
        <v>213</v>
      </c>
      <c r="J34" s="1">
        <v>5</v>
      </c>
    </row>
    <row r="35" spans="1:10" x14ac:dyDescent="0.3">
      <c r="A35" s="1" t="s">
        <v>96</v>
      </c>
      <c r="B35" s="1" t="s">
        <v>109</v>
      </c>
      <c r="C35" s="1" t="s">
        <v>144</v>
      </c>
      <c r="D35" s="1">
        <v>6</v>
      </c>
      <c r="E35" s="1">
        <v>345</v>
      </c>
      <c r="F35" s="1">
        <v>66</v>
      </c>
      <c r="G35" s="1">
        <v>13</v>
      </c>
      <c r="H35" s="1">
        <v>148</v>
      </c>
      <c r="I35" s="1">
        <v>215</v>
      </c>
      <c r="J35" s="1">
        <v>6</v>
      </c>
    </row>
    <row r="36" spans="1:10" x14ac:dyDescent="0.3">
      <c r="A36" s="1" t="s">
        <v>96</v>
      </c>
      <c r="B36" s="1" t="s">
        <v>109</v>
      </c>
      <c r="C36" s="1" t="s">
        <v>144</v>
      </c>
      <c r="D36" s="1">
        <v>7</v>
      </c>
      <c r="E36" s="1">
        <v>360</v>
      </c>
      <c r="F36" s="1">
        <v>70</v>
      </c>
      <c r="G36" s="1">
        <v>10</v>
      </c>
      <c r="H36" s="1">
        <v>164</v>
      </c>
      <c r="I36" s="1"/>
      <c r="J36" s="1"/>
    </row>
    <row r="37" spans="1:10" x14ac:dyDescent="0.3">
      <c r="A37" s="1" t="s">
        <v>96</v>
      </c>
      <c r="B37" s="1" t="s">
        <v>109</v>
      </c>
      <c r="C37" s="1" t="s">
        <v>144</v>
      </c>
      <c r="D37" s="1">
        <v>8</v>
      </c>
      <c r="E37" s="1">
        <v>344</v>
      </c>
      <c r="F37" s="1">
        <v>69</v>
      </c>
      <c r="G37" s="1">
        <v>10</v>
      </c>
      <c r="H37" s="1">
        <v>128</v>
      </c>
      <c r="I37" s="1"/>
      <c r="J37" s="1"/>
    </row>
    <row r="38" spans="1:10" x14ac:dyDescent="0.3">
      <c r="A38" s="1" t="s">
        <v>96</v>
      </c>
      <c r="B38" s="1" t="s">
        <v>109</v>
      </c>
      <c r="C38" s="1" t="s">
        <v>144</v>
      </c>
      <c r="D38" s="1">
        <v>9</v>
      </c>
      <c r="E38" s="1">
        <v>315</v>
      </c>
      <c r="F38" s="1">
        <v>60</v>
      </c>
      <c r="G38" s="1">
        <v>12</v>
      </c>
      <c r="H38" s="1">
        <v>122</v>
      </c>
      <c r="I38" s="1"/>
      <c r="J38" s="1"/>
    </row>
    <row r="39" spans="1:10" x14ac:dyDescent="0.3">
      <c r="A39" s="1" t="s">
        <v>96</v>
      </c>
      <c r="B39" s="1" t="s">
        <v>109</v>
      </c>
      <c r="C39" s="1" t="s">
        <v>144</v>
      </c>
      <c r="D39" s="1">
        <v>10</v>
      </c>
      <c r="E39" s="1">
        <v>336</v>
      </c>
      <c r="F39" s="1">
        <v>67</v>
      </c>
      <c r="G39" s="1">
        <v>12</v>
      </c>
      <c r="H39" s="1">
        <v>124</v>
      </c>
      <c r="I39" s="1">
        <v>190</v>
      </c>
      <c r="J39" s="1">
        <v>7</v>
      </c>
    </row>
    <row r="40" spans="1:10" x14ac:dyDescent="0.3">
      <c r="A40" s="1" t="s">
        <v>96</v>
      </c>
      <c r="B40" s="1" t="s">
        <v>109</v>
      </c>
      <c r="C40" s="1" t="s">
        <v>144</v>
      </c>
      <c r="D40" s="1">
        <v>11</v>
      </c>
      <c r="E40" s="1">
        <v>305</v>
      </c>
      <c r="F40" s="1">
        <v>62</v>
      </c>
      <c r="G40" s="1">
        <v>13</v>
      </c>
      <c r="H40" s="1">
        <v>110</v>
      </c>
      <c r="I40" s="1">
        <v>173</v>
      </c>
      <c r="J40" s="1">
        <v>5</v>
      </c>
    </row>
    <row r="41" spans="1:10" x14ac:dyDescent="0.3">
      <c r="A41" s="1" t="s">
        <v>96</v>
      </c>
      <c r="B41" s="1" t="s">
        <v>109</v>
      </c>
      <c r="C41" s="1" t="s">
        <v>144</v>
      </c>
      <c r="D41" s="1">
        <v>12</v>
      </c>
      <c r="E41" s="1">
        <v>305</v>
      </c>
      <c r="F41" s="1">
        <v>62</v>
      </c>
      <c r="G41" s="1">
        <v>13</v>
      </c>
      <c r="H41" s="1">
        <v>110</v>
      </c>
      <c r="I41" s="1">
        <v>184</v>
      </c>
      <c r="J41" s="1">
        <v>4</v>
      </c>
    </row>
    <row r="42" spans="1:10" x14ac:dyDescent="0.3">
      <c r="A42" s="1" t="s">
        <v>96</v>
      </c>
      <c r="B42" s="1" t="s">
        <v>109</v>
      </c>
      <c r="C42" s="1" t="s">
        <v>144</v>
      </c>
      <c r="D42" s="1">
        <v>13</v>
      </c>
      <c r="E42" s="1">
        <v>298</v>
      </c>
      <c r="F42" s="1">
        <v>58</v>
      </c>
      <c r="G42" s="1">
        <v>13</v>
      </c>
      <c r="H42" s="1">
        <v>102</v>
      </c>
      <c r="I42" s="1">
        <v>160</v>
      </c>
      <c r="J42" s="1">
        <v>5</v>
      </c>
    </row>
    <row r="43" spans="1:10" x14ac:dyDescent="0.3">
      <c r="A43" s="1" t="s">
        <v>96</v>
      </c>
      <c r="B43" s="1" t="s">
        <v>109</v>
      </c>
      <c r="C43" s="1" t="s">
        <v>144</v>
      </c>
      <c r="D43" s="1">
        <v>14</v>
      </c>
      <c r="E43" s="1">
        <v>318</v>
      </c>
      <c r="F43" s="1">
        <v>65</v>
      </c>
      <c r="G43" s="1">
        <v>13</v>
      </c>
      <c r="H43" s="1">
        <v>105</v>
      </c>
      <c r="I43" s="1">
        <v>175</v>
      </c>
      <c r="J43" s="1">
        <v>6</v>
      </c>
    </row>
    <row r="44" spans="1:10" x14ac:dyDescent="0.3">
      <c r="A44" s="1" t="s">
        <v>96</v>
      </c>
      <c r="B44" s="1" t="s">
        <v>99</v>
      </c>
      <c r="C44" s="1" t="s">
        <v>147</v>
      </c>
      <c r="D44" s="1">
        <v>1</v>
      </c>
      <c r="E44" s="1">
        <v>380</v>
      </c>
      <c r="F44" s="1">
        <v>73</v>
      </c>
      <c r="G44" s="1">
        <v>12</v>
      </c>
      <c r="H44" s="1">
        <v>185</v>
      </c>
      <c r="I44" s="1">
        <v>235</v>
      </c>
      <c r="J44" s="1">
        <v>7</v>
      </c>
    </row>
    <row r="45" spans="1:10" x14ac:dyDescent="0.3">
      <c r="A45" s="1" t="s">
        <v>96</v>
      </c>
      <c r="B45" s="1" t="s">
        <v>99</v>
      </c>
      <c r="C45" s="1" t="s">
        <v>147</v>
      </c>
      <c r="D45" s="1">
        <v>2</v>
      </c>
      <c r="E45" s="1">
        <v>327</v>
      </c>
      <c r="F45" s="1">
        <v>66</v>
      </c>
      <c r="G45" s="1">
        <v>12</v>
      </c>
      <c r="H45" s="1">
        <v>88</v>
      </c>
      <c r="I45" s="1">
        <v>140</v>
      </c>
      <c r="J45" s="1">
        <v>7</v>
      </c>
    </row>
    <row r="46" spans="1:10" x14ac:dyDescent="0.3">
      <c r="A46" s="1" t="s">
        <v>96</v>
      </c>
      <c r="B46" s="1" t="s">
        <v>99</v>
      </c>
      <c r="C46" s="1" t="s">
        <v>147</v>
      </c>
      <c r="D46" s="1">
        <v>3</v>
      </c>
      <c r="E46" s="1">
        <v>378</v>
      </c>
      <c r="F46" s="1">
        <v>74</v>
      </c>
      <c r="G46" s="1">
        <v>16</v>
      </c>
      <c r="H46" s="1">
        <v>100</v>
      </c>
      <c r="I46" s="1">
        <v>183</v>
      </c>
      <c r="J46" s="1">
        <v>7</v>
      </c>
    </row>
    <row r="47" spans="1:10" x14ac:dyDescent="0.3">
      <c r="A47" s="1" t="s">
        <v>96</v>
      </c>
      <c r="B47" s="1" t="s">
        <v>99</v>
      </c>
      <c r="C47" s="1" t="s">
        <v>147</v>
      </c>
      <c r="D47" s="1">
        <v>4</v>
      </c>
      <c r="E47" s="1">
        <v>305</v>
      </c>
      <c r="F47" s="1">
        <v>63</v>
      </c>
      <c r="G47" s="1">
        <v>13</v>
      </c>
      <c r="H47" s="1">
        <v>130</v>
      </c>
      <c r="I47" s="1">
        <v>195</v>
      </c>
      <c r="J47" s="1">
        <v>5</v>
      </c>
    </row>
    <row r="48" spans="1:10" x14ac:dyDescent="0.3">
      <c r="A48" s="1" t="s">
        <v>96</v>
      </c>
      <c r="B48" s="1" t="s">
        <v>99</v>
      </c>
      <c r="C48" s="1" t="s">
        <v>147</v>
      </c>
      <c r="D48" s="1">
        <v>5</v>
      </c>
      <c r="E48" s="1">
        <v>360</v>
      </c>
      <c r="F48" s="1">
        <v>71</v>
      </c>
      <c r="G48" s="1">
        <v>13</v>
      </c>
      <c r="H48" s="1">
        <v>140</v>
      </c>
      <c r="I48" s="1">
        <v>210</v>
      </c>
      <c r="J48" s="1">
        <v>4</v>
      </c>
    </row>
    <row r="49" spans="1:10" x14ac:dyDescent="0.3">
      <c r="A49" s="1" t="s">
        <v>96</v>
      </c>
      <c r="B49" s="1" t="s">
        <v>99</v>
      </c>
      <c r="C49" s="1" t="s">
        <v>147</v>
      </c>
      <c r="D49" s="1">
        <v>6</v>
      </c>
      <c r="E49" s="1">
        <v>366</v>
      </c>
      <c r="F49" s="1">
        <v>69</v>
      </c>
      <c r="G49" s="1">
        <v>13</v>
      </c>
      <c r="H49" s="1">
        <v>120</v>
      </c>
      <c r="I49" s="1">
        <v>200</v>
      </c>
      <c r="J49" s="1">
        <v>5</v>
      </c>
    </row>
    <row r="50" spans="1:10" x14ac:dyDescent="0.3">
      <c r="A50" s="1" t="s">
        <v>96</v>
      </c>
      <c r="B50" s="1" t="s">
        <v>99</v>
      </c>
      <c r="C50" s="1" t="s">
        <v>147</v>
      </c>
      <c r="D50" s="1">
        <v>7</v>
      </c>
      <c r="E50" s="1">
        <v>361</v>
      </c>
      <c r="F50" s="1">
        <v>62</v>
      </c>
      <c r="G50" s="1">
        <v>12</v>
      </c>
      <c r="H50" s="1">
        <v>90</v>
      </c>
      <c r="I50" s="1">
        <v>155</v>
      </c>
      <c r="J50" s="1">
        <v>6</v>
      </c>
    </row>
    <row r="51" spans="1:10" x14ac:dyDescent="0.3">
      <c r="A51" s="1" t="s">
        <v>96</v>
      </c>
      <c r="B51" s="1" t="s">
        <v>99</v>
      </c>
      <c r="C51" s="1" t="s">
        <v>147</v>
      </c>
      <c r="D51" s="1">
        <v>8</v>
      </c>
      <c r="E51" s="1">
        <v>325</v>
      </c>
      <c r="F51" s="1">
        <v>65</v>
      </c>
      <c r="G51" s="1">
        <v>14</v>
      </c>
      <c r="H51" s="1">
        <v>110</v>
      </c>
      <c r="I51" s="1">
        <v>170</v>
      </c>
      <c r="J51" s="1">
        <v>5</v>
      </c>
    </row>
    <row r="52" spans="1:10" x14ac:dyDescent="0.3">
      <c r="A52" s="1" t="s">
        <v>96</v>
      </c>
      <c r="B52" s="1" t="s">
        <v>99</v>
      </c>
      <c r="C52" s="1" t="s">
        <v>147</v>
      </c>
      <c r="D52" s="1">
        <v>9</v>
      </c>
      <c r="E52" s="1"/>
      <c r="F52" s="1"/>
      <c r="G52" s="1"/>
      <c r="H52" s="1"/>
      <c r="I52" s="1"/>
      <c r="J52" s="1"/>
    </row>
    <row r="53" spans="1:10" x14ac:dyDescent="0.3">
      <c r="A53" s="1" t="s">
        <v>96</v>
      </c>
      <c r="B53" s="1" t="s">
        <v>99</v>
      </c>
      <c r="C53" s="1" t="s">
        <v>147</v>
      </c>
      <c r="D53" s="1">
        <v>10</v>
      </c>
      <c r="E53" s="1">
        <v>310</v>
      </c>
      <c r="F53" s="1">
        <v>60</v>
      </c>
      <c r="G53" s="1">
        <v>12</v>
      </c>
      <c r="H53" s="1">
        <v>120</v>
      </c>
      <c r="I53" s="1"/>
      <c r="J53" s="1"/>
    </row>
    <row r="54" spans="1:10" x14ac:dyDescent="0.3">
      <c r="A54" s="1" t="s">
        <v>96</v>
      </c>
      <c r="B54" s="1" t="s">
        <v>99</v>
      </c>
      <c r="C54" s="1" t="s">
        <v>147</v>
      </c>
      <c r="D54" s="1">
        <v>11</v>
      </c>
      <c r="E54" s="1">
        <v>300</v>
      </c>
      <c r="F54" s="1">
        <v>59</v>
      </c>
      <c r="G54" s="1">
        <v>12</v>
      </c>
      <c r="H54" s="1">
        <v>100</v>
      </c>
      <c r="I54" s="1"/>
      <c r="J54" s="1"/>
    </row>
    <row r="55" spans="1:10" x14ac:dyDescent="0.3">
      <c r="A55" s="1" t="s">
        <v>96</v>
      </c>
      <c r="B55" s="1" t="s">
        <v>99</v>
      </c>
      <c r="C55" s="1" t="s">
        <v>147</v>
      </c>
      <c r="D55" s="1">
        <v>12</v>
      </c>
      <c r="E55" s="1">
        <v>330</v>
      </c>
      <c r="F55" s="1">
        <v>64</v>
      </c>
      <c r="G55" s="1">
        <v>12</v>
      </c>
      <c r="H55" s="1">
        <v>135</v>
      </c>
      <c r="I55" s="1">
        <v>190</v>
      </c>
      <c r="J55" s="1">
        <v>5</v>
      </c>
    </row>
    <row r="56" spans="1:10" x14ac:dyDescent="0.3">
      <c r="A56" s="1" t="s">
        <v>96</v>
      </c>
      <c r="B56" s="1" t="s">
        <v>99</v>
      </c>
      <c r="C56" s="1" t="s">
        <v>147</v>
      </c>
      <c r="D56" s="1">
        <v>13</v>
      </c>
      <c r="E56" s="1">
        <v>362</v>
      </c>
      <c r="F56" s="1">
        <v>69</v>
      </c>
      <c r="G56" s="1">
        <v>14</v>
      </c>
      <c r="H56" s="1">
        <v>83</v>
      </c>
      <c r="I56" s="1">
        <v>172</v>
      </c>
      <c r="J56" s="1">
        <v>7</v>
      </c>
    </row>
    <row r="57" spans="1:10" x14ac:dyDescent="0.3">
      <c r="A57" s="1" t="s">
        <v>96</v>
      </c>
      <c r="B57" s="1" t="s">
        <v>99</v>
      </c>
      <c r="C57" s="1" t="s">
        <v>147</v>
      </c>
      <c r="D57" s="1">
        <v>14</v>
      </c>
      <c r="E57" s="1">
        <v>337</v>
      </c>
      <c r="F57" s="1">
        <v>69</v>
      </c>
      <c r="G57" s="1">
        <v>13</v>
      </c>
      <c r="H57" s="1">
        <v>95</v>
      </c>
      <c r="I57" s="1">
        <v>158</v>
      </c>
      <c r="J57" s="1">
        <v>7</v>
      </c>
    </row>
    <row r="58" spans="1:10" x14ac:dyDescent="0.3">
      <c r="A58" s="1" t="s">
        <v>96</v>
      </c>
      <c r="B58" s="1" t="s">
        <v>109</v>
      </c>
      <c r="C58" s="1" t="s">
        <v>146</v>
      </c>
      <c r="D58" s="1">
        <v>1</v>
      </c>
      <c r="E58" s="1">
        <v>383</v>
      </c>
      <c r="F58" s="1">
        <v>78</v>
      </c>
      <c r="G58" s="1">
        <v>15</v>
      </c>
      <c r="H58" s="1">
        <v>180</v>
      </c>
      <c r="I58" s="1">
        <v>237</v>
      </c>
      <c r="J58" s="1">
        <v>7</v>
      </c>
    </row>
    <row r="59" spans="1:10" x14ac:dyDescent="0.3">
      <c r="A59" s="1" t="s">
        <v>96</v>
      </c>
      <c r="B59" s="1" t="s">
        <v>109</v>
      </c>
      <c r="C59" s="1" t="s">
        <v>146</v>
      </c>
      <c r="D59" s="1">
        <v>2</v>
      </c>
      <c r="E59" s="1">
        <v>336</v>
      </c>
      <c r="F59" s="1">
        <v>72</v>
      </c>
      <c r="G59" s="1">
        <v>11</v>
      </c>
      <c r="H59" s="1">
        <v>114</v>
      </c>
      <c r="I59" s="1"/>
      <c r="J59" s="1"/>
    </row>
    <row r="60" spans="1:10" x14ac:dyDescent="0.3">
      <c r="A60" s="1" t="s">
        <v>96</v>
      </c>
      <c r="B60" s="1" t="s">
        <v>109</v>
      </c>
      <c r="C60" s="1" t="s">
        <v>146</v>
      </c>
      <c r="D60" s="1">
        <v>3</v>
      </c>
      <c r="E60" s="1">
        <v>334</v>
      </c>
      <c r="F60" s="1">
        <v>68</v>
      </c>
      <c r="G60" s="1">
        <v>14</v>
      </c>
      <c r="H60" s="1">
        <v>130</v>
      </c>
      <c r="I60" s="1">
        <v>190</v>
      </c>
      <c r="J60" s="1">
        <v>5</v>
      </c>
    </row>
    <row r="61" spans="1:10" x14ac:dyDescent="0.3">
      <c r="A61" s="1" t="s">
        <v>96</v>
      </c>
      <c r="B61" s="1" t="s">
        <v>109</v>
      </c>
      <c r="C61" s="1" t="s">
        <v>146</v>
      </c>
      <c r="D61" s="1">
        <v>4</v>
      </c>
      <c r="E61" s="1">
        <v>350</v>
      </c>
      <c r="F61" s="1">
        <v>71</v>
      </c>
      <c r="G61" s="1">
        <v>12</v>
      </c>
      <c r="H61" s="1">
        <v>168</v>
      </c>
      <c r="I61" s="1">
        <v>215</v>
      </c>
      <c r="J61" s="1">
        <v>6</v>
      </c>
    </row>
    <row r="62" spans="1:10" x14ac:dyDescent="0.3">
      <c r="A62" s="1" t="s">
        <v>96</v>
      </c>
      <c r="B62" s="1" t="s">
        <v>109</v>
      </c>
      <c r="C62" s="1" t="s">
        <v>146</v>
      </c>
      <c r="D62" s="1">
        <v>5</v>
      </c>
      <c r="E62" s="1">
        <v>330</v>
      </c>
      <c r="F62" s="1">
        <v>64</v>
      </c>
      <c r="G62" s="1">
        <v>11</v>
      </c>
      <c r="H62" s="1">
        <v>165</v>
      </c>
      <c r="I62" s="1">
        <v>215</v>
      </c>
      <c r="J62" s="1">
        <v>6</v>
      </c>
    </row>
    <row r="63" spans="1:10" x14ac:dyDescent="0.3">
      <c r="A63" s="1" t="s">
        <v>96</v>
      </c>
      <c r="B63" s="1" t="s">
        <v>109</v>
      </c>
      <c r="C63" s="1" t="s">
        <v>146</v>
      </c>
      <c r="D63" s="1">
        <v>6</v>
      </c>
      <c r="E63" s="1">
        <v>325</v>
      </c>
      <c r="F63" s="1">
        <v>61</v>
      </c>
      <c r="G63" s="1">
        <v>13</v>
      </c>
      <c r="H63" s="1">
        <v>95</v>
      </c>
      <c r="I63" s="1">
        <v>164</v>
      </c>
      <c r="J63" s="1">
        <v>4</v>
      </c>
    </row>
    <row r="64" spans="1:10" x14ac:dyDescent="0.3">
      <c r="A64" s="1" t="s">
        <v>96</v>
      </c>
      <c r="B64" s="1" t="s">
        <v>109</v>
      </c>
      <c r="C64" s="1" t="s">
        <v>146</v>
      </c>
      <c r="D64" s="1">
        <v>7</v>
      </c>
      <c r="E64" s="1">
        <v>345</v>
      </c>
      <c r="F64" s="1">
        <v>66</v>
      </c>
      <c r="G64" s="1">
        <v>11</v>
      </c>
      <c r="H64" s="1">
        <v>144</v>
      </c>
      <c r="I64" s="1">
        <v>175</v>
      </c>
      <c r="J64" s="1">
        <v>8</v>
      </c>
    </row>
    <row r="65" spans="1:10" x14ac:dyDescent="0.3">
      <c r="A65" s="1" t="s">
        <v>96</v>
      </c>
      <c r="B65" s="1" t="s">
        <v>109</v>
      </c>
      <c r="C65" s="1" t="s">
        <v>146</v>
      </c>
      <c r="D65" s="1">
        <v>8</v>
      </c>
      <c r="E65" s="1">
        <v>370</v>
      </c>
      <c r="F65" s="1">
        <v>69</v>
      </c>
      <c r="G65" s="1">
        <v>14</v>
      </c>
      <c r="H65" s="1">
        <v>125</v>
      </c>
      <c r="I65" s="1">
        <v>198</v>
      </c>
      <c r="J65" s="1">
        <v>4</v>
      </c>
    </row>
    <row r="66" spans="1:10" x14ac:dyDescent="0.3">
      <c r="A66" s="1" t="s">
        <v>96</v>
      </c>
      <c r="B66" s="1" t="s">
        <v>109</v>
      </c>
      <c r="C66" s="1" t="s">
        <v>146</v>
      </c>
      <c r="D66" s="1">
        <v>9</v>
      </c>
      <c r="E66" s="1">
        <v>363</v>
      </c>
      <c r="F66" s="1">
        <v>70</v>
      </c>
      <c r="G66" s="1">
        <v>12</v>
      </c>
      <c r="H66" s="1">
        <v>100</v>
      </c>
      <c r="I66" s="1">
        <v>180</v>
      </c>
      <c r="J66" s="1">
        <v>5</v>
      </c>
    </row>
    <row r="67" spans="1:10" x14ac:dyDescent="0.3">
      <c r="A67" s="1" t="s">
        <v>96</v>
      </c>
      <c r="B67" s="1" t="s">
        <v>109</v>
      </c>
      <c r="C67" s="1" t="s">
        <v>146</v>
      </c>
      <c r="D67" s="1">
        <v>10</v>
      </c>
      <c r="E67" s="1">
        <v>300</v>
      </c>
      <c r="F67" s="1">
        <v>60</v>
      </c>
      <c r="G67" s="1">
        <v>7</v>
      </c>
      <c r="H67" s="1">
        <v>161</v>
      </c>
      <c r="I67" s="1"/>
      <c r="J67" s="1"/>
    </row>
    <row r="68" spans="1:10" x14ac:dyDescent="0.3">
      <c r="A68" s="1" t="s">
        <v>96</v>
      </c>
      <c r="B68" s="1" t="s">
        <v>109</v>
      </c>
      <c r="C68" s="1" t="s">
        <v>146</v>
      </c>
      <c r="D68" s="1">
        <v>11</v>
      </c>
      <c r="E68" s="1">
        <v>340</v>
      </c>
      <c r="F68" s="1">
        <v>71</v>
      </c>
      <c r="G68" s="1">
        <v>12</v>
      </c>
      <c r="H68" s="1">
        <v>80</v>
      </c>
      <c r="I68" s="1"/>
      <c r="J68" s="1"/>
    </row>
    <row r="69" spans="1:10" x14ac:dyDescent="0.3">
      <c r="A69" s="1" t="s">
        <v>96</v>
      </c>
      <c r="B69" s="1" t="s">
        <v>109</v>
      </c>
      <c r="C69" s="1" t="s">
        <v>146</v>
      </c>
      <c r="D69" s="1">
        <v>12</v>
      </c>
      <c r="E69" s="1">
        <v>350</v>
      </c>
      <c r="F69" s="1">
        <v>63</v>
      </c>
      <c r="G69" s="1">
        <v>12</v>
      </c>
      <c r="H69" s="1">
        <v>156</v>
      </c>
      <c r="I69" s="1">
        <v>185</v>
      </c>
      <c r="J69" s="1">
        <v>6</v>
      </c>
    </row>
    <row r="70" spans="1:10" x14ac:dyDescent="0.3">
      <c r="A70" s="1" t="s">
        <v>96</v>
      </c>
      <c r="B70" s="1" t="s">
        <v>109</v>
      </c>
      <c r="C70" s="1" t="s">
        <v>146</v>
      </c>
      <c r="D70" s="1">
        <v>13</v>
      </c>
      <c r="E70" s="1">
        <v>365</v>
      </c>
      <c r="F70" s="1">
        <v>72</v>
      </c>
      <c r="G70" s="1">
        <v>13</v>
      </c>
      <c r="H70" s="1">
        <v>110</v>
      </c>
      <c r="I70" s="1">
        <v>200</v>
      </c>
      <c r="J70" s="1">
        <v>5</v>
      </c>
    </row>
    <row r="71" spans="1:10" x14ac:dyDescent="0.3">
      <c r="A71" s="1" t="s">
        <v>96</v>
      </c>
      <c r="B71" s="1" t="s">
        <v>109</v>
      </c>
      <c r="C71" s="1" t="s">
        <v>146</v>
      </c>
      <c r="D71" s="1">
        <v>14</v>
      </c>
      <c r="E71" s="1">
        <v>367</v>
      </c>
      <c r="F71" s="1">
        <v>68</v>
      </c>
      <c r="G71" s="1">
        <v>12</v>
      </c>
      <c r="H71" s="1">
        <v>170</v>
      </c>
      <c r="I71" s="1">
        <v>230</v>
      </c>
      <c r="J71" s="1">
        <v>8</v>
      </c>
    </row>
    <row r="72" spans="1:10" x14ac:dyDescent="0.3">
      <c r="A72" s="1" t="s">
        <v>96</v>
      </c>
      <c r="B72" s="1" t="s">
        <v>99</v>
      </c>
      <c r="C72" s="1" t="s">
        <v>144</v>
      </c>
      <c r="D72" s="1">
        <v>1</v>
      </c>
      <c r="E72" s="1">
        <v>351</v>
      </c>
      <c r="F72" s="1">
        <v>70</v>
      </c>
      <c r="G72" s="1">
        <v>13</v>
      </c>
      <c r="H72" s="1">
        <v>110</v>
      </c>
      <c r="I72" s="1">
        <v>170</v>
      </c>
      <c r="J72" s="1">
        <v>5</v>
      </c>
    </row>
    <row r="73" spans="1:10" x14ac:dyDescent="0.3">
      <c r="A73" s="1" t="s">
        <v>96</v>
      </c>
      <c r="B73" s="1" t="s">
        <v>99</v>
      </c>
      <c r="C73" s="1" t="s">
        <v>144</v>
      </c>
      <c r="D73" s="1">
        <v>2</v>
      </c>
      <c r="E73" s="1">
        <v>305</v>
      </c>
      <c r="F73" s="1">
        <v>60</v>
      </c>
      <c r="G73" s="1">
        <v>12</v>
      </c>
      <c r="H73" s="1">
        <v>125</v>
      </c>
      <c r="I73" s="1">
        <v>177</v>
      </c>
      <c r="J73" s="1">
        <v>6</v>
      </c>
    </row>
    <row r="74" spans="1:10" x14ac:dyDescent="0.3">
      <c r="A74" s="1" t="s">
        <v>96</v>
      </c>
      <c r="B74" s="1" t="s">
        <v>99</v>
      </c>
      <c r="C74" s="1" t="s">
        <v>144</v>
      </c>
      <c r="D74" s="1">
        <v>3</v>
      </c>
      <c r="E74" s="1">
        <v>362</v>
      </c>
      <c r="F74" s="1">
        <v>72</v>
      </c>
      <c r="G74" s="1">
        <v>11</v>
      </c>
      <c r="H74" s="1">
        <v>160</v>
      </c>
      <c r="I74" s="1"/>
      <c r="J74" s="1"/>
    </row>
    <row r="75" spans="1:10" x14ac:dyDescent="0.3">
      <c r="A75" s="1" t="s">
        <v>96</v>
      </c>
      <c r="B75" s="1" t="s">
        <v>99</v>
      </c>
      <c r="C75" s="1" t="s">
        <v>144</v>
      </c>
      <c r="D75" s="1">
        <v>4</v>
      </c>
      <c r="E75" s="1">
        <v>336</v>
      </c>
      <c r="F75" s="1">
        <v>69</v>
      </c>
      <c r="G75" s="1">
        <v>10</v>
      </c>
      <c r="H75" s="1">
        <v>80</v>
      </c>
      <c r="I75" s="1"/>
      <c r="J75" s="1"/>
    </row>
    <row r="76" spans="1:10" x14ac:dyDescent="0.3">
      <c r="A76" s="1" t="s">
        <v>96</v>
      </c>
      <c r="B76" s="1" t="s">
        <v>99</v>
      </c>
      <c r="C76" s="1" t="s">
        <v>144</v>
      </c>
      <c r="D76" s="1">
        <v>5</v>
      </c>
      <c r="E76" s="1">
        <v>336</v>
      </c>
      <c r="F76" s="1">
        <v>62</v>
      </c>
      <c r="G76" s="1">
        <v>13</v>
      </c>
      <c r="H76" s="1">
        <v>90</v>
      </c>
      <c r="I76" s="1">
        <v>144</v>
      </c>
      <c r="J76" s="1">
        <v>4</v>
      </c>
    </row>
    <row r="77" spans="1:10" x14ac:dyDescent="0.3">
      <c r="A77" s="1" t="s">
        <v>96</v>
      </c>
      <c r="B77" s="1" t="s">
        <v>99</v>
      </c>
      <c r="C77" s="1" t="s">
        <v>144</v>
      </c>
      <c r="D77" s="1">
        <v>6</v>
      </c>
      <c r="E77" s="1">
        <v>320</v>
      </c>
      <c r="F77" s="1">
        <v>66</v>
      </c>
      <c r="G77" s="1">
        <v>13</v>
      </c>
      <c r="H77" s="1">
        <v>86</v>
      </c>
      <c r="I77" s="1">
        <v>180</v>
      </c>
      <c r="J77" s="1">
        <v>4</v>
      </c>
    </row>
    <row r="78" spans="1:10" x14ac:dyDescent="0.3">
      <c r="A78" s="1" t="s">
        <v>96</v>
      </c>
      <c r="B78" s="1" t="s">
        <v>99</v>
      </c>
      <c r="C78" s="1" t="s">
        <v>144</v>
      </c>
      <c r="D78" s="1">
        <v>7</v>
      </c>
      <c r="E78" s="1">
        <v>346</v>
      </c>
      <c r="F78" s="1">
        <v>69</v>
      </c>
      <c r="G78" s="1">
        <v>14</v>
      </c>
      <c r="H78" s="1">
        <v>78</v>
      </c>
      <c r="I78" s="1">
        <v>153</v>
      </c>
      <c r="J78" s="1">
        <v>6</v>
      </c>
    </row>
    <row r="79" spans="1:10" x14ac:dyDescent="0.3">
      <c r="A79" s="1" t="s">
        <v>96</v>
      </c>
      <c r="B79" s="1" t="s">
        <v>99</v>
      </c>
      <c r="C79" s="1" t="s">
        <v>144</v>
      </c>
      <c r="D79" s="1">
        <v>8</v>
      </c>
      <c r="E79" s="1">
        <v>325</v>
      </c>
      <c r="F79" s="1">
        <v>63</v>
      </c>
      <c r="G79" s="1">
        <v>12</v>
      </c>
      <c r="H79" s="1">
        <v>60</v>
      </c>
      <c r="I79" s="1">
        <v>130</v>
      </c>
      <c r="J79" s="1">
        <v>5</v>
      </c>
    </row>
    <row r="80" spans="1:10" x14ac:dyDescent="0.3">
      <c r="A80" s="1" t="s">
        <v>96</v>
      </c>
      <c r="B80" s="1" t="s">
        <v>99</v>
      </c>
      <c r="C80" s="1" t="s">
        <v>144</v>
      </c>
      <c r="D80" s="1">
        <v>9</v>
      </c>
      <c r="E80" s="1">
        <v>331</v>
      </c>
      <c r="F80" s="1">
        <v>64</v>
      </c>
      <c r="G80" s="1">
        <v>12</v>
      </c>
      <c r="H80" s="1">
        <v>85</v>
      </c>
      <c r="I80" s="1">
        <v>170</v>
      </c>
      <c r="J80" s="1">
        <v>5</v>
      </c>
    </row>
    <row r="81" spans="1:10" x14ac:dyDescent="0.3">
      <c r="A81" s="1" t="s">
        <v>96</v>
      </c>
      <c r="B81" s="1" t="s">
        <v>99</v>
      </c>
      <c r="C81" s="1" t="s">
        <v>144</v>
      </c>
      <c r="D81" s="1">
        <v>10</v>
      </c>
      <c r="E81" s="1">
        <v>330</v>
      </c>
      <c r="F81" s="1">
        <v>66</v>
      </c>
      <c r="G81" s="1">
        <v>10</v>
      </c>
      <c r="H81" s="1">
        <v>130</v>
      </c>
      <c r="I81" s="1">
        <v>220</v>
      </c>
      <c r="J81" s="1">
        <v>2</v>
      </c>
    </row>
    <row r="82" spans="1:10" x14ac:dyDescent="0.3">
      <c r="A82" s="1" t="s">
        <v>96</v>
      </c>
      <c r="B82" s="1" t="s">
        <v>99</v>
      </c>
      <c r="C82" s="1" t="s">
        <v>144</v>
      </c>
      <c r="D82" s="1">
        <v>11</v>
      </c>
      <c r="E82" s="1">
        <v>316</v>
      </c>
      <c r="F82" s="1">
        <v>60</v>
      </c>
      <c r="G82" s="1">
        <v>9</v>
      </c>
      <c r="H82" s="1">
        <v>86</v>
      </c>
      <c r="I82" s="1"/>
      <c r="J82" s="1"/>
    </row>
    <row r="83" spans="1:10" x14ac:dyDescent="0.3">
      <c r="A83" s="1" t="s">
        <v>96</v>
      </c>
      <c r="B83" s="1" t="s">
        <v>99</v>
      </c>
      <c r="C83" s="1" t="s">
        <v>144</v>
      </c>
      <c r="D83" s="1">
        <v>12</v>
      </c>
      <c r="E83" s="1">
        <v>272</v>
      </c>
      <c r="F83" s="1">
        <v>55</v>
      </c>
      <c r="G83" s="1">
        <v>7</v>
      </c>
      <c r="H83" s="1">
        <v>95</v>
      </c>
      <c r="I83" s="1"/>
      <c r="J83" s="1"/>
    </row>
    <row r="84" spans="1:10" x14ac:dyDescent="0.3">
      <c r="A84" s="1" t="s">
        <v>96</v>
      </c>
      <c r="B84" s="1" t="s">
        <v>99</v>
      </c>
      <c r="C84" s="1" t="s">
        <v>144</v>
      </c>
      <c r="D84" s="1">
        <v>13</v>
      </c>
      <c r="E84" s="1">
        <v>282</v>
      </c>
      <c r="F84" s="1">
        <v>57</v>
      </c>
      <c r="G84" s="1">
        <v>7</v>
      </c>
      <c r="H84" s="1">
        <v>124</v>
      </c>
      <c r="I84" s="1"/>
      <c r="J84" s="1"/>
    </row>
    <row r="85" spans="1:10" x14ac:dyDescent="0.3">
      <c r="A85" s="1" t="s">
        <v>96</v>
      </c>
      <c r="B85" s="1" t="s">
        <v>99</v>
      </c>
      <c r="C85" s="1" t="s">
        <v>144</v>
      </c>
      <c r="D85" s="1">
        <v>14</v>
      </c>
      <c r="E85" s="1">
        <v>266</v>
      </c>
      <c r="F85" s="1">
        <v>53</v>
      </c>
      <c r="G85" s="1">
        <v>11</v>
      </c>
      <c r="H85" s="1">
        <v>87</v>
      </c>
      <c r="I85" s="1">
        <v>148</v>
      </c>
      <c r="J85" s="1">
        <v>5</v>
      </c>
    </row>
    <row r="86" spans="1:10" x14ac:dyDescent="0.3">
      <c r="A86" s="1" t="s">
        <v>96</v>
      </c>
      <c r="B86" s="1" t="s">
        <v>97</v>
      </c>
      <c r="C86" s="1" t="s">
        <v>144</v>
      </c>
      <c r="D86" s="1">
        <v>1</v>
      </c>
      <c r="E86" s="1">
        <v>320</v>
      </c>
      <c r="F86" s="1">
        <v>64</v>
      </c>
      <c r="G86" s="1">
        <v>13</v>
      </c>
      <c r="H86" s="1">
        <v>100</v>
      </c>
      <c r="I86" s="1"/>
      <c r="J86" s="1"/>
    </row>
    <row r="87" spans="1:10" x14ac:dyDescent="0.3">
      <c r="A87" s="1" t="s">
        <v>96</v>
      </c>
      <c r="B87" s="1" t="s">
        <v>97</v>
      </c>
      <c r="C87" s="1" t="s">
        <v>144</v>
      </c>
      <c r="D87" s="1">
        <v>2</v>
      </c>
      <c r="E87" s="1">
        <v>340</v>
      </c>
      <c r="F87" s="1">
        <v>64</v>
      </c>
      <c r="G87" s="1">
        <v>12</v>
      </c>
      <c r="H87" s="1">
        <v>70</v>
      </c>
      <c r="I87" s="1"/>
      <c r="J87" s="1"/>
    </row>
    <row r="88" spans="1:10" x14ac:dyDescent="0.3">
      <c r="A88" s="1" t="s">
        <v>96</v>
      </c>
      <c r="B88" s="1" t="s">
        <v>97</v>
      </c>
      <c r="C88" s="1" t="s">
        <v>144</v>
      </c>
      <c r="D88" s="1">
        <v>3</v>
      </c>
      <c r="E88" s="1">
        <v>320</v>
      </c>
      <c r="F88" s="1">
        <v>62</v>
      </c>
      <c r="G88" s="1">
        <v>9</v>
      </c>
      <c r="H88" s="1">
        <v>203</v>
      </c>
      <c r="I88" s="1"/>
      <c r="J88" s="1"/>
    </row>
    <row r="89" spans="1:10" x14ac:dyDescent="0.3">
      <c r="A89" s="1" t="s">
        <v>96</v>
      </c>
      <c r="B89" s="1" t="s">
        <v>97</v>
      </c>
      <c r="C89" s="1" t="s">
        <v>144</v>
      </c>
      <c r="D89" s="1">
        <v>4</v>
      </c>
      <c r="E89" s="1">
        <v>325</v>
      </c>
      <c r="F89" s="1">
        <v>67</v>
      </c>
      <c r="G89" s="1">
        <v>10</v>
      </c>
      <c r="H89" s="1">
        <v>103</v>
      </c>
      <c r="I89" s="1">
        <v>150</v>
      </c>
      <c r="J89" s="1">
        <v>6</v>
      </c>
    </row>
    <row r="90" spans="1:10" x14ac:dyDescent="0.3">
      <c r="A90" s="1" t="s">
        <v>96</v>
      </c>
      <c r="B90" s="1" t="s">
        <v>97</v>
      </c>
      <c r="C90" s="1" t="s">
        <v>144</v>
      </c>
      <c r="D90" s="1">
        <v>5</v>
      </c>
      <c r="E90" s="1">
        <v>294</v>
      </c>
      <c r="F90" s="1">
        <v>55</v>
      </c>
      <c r="G90" s="1">
        <v>8</v>
      </c>
      <c r="H90" s="1">
        <v>110</v>
      </c>
      <c r="I90" s="1">
        <v>154</v>
      </c>
      <c r="J90" s="1">
        <v>7</v>
      </c>
    </row>
    <row r="91" spans="1:10" x14ac:dyDescent="0.3">
      <c r="A91" s="1" t="s">
        <v>96</v>
      </c>
      <c r="B91" s="1" t="s">
        <v>97</v>
      </c>
      <c r="C91" s="1" t="s">
        <v>144</v>
      </c>
      <c r="D91" s="1">
        <v>6</v>
      </c>
      <c r="E91" s="1">
        <v>360</v>
      </c>
      <c r="F91" s="1">
        <v>67</v>
      </c>
      <c r="G91" s="1">
        <v>12</v>
      </c>
      <c r="H91" s="1">
        <v>103</v>
      </c>
      <c r="I91" s="1">
        <v>210</v>
      </c>
      <c r="J91" s="1">
        <v>7</v>
      </c>
    </row>
    <row r="92" spans="1:10" x14ac:dyDescent="0.3">
      <c r="A92" s="1" t="s">
        <v>96</v>
      </c>
      <c r="B92" s="1" t="s">
        <v>97</v>
      </c>
      <c r="C92" s="1" t="s">
        <v>144</v>
      </c>
      <c r="D92" s="1">
        <v>7</v>
      </c>
      <c r="E92" s="1">
        <v>310</v>
      </c>
      <c r="F92" s="1">
        <v>57</v>
      </c>
      <c r="G92" s="1">
        <v>10</v>
      </c>
      <c r="H92" s="1">
        <v>60</v>
      </c>
      <c r="I92" s="1">
        <v>145</v>
      </c>
      <c r="J92" s="1">
        <v>6</v>
      </c>
    </row>
    <row r="93" spans="1:10" x14ac:dyDescent="0.3">
      <c r="A93" s="1" t="s">
        <v>96</v>
      </c>
      <c r="B93" s="1" t="s">
        <v>97</v>
      </c>
      <c r="C93" s="1" t="s">
        <v>144</v>
      </c>
      <c r="D93" s="1">
        <v>8</v>
      </c>
      <c r="E93" s="1">
        <v>327</v>
      </c>
      <c r="F93" s="1">
        <v>63</v>
      </c>
      <c r="G93" s="1">
        <v>11</v>
      </c>
      <c r="H93" s="1">
        <v>102</v>
      </c>
      <c r="I93" s="1"/>
      <c r="J93" s="1"/>
    </row>
    <row r="94" spans="1:10" x14ac:dyDescent="0.3">
      <c r="A94" s="1" t="s">
        <v>96</v>
      </c>
      <c r="B94" s="1" t="s">
        <v>97</v>
      </c>
      <c r="C94" s="1" t="s">
        <v>144</v>
      </c>
      <c r="D94" s="1">
        <v>9</v>
      </c>
      <c r="E94" s="1">
        <v>312</v>
      </c>
      <c r="F94" s="1">
        <v>58</v>
      </c>
      <c r="G94" s="1">
        <v>12</v>
      </c>
      <c r="H94" s="1">
        <v>88</v>
      </c>
      <c r="I94" s="1">
        <v>133</v>
      </c>
      <c r="J94" s="1">
        <v>6</v>
      </c>
    </row>
    <row r="95" spans="1:10" x14ac:dyDescent="0.3">
      <c r="A95" s="1" t="s">
        <v>96</v>
      </c>
      <c r="B95" s="1" t="s">
        <v>97</v>
      </c>
      <c r="C95" s="1" t="s">
        <v>144</v>
      </c>
      <c r="D95" s="1">
        <v>10</v>
      </c>
      <c r="E95" s="1">
        <v>338</v>
      </c>
      <c r="F95" s="1">
        <v>61</v>
      </c>
      <c r="G95" s="1">
        <v>13</v>
      </c>
      <c r="H95" s="1">
        <v>55</v>
      </c>
      <c r="I95" s="1">
        <v>130</v>
      </c>
      <c r="J95" s="1">
        <v>5</v>
      </c>
    </row>
    <row r="96" spans="1:10" x14ac:dyDescent="0.3">
      <c r="A96" s="1" t="s">
        <v>96</v>
      </c>
      <c r="B96" s="1" t="s">
        <v>97</v>
      </c>
      <c r="C96" s="1" t="s">
        <v>144</v>
      </c>
      <c r="D96" s="1">
        <v>11</v>
      </c>
      <c r="E96" s="1">
        <v>303</v>
      </c>
      <c r="F96" s="1">
        <v>60</v>
      </c>
      <c r="G96" s="1">
        <v>12</v>
      </c>
      <c r="H96" s="1">
        <v>90</v>
      </c>
      <c r="I96" s="1">
        <v>150</v>
      </c>
      <c r="J96" s="1">
        <v>4</v>
      </c>
    </row>
    <row r="97" spans="1:10" x14ac:dyDescent="0.3">
      <c r="A97" s="1" t="s">
        <v>96</v>
      </c>
      <c r="B97" s="1" t="s">
        <v>97</v>
      </c>
      <c r="C97" s="1" t="s">
        <v>144</v>
      </c>
      <c r="D97" s="1">
        <v>12</v>
      </c>
      <c r="E97" s="1">
        <v>315</v>
      </c>
      <c r="F97" s="1">
        <v>59</v>
      </c>
      <c r="G97" s="1">
        <v>13</v>
      </c>
      <c r="H97" s="1">
        <v>87</v>
      </c>
      <c r="I97" s="1">
        <v>142</v>
      </c>
      <c r="J97" s="1">
        <v>5</v>
      </c>
    </row>
    <row r="98" spans="1:10" x14ac:dyDescent="0.3">
      <c r="A98" s="1" t="s">
        <v>96</v>
      </c>
      <c r="B98" s="1" t="s">
        <v>97</v>
      </c>
      <c r="C98" s="1" t="s">
        <v>144</v>
      </c>
      <c r="D98" s="1">
        <v>13</v>
      </c>
      <c r="E98" s="1">
        <v>311</v>
      </c>
      <c r="F98" s="1">
        <v>61</v>
      </c>
      <c r="G98" s="1">
        <v>12</v>
      </c>
      <c r="H98" s="1">
        <v>127</v>
      </c>
      <c r="I98" s="1">
        <v>180</v>
      </c>
      <c r="J98" s="1">
        <v>5</v>
      </c>
    </row>
    <row r="99" spans="1:10" x14ac:dyDescent="0.3">
      <c r="A99" s="1" t="s">
        <v>96</v>
      </c>
      <c r="B99" s="1" t="s">
        <v>97</v>
      </c>
      <c r="C99" s="1" t="s">
        <v>144</v>
      </c>
      <c r="D99" s="1">
        <v>14</v>
      </c>
      <c r="E99" s="1">
        <v>262</v>
      </c>
      <c r="F99" s="1">
        <v>53</v>
      </c>
      <c r="G99" s="1">
        <v>8</v>
      </c>
      <c r="H99" s="1">
        <v>97</v>
      </c>
      <c r="I99" s="1"/>
      <c r="J99" s="1"/>
    </row>
    <row r="100" spans="1:10" x14ac:dyDescent="0.3">
      <c r="A100" s="1" t="s">
        <v>96</v>
      </c>
      <c r="B100" s="1" t="s">
        <v>172</v>
      </c>
      <c r="C100" s="1" t="s">
        <v>146</v>
      </c>
      <c r="D100" s="1">
        <v>1</v>
      </c>
      <c r="E100" s="1">
        <v>342</v>
      </c>
      <c r="F100" s="1">
        <v>70</v>
      </c>
      <c r="G100" s="1">
        <v>14</v>
      </c>
      <c r="H100" s="1">
        <v>130</v>
      </c>
      <c r="I100" s="1">
        <v>190</v>
      </c>
      <c r="J100" s="1">
        <v>5</v>
      </c>
    </row>
    <row r="101" spans="1:10" x14ac:dyDescent="0.3">
      <c r="A101" s="1" t="s">
        <v>96</v>
      </c>
      <c r="B101" s="1" t="s">
        <v>172</v>
      </c>
      <c r="C101" s="1" t="s">
        <v>146</v>
      </c>
      <c r="D101" s="1">
        <v>2</v>
      </c>
      <c r="E101" s="1">
        <v>300</v>
      </c>
      <c r="F101" s="1">
        <v>60</v>
      </c>
      <c r="G101" s="1">
        <v>12</v>
      </c>
      <c r="H101" s="1">
        <v>80</v>
      </c>
      <c r="I101" s="1"/>
      <c r="J101" s="1"/>
    </row>
    <row r="102" spans="1:10" x14ac:dyDescent="0.3">
      <c r="A102" s="1" t="s">
        <v>96</v>
      </c>
      <c r="B102" s="1" t="s">
        <v>172</v>
      </c>
      <c r="C102" s="1" t="s">
        <v>146</v>
      </c>
      <c r="D102" s="1">
        <v>3</v>
      </c>
      <c r="E102" s="1">
        <v>335</v>
      </c>
      <c r="F102" s="1">
        <v>67</v>
      </c>
      <c r="G102" s="1">
        <v>12</v>
      </c>
      <c r="H102" s="1">
        <v>100</v>
      </c>
      <c r="I102" s="1">
        <v>165</v>
      </c>
      <c r="J102" s="1">
        <v>6</v>
      </c>
    </row>
    <row r="103" spans="1:10" x14ac:dyDescent="0.3">
      <c r="A103" s="1" t="s">
        <v>96</v>
      </c>
      <c r="B103" s="1" t="s">
        <v>172</v>
      </c>
      <c r="C103" s="1" t="s">
        <v>146</v>
      </c>
      <c r="D103" s="1">
        <v>4</v>
      </c>
      <c r="E103" s="1">
        <v>296</v>
      </c>
      <c r="F103" s="1">
        <v>61</v>
      </c>
      <c r="G103" s="1">
        <v>11</v>
      </c>
      <c r="H103" s="1">
        <v>64</v>
      </c>
      <c r="I103" s="1">
        <v>105</v>
      </c>
      <c r="J103" s="1">
        <v>4</v>
      </c>
    </row>
    <row r="104" spans="1:10" x14ac:dyDescent="0.3">
      <c r="A104" s="1" t="s">
        <v>96</v>
      </c>
      <c r="B104" s="1" t="s">
        <v>172</v>
      </c>
      <c r="C104" s="1" t="s">
        <v>146</v>
      </c>
      <c r="D104" s="1">
        <v>5</v>
      </c>
      <c r="E104" s="1">
        <v>352</v>
      </c>
      <c r="F104" s="1">
        <v>65</v>
      </c>
      <c r="G104" s="1">
        <v>12</v>
      </c>
      <c r="H104" s="1">
        <v>95</v>
      </c>
      <c r="I104" s="1">
        <v>164</v>
      </c>
      <c r="J104" s="1">
        <v>5</v>
      </c>
    </row>
    <row r="105" spans="1:10" x14ac:dyDescent="0.3">
      <c r="A105" s="1" t="s">
        <v>96</v>
      </c>
      <c r="B105" s="1" t="s">
        <v>172</v>
      </c>
      <c r="C105" s="1" t="s">
        <v>146</v>
      </c>
      <c r="D105" s="1">
        <v>6</v>
      </c>
      <c r="E105" s="1">
        <v>300</v>
      </c>
      <c r="F105" s="1">
        <v>56</v>
      </c>
      <c r="G105" s="1">
        <v>13</v>
      </c>
      <c r="H105" s="1">
        <v>58</v>
      </c>
      <c r="I105" s="1">
        <v>126</v>
      </c>
      <c r="J105" s="1">
        <v>4</v>
      </c>
    </row>
    <row r="106" spans="1:10" x14ac:dyDescent="0.3">
      <c r="A106" s="1" t="s">
        <v>96</v>
      </c>
      <c r="B106" s="1" t="s">
        <v>172</v>
      </c>
      <c r="C106" s="1" t="s">
        <v>146</v>
      </c>
      <c r="D106" s="1">
        <v>7</v>
      </c>
      <c r="E106" s="1">
        <v>338</v>
      </c>
      <c r="F106" s="1">
        <v>64</v>
      </c>
      <c r="G106" s="1">
        <v>11</v>
      </c>
      <c r="H106" s="1">
        <v>110</v>
      </c>
      <c r="I106" s="1">
        <v>185</v>
      </c>
      <c r="J106" s="1">
        <v>6</v>
      </c>
    </row>
    <row r="107" spans="1:10" x14ac:dyDescent="0.3">
      <c r="A107" s="1" t="s">
        <v>96</v>
      </c>
      <c r="B107" s="1" t="s">
        <v>172</v>
      </c>
      <c r="C107" s="1" t="s">
        <v>146</v>
      </c>
      <c r="D107" s="1">
        <v>8</v>
      </c>
      <c r="E107" s="1">
        <v>284</v>
      </c>
      <c r="F107" s="1">
        <v>57</v>
      </c>
      <c r="G107" s="1">
        <v>14</v>
      </c>
      <c r="H107" s="1">
        <v>96</v>
      </c>
      <c r="I107" s="1"/>
      <c r="J107" s="1"/>
    </row>
    <row r="108" spans="1:10" x14ac:dyDescent="0.3">
      <c r="A108" s="1" t="s">
        <v>96</v>
      </c>
      <c r="B108" s="1" t="s">
        <v>172</v>
      </c>
      <c r="C108" s="1" t="s">
        <v>146</v>
      </c>
      <c r="D108" s="1">
        <v>9</v>
      </c>
      <c r="E108" s="1">
        <v>355</v>
      </c>
      <c r="F108" s="1">
        <v>66</v>
      </c>
      <c r="G108" s="1">
        <v>12</v>
      </c>
      <c r="H108" s="1">
        <v>150</v>
      </c>
      <c r="I108" s="1">
        <v>240</v>
      </c>
      <c r="J108" s="1">
        <v>6</v>
      </c>
    </row>
    <row r="109" spans="1:10" x14ac:dyDescent="0.3">
      <c r="A109" s="1" t="s">
        <v>96</v>
      </c>
      <c r="B109" s="1" t="s">
        <v>172</v>
      </c>
      <c r="C109" s="1" t="s">
        <v>146</v>
      </c>
      <c r="D109" s="1">
        <v>10</v>
      </c>
      <c r="E109" s="1">
        <v>297</v>
      </c>
      <c r="F109" s="1">
        <v>59</v>
      </c>
      <c r="G109" s="1">
        <v>13</v>
      </c>
      <c r="H109" s="1">
        <v>60</v>
      </c>
      <c r="I109" s="1"/>
      <c r="J109" s="1"/>
    </row>
    <row r="110" spans="1:10" x14ac:dyDescent="0.3">
      <c r="A110" s="1" t="s">
        <v>96</v>
      </c>
      <c r="B110" s="1" t="s">
        <v>172</v>
      </c>
      <c r="C110" s="1" t="s">
        <v>146</v>
      </c>
      <c r="D110" s="1">
        <v>11</v>
      </c>
      <c r="E110" s="1">
        <v>352</v>
      </c>
      <c r="F110" s="1">
        <v>72</v>
      </c>
      <c r="G110" s="1">
        <v>15</v>
      </c>
      <c r="H110" s="1">
        <v>84</v>
      </c>
      <c r="I110" s="1">
        <v>230</v>
      </c>
      <c r="J110" s="1">
        <v>7</v>
      </c>
    </row>
    <row r="111" spans="1:10" x14ac:dyDescent="0.3">
      <c r="A111" s="1" t="s">
        <v>96</v>
      </c>
      <c r="B111" s="1" t="s">
        <v>172</v>
      </c>
      <c r="C111" s="1" t="s">
        <v>146</v>
      </c>
      <c r="D111" s="1">
        <v>12</v>
      </c>
      <c r="E111" s="1">
        <v>360</v>
      </c>
      <c r="F111" s="1">
        <v>70</v>
      </c>
      <c r="G111" s="1">
        <v>12</v>
      </c>
      <c r="H111" s="1">
        <v>144</v>
      </c>
      <c r="I111" s="1">
        <v>183</v>
      </c>
      <c r="J111" s="1">
        <v>5</v>
      </c>
    </row>
    <row r="112" spans="1:10" x14ac:dyDescent="0.3">
      <c r="A112" s="1" t="s">
        <v>96</v>
      </c>
      <c r="B112" s="1" t="s">
        <v>172</v>
      </c>
      <c r="C112" s="1" t="s">
        <v>146</v>
      </c>
      <c r="D112" s="1">
        <v>13</v>
      </c>
      <c r="E112" s="1">
        <v>370</v>
      </c>
      <c r="F112" s="1">
        <v>72</v>
      </c>
      <c r="G112" s="1">
        <v>14</v>
      </c>
      <c r="H112" s="1">
        <v>153</v>
      </c>
      <c r="I112" s="1">
        <v>215</v>
      </c>
      <c r="J112" s="1">
        <v>6</v>
      </c>
    </row>
    <row r="113" spans="1:10" x14ac:dyDescent="0.3">
      <c r="A113" s="1" t="s">
        <v>96</v>
      </c>
      <c r="B113" s="1" t="s">
        <v>172</v>
      </c>
      <c r="C113" s="1" t="s">
        <v>146</v>
      </c>
      <c r="D113" s="1">
        <v>14</v>
      </c>
      <c r="E113" s="1">
        <v>340</v>
      </c>
      <c r="F113" s="1">
        <v>66</v>
      </c>
      <c r="G113" s="1">
        <v>10</v>
      </c>
      <c r="H113" s="1">
        <v>80</v>
      </c>
      <c r="I113" s="1"/>
      <c r="J113" s="1"/>
    </row>
    <row r="114" spans="1:10" x14ac:dyDescent="0.3">
      <c r="A114" s="1" t="s">
        <v>96</v>
      </c>
      <c r="B114" s="1" t="s">
        <v>109</v>
      </c>
      <c r="C114" s="1" t="s">
        <v>147</v>
      </c>
      <c r="D114" s="1">
        <v>1</v>
      </c>
      <c r="E114" s="1">
        <v>345</v>
      </c>
      <c r="F114" s="1">
        <v>72</v>
      </c>
      <c r="G114" s="1">
        <v>14</v>
      </c>
      <c r="H114" s="1">
        <v>100</v>
      </c>
      <c r="I114" s="1">
        <v>212</v>
      </c>
      <c r="J114" s="1">
        <v>6</v>
      </c>
    </row>
    <row r="115" spans="1:10" x14ac:dyDescent="0.3">
      <c r="A115" s="1" t="s">
        <v>96</v>
      </c>
      <c r="B115" s="1" t="s">
        <v>109</v>
      </c>
      <c r="C115" s="1" t="s">
        <v>147</v>
      </c>
      <c r="D115" s="1">
        <v>2</v>
      </c>
      <c r="E115" s="1">
        <v>324</v>
      </c>
      <c r="F115" s="1">
        <v>64</v>
      </c>
      <c r="G115" s="1">
        <v>12</v>
      </c>
      <c r="H115" s="1">
        <v>96</v>
      </c>
      <c r="I115" s="1"/>
      <c r="J115" s="1"/>
    </row>
    <row r="116" spans="1:10" x14ac:dyDescent="0.3">
      <c r="A116" s="1" t="s">
        <v>96</v>
      </c>
      <c r="B116" s="1" t="s">
        <v>109</v>
      </c>
      <c r="C116" s="1" t="s">
        <v>147</v>
      </c>
      <c r="D116" s="1">
        <v>3</v>
      </c>
      <c r="E116" s="1">
        <v>320</v>
      </c>
      <c r="F116" s="1">
        <v>61</v>
      </c>
      <c r="G116" s="1">
        <v>13</v>
      </c>
      <c r="H116" s="1">
        <v>115</v>
      </c>
      <c r="I116" s="1">
        <v>165</v>
      </c>
      <c r="J116" s="1">
        <v>5</v>
      </c>
    </row>
    <row r="117" spans="1:10" x14ac:dyDescent="0.3">
      <c r="A117" s="1" t="s">
        <v>96</v>
      </c>
      <c r="B117" s="1" t="s">
        <v>109</v>
      </c>
      <c r="C117" s="1" t="s">
        <v>147</v>
      </c>
      <c r="D117" s="1">
        <v>4</v>
      </c>
      <c r="E117" s="1">
        <v>328</v>
      </c>
      <c r="F117" s="1">
        <v>62</v>
      </c>
      <c r="G117" s="1">
        <v>12</v>
      </c>
      <c r="H117" s="1">
        <v>97</v>
      </c>
      <c r="I117" s="1">
        <v>152</v>
      </c>
      <c r="J117" s="1">
        <v>5</v>
      </c>
    </row>
    <row r="118" spans="1:10" x14ac:dyDescent="0.3">
      <c r="A118" s="1" t="s">
        <v>96</v>
      </c>
      <c r="B118" s="1" t="s">
        <v>109</v>
      </c>
      <c r="C118" s="1" t="s">
        <v>147</v>
      </c>
      <c r="D118" s="1">
        <v>5</v>
      </c>
      <c r="E118" s="1">
        <v>330</v>
      </c>
      <c r="F118" s="1">
        <v>58</v>
      </c>
      <c r="G118" s="1">
        <v>13</v>
      </c>
      <c r="H118" s="1">
        <v>100</v>
      </c>
      <c r="I118" s="1">
        <v>160</v>
      </c>
      <c r="J118" s="1">
        <v>5</v>
      </c>
    </row>
    <row r="119" spans="1:10" x14ac:dyDescent="0.3">
      <c r="A119" s="1" t="s">
        <v>96</v>
      </c>
      <c r="B119" s="1" t="s">
        <v>109</v>
      </c>
      <c r="C119" s="1" t="s">
        <v>147</v>
      </c>
      <c r="D119" s="1">
        <v>6</v>
      </c>
      <c r="E119" s="1">
        <v>366</v>
      </c>
      <c r="F119" s="1">
        <v>58</v>
      </c>
      <c r="G119" s="1">
        <v>14</v>
      </c>
      <c r="H119" s="1">
        <v>108</v>
      </c>
      <c r="I119" s="1">
        <v>195</v>
      </c>
      <c r="J119" s="1">
        <v>5</v>
      </c>
    </row>
    <row r="120" spans="1:10" x14ac:dyDescent="0.3">
      <c r="A120" s="1" t="s">
        <v>96</v>
      </c>
      <c r="B120" s="1" t="s">
        <v>109</v>
      </c>
      <c r="C120" s="1" t="s">
        <v>147</v>
      </c>
      <c r="D120" s="1">
        <v>7</v>
      </c>
      <c r="E120" s="1">
        <v>305</v>
      </c>
      <c r="F120" s="1">
        <v>63</v>
      </c>
      <c r="G120" s="1">
        <v>10</v>
      </c>
      <c r="H120" s="1">
        <v>174</v>
      </c>
      <c r="I120" s="1"/>
      <c r="J120" s="1"/>
    </row>
    <row r="121" spans="1:10" x14ac:dyDescent="0.3">
      <c r="A121" s="1" t="s">
        <v>96</v>
      </c>
      <c r="B121" s="1" t="s">
        <v>109</v>
      </c>
      <c r="C121" s="1" t="s">
        <v>147</v>
      </c>
      <c r="D121" s="1">
        <v>8</v>
      </c>
      <c r="E121" s="1">
        <v>311</v>
      </c>
      <c r="F121" s="1">
        <v>65</v>
      </c>
      <c r="G121" s="1">
        <v>8</v>
      </c>
      <c r="H121" s="1">
        <v>190</v>
      </c>
      <c r="I121" s="1"/>
      <c r="J121" s="1"/>
    </row>
    <row r="122" spans="1:10" x14ac:dyDescent="0.3">
      <c r="A122" s="1" t="s">
        <v>96</v>
      </c>
      <c r="B122" s="1" t="s">
        <v>109</v>
      </c>
      <c r="C122" s="1" t="s">
        <v>147</v>
      </c>
      <c r="D122" s="1">
        <v>9</v>
      </c>
      <c r="E122" s="1">
        <v>354</v>
      </c>
      <c r="F122" s="1">
        <v>72</v>
      </c>
      <c r="G122" s="1">
        <v>12</v>
      </c>
      <c r="H122" s="1">
        <v>190</v>
      </c>
      <c r="I122" s="1">
        <v>205</v>
      </c>
      <c r="J122" s="1">
        <v>6</v>
      </c>
    </row>
    <row r="123" spans="1:10" x14ac:dyDescent="0.3">
      <c r="A123" s="1" t="s">
        <v>96</v>
      </c>
      <c r="B123" s="1" t="s">
        <v>109</v>
      </c>
      <c r="C123" s="1" t="s">
        <v>147</v>
      </c>
      <c r="D123" s="1">
        <v>10</v>
      </c>
      <c r="E123" s="1">
        <v>311</v>
      </c>
      <c r="F123" s="1">
        <v>64</v>
      </c>
      <c r="G123" s="1">
        <v>10</v>
      </c>
      <c r="H123" s="1">
        <v>171</v>
      </c>
      <c r="I123" s="1"/>
      <c r="J123" s="1"/>
    </row>
    <row r="124" spans="1:10" x14ac:dyDescent="0.3">
      <c r="A124" s="1" t="s">
        <v>96</v>
      </c>
      <c r="B124" s="1" t="s">
        <v>109</v>
      </c>
      <c r="C124" s="1" t="s">
        <v>147</v>
      </c>
      <c r="D124" s="1">
        <v>11</v>
      </c>
      <c r="E124" s="1">
        <v>335</v>
      </c>
      <c r="F124" s="1">
        <v>67</v>
      </c>
      <c r="G124" s="1">
        <v>12</v>
      </c>
      <c r="H124" s="1">
        <v>95</v>
      </c>
      <c r="I124" s="1">
        <v>177</v>
      </c>
      <c r="J124" s="1">
        <v>5</v>
      </c>
    </row>
    <row r="125" spans="1:10" x14ac:dyDescent="0.3">
      <c r="A125" s="1" t="s">
        <v>96</v>
      </c>
      <c r="B125" s="1" t="s">
        <v>109</v>
      </c>
      <c r="C125" s="1" t="s">
        <v>147</v>
      </c>
      <c r="D125" s="1">
        <v>12</v>
      </c>
      <c r="E125" s="1">
        <v>316</v>
      </c>
      <c r="F125" s="1">
        <v>61</v>
      </c>
      <c r="G125" s="1">
        <v>11</v>
      </c>
      <c r="H125" s="1">
        <v>80</v>
      </c>
      <c r="I125" s="1">
        <v>184</v>
      </c>
      <c r="J125" s="1">
        <v>7</v>
      </c>
    </row>
    <row r="126" spans="1:10" x14ac:dyDescent="0.3">
      <c r="A126" s="1" t="s">
        <v>96</v>
      </c>
      <c r="B126" s="1" t="s">
        <v>109</v>
      </c>
      <c r="C126" s="1" t="s">
        <v>147</v>
      </c>
      <c r="D126" s="1">
        <v>13</v>
      </c>
      <c r="E126" s="1">
        <v>325</v>
      </c>
      <c r="F126" s="1">
        <v>60</v>
      </c>
      <c r="G126" s="1">
        <v>10</v>
      </c>
      <c r="H126" s="1">
        <v>100</v>
      </c>
      <c r="I126" s="1">
        <v>190</v>
      </c>
      <c r="J126" s="1">
        <v>6</v>
      </c>
    </row>
    <row r="127" spans="1:10" x14ac:dyDescent="0.3">
      <c r="A127" s="1" t="s">
        <v>96</v>
      </c>
      <c r="B127" s="1" t="s">
        <v>109</v>
      </c>
      <c r="C127" s="1" t="s">
        <v>147</v>
      </c>
      <c r="D127" s="1">
        <v>14</v>
      </c>
      <c r="E127" s="1">
        <v>325</v>
      </c>
      <c r="F127" s="1">
        <v>70</v>
      </c>
      <c r="G127" s="1">
        <v>11</v>
      </c>
      <c r="H127" s="1">
        <v>140</v>
      </c>
      <c r="I127" s="1"/>
      <c r="J127" s="1"/>
    </row>
    <row r="128" spans="1:10" x14ac:dyDescent="0.3">
      <c r="A128" s="1" t="s">
        <v>96</v>
      </c>
      <c r="B128" s="1" t="s">
        <v>97</v>
      </c>
      <c r="C128" s="1" t="s">
        <v>146</v>
      </c>
      <c r="D128" s="1">
        <v>1</v>
      </c>
      <c r="E128" s="1"/>
      <c r="F128" s="1"/>
      <c r="G128" s="1"/>
      <c r="H128" s="1"/>
      <c r="I128" s="1"/>
      <c r="J128" s="1"/>
    </row>
    <row r="129" spans="1:10" x14ac:dyDescent="0.3">
      <c r="A129" s="1" t="s">
        <v>96</v>
      </c>
      <c r="B129" s="1" t="s">
        <v>97</v>
      </c>
      <c r="C129" s="1" t="s">
        <v>146</v>
      </c>
      <c r="D129" s="1">
        <v>2</v>
      </c>
      <c r="E129" s="1">
        <v>285</v>
      </c>
      <c r="F129" s="1">
        <v>57</v>
      </c>
      <c r="G129" s="1">
        <v>11</v>
      </c>
      <c r="H129" s="1">
        <v>100</v>
      </c>
      <c r="I129" s="1">
        <v>180</v>
      </c>
      <c r="J129" s="1">
        <v>5</v>
      </c>
    </row>
    <row r="130" spans="1:10" x14ac:dyDescent="0.3">
      <c r="A130" s="1" t="s">
        <v>96</v>
      </c>
      <c r="B130" s="1" t="s">
        <v>97</v>
      </c>
      <c r="C130" s="1" t="s">
        <v>146</v>
      </c>
      <c r="D130" s="1">
        <v>3</v>
      </c>
      <c r="E130" s="1">
        <v>330</v>
      </c>
      <c r="F130" s="1">
        <v>64</v>
      </c>
      <c r="G130" s="1">
        <v>12</v>
      </c>
      <c r="H130" s="1">
        <v>84</v>
      </c>
      <c r="I130" s="1">
        <v>165</v>
      </c>
      <c r="J130" s="1">
        <v>7</v>
      </c>
    </row>
    <row r="131" spans="1:10" x14ac:dyDescent="0.3">
      <c r="A131" s="1" t="s">
        <v>96</v>
      </c>
      <c r="B131" s="1" t="s">
        <v>97</v>
      </c>
      <c r="C131" s="1" t="s">
        <v>146</v>
      </c>
      <c r="D131" s="1">
        <v>4</v>
      </c>
      <c r="E131" s="1">
        <v>307</v>
      </c>
      <c r="F131" s="1">
        <v>63</v>
      </c>
      <c r="G131" s="1">
        <v>13</v>
      </c>
      <c r="H131" s="1">
        <v>105</v>
      </c>
      <c r="I131" s="1">
        <v>190</v>
      </c>
      <c r="J131" s="1">
        <v>4</v>
      </c>
    </row>
    <row r="132" spans="1:10" x14ac:dyDescent="0.3">
      <c r="A132" s="1" t="s">
        <v>96</v>
      </c>
      <c r="B132" s="1" t="s">
        <v>97</v>
      </c>
      <c r="C132" s="1" t="s">
        <v>146</v>
      </c>
      <c r="D132" s="1">
        <v>5</v>
      </c>
      <c r="E132" s="1">
        <v>310</v>
      </c>
      <c r="F132" s="1">
        <v>66</v>
      </c>
      <c r="G132" s="1">
        <v>13</v>
      </c>
      <c r="H132" s="1">
        <v>107</v>
      </c>
      <c r="I132" s="1">
        <v>195</v>
      </c>
      <c r="J132" s="1">
        <v>5</v>
      </c>
    </row>
    <row r="133" spans="1:10" x14ac:dyDescent="0.3">
      <c r="A133" s="1" t="s">
        <v>96</v>
      </c>
      <c r="B133" s="1" t="s">
        <v>97</v>
      </c>
      <c r="C133" s="1" t="s">
        <v>146</v>
      </c>
      <c r="D133" s="1">
        <v>6</v>
      </c>
      <c r="E133" s="1">
        <v>314</v>
      </c>
      <c r="F133" s="1">
        <v>62</v>
      </c>
      <c r="G133" s="1">
        <v>12</v>
      </c>
      <c r="H133" s="1">
        <v>94</v>
      </c>
      <c r="I133" s="1">
        <v>155</v>
      </c>
      <c r="J133" s="1">
        <v>5</v>
      </c>
    </row>
    <row r="134" spans="1:10" x14ac:dyDescent="0.3">
      <c r="A134" s="1" t="s">
        <v>96</v>
      </c>
      <c r="B134" s="1" t="s">
        <v>97</v>
      </c>
      <c r="C134" s="1" t="s">
        <v>146</v>
      </c>
      <c r="D134" s="1">
        <v>7</v>
      </c>
      <c r="E134" s="1">
        <v>330</v>
      </c>
      <c r="F134" s="1">
        <v>64</v>
      </c>
      <c r="G134" s="1">
        <v>14</v>
      </c>
      <c r="H134" s="1">
        <v>110</v>
      </c>
      <c r="I134" s="1">
        <v>180</v>
      </c>
      <c r="J134" s="1">
        <v>6</v>
      </c>
    </row>
    <row r="135" spans="1:10" x14ac:dyDescent="0.3">
      <c r="A135" s="1" t="s">
        <v>96</v>
      </c>
      <c r="B135" s="1" t="s">
        <v>97</v>
      </c>
      <c r="C135" s="1" t="s">
        <v>146</v>
      </c>
      <c r="D135" s="1">
        <v>8</v>
      </c>
      <c r="E135" s="1">
        <v>336</v>
      </c>
      <c r="F135" s="1">
        <v>64</v>
      </c>
      <c r="G135" s="1">
        <v>14</v>
      </c>
      <c r="H135" s="1">
        <v>110</v>
      </c>
      <c r="I135" s="1">
        <v>172</v>
      </c>
      <c r="J135" s="1">
        <v>4</v>
      </c>
    </row>
    <row r="136" spans="1:10" x14ac:dyDescent="0.3">
      <c r="A136" s="1" t="s">
        <v>96</v>
      </c>
      <c r="B136" s="1" t="s">
        <v>97</v>
      </c>
      <c r="C136" s="1" t="s">
        <v>146</v>
      </c>
      <c r="D136" s="1">
        <v>9</v>
      </c>
      <c r="E136" s="1">
        <v>326</v>
      </c>
      <c r="F136" s="1">
        <v>60</v>
      </c>
      <c r="G136" s="1">
        <v>11</v>
      </c>
      <c r="H136" s="1">
        <v>100</v>
      </c>
      <c r="I136" s="1">
        <v>190</v>
      </c>
      <c r="J136" s="1">
        <v>4</v>
      </c>
    </row>
    <row r="137" spans="1:10" x14ac:dyDescent="0.3">
      <c r="A137" s="1" t="s">
        <v>96</v>
      </c>
      <c r="B137" s="1" t="s">
        <v>97</v>
      </c>
      <c r="C137" s="1" t="s">
        <v>146</v>
      </c>
      <c r="D137" s="1">
        <v>10</v>
      </c>
      <c r="E137" s="1">
        <v>323</v>
      </c>
      <c r="F137" s="1">
        <v>61</v>
      </c>
      <c r="G137" s="1">
        <v>12</v>
      </c>
      <c r="H137" s="1">
        <v>90</v>
      </c>
      <c r="I137" s="1">
        <v>160</v>
      </c>
      <c r="J137" s="1">
        <v>5</v>
      </c>
    </row>
    <row r="138" spans="1:10" x14ac:dyDescent="0.3">
      <c r="A138" s="1" t="s">
        <v>96</v>
      </c>
      <c r="B138" s="1" t="s">
        <v>97</v>
      </c>
      <c r="C138" s="1" t="s">
        <v>146</v>
      </c>
      <c r="D138" s="1">
        <v>11</v>
      </c>
      <c r="E138" s="1">
        <v>300</v>
      </c>
      <c r="F138" s="1">
        <v>62</v>
      </c>
      <c r="G138" s="1">
        <v>13</v>
      </c>
      <c r="H138" s="1">
        <v>110</v>
      </c>
      <c r="I138" s="1">
        <v>150</v>
      </c>
      <c r="J138" s="1">
        <v>5</v>
      </c>
    </row>
    <row r="139" spans="1:10" x14ac:dyDescent="0.3">
      <c r="A139" s="1" t="s">
        <v>96</v>
      </c>
      <c r="B139" s="1" t="s">
        <v>97</v>
      </c>
      <c r="C139" s="1" t="s">
        <v>146</v>
      </c>
      <c r="D139" s="1">
        <v>12</v>
      </c>
      <c r="E139" s="1">
        <v>350</v>
      </c>
      <c r="F139" s="1">
        <v>70</v>
      </c>
      <c r="G139" s="1">
        <v>12</v>
      </c>
      <c r="H139" s="1">
        <v>150</v>
      </c>
      <c r="I139" s="1">
        <v>200</v>
      </c>
      <c r="J139" s="1">
        <v>6</v>
      </c>
    </row>
    <row r="140" spans="1:10" x14ac:dyDescent="0.3">
      <c r="A140" s="1" t="s">
        <v>96</v>
      </c>
      <c r="B140" s="1" t="s">
        <v>97</v>
      </c>
      <c r="C140" s="1" t="s">
        <v>146</v>
      </c>
      <c r="D140" s="1">
        <v>13</v>
      </c>
      <c r="E140" s="1">
        <v>357</v>
      </c>
      <c r="F140" s="1">
        <v>68</v>
      </c>
      <c r="G140" s="1">
        <v>13</v>
      </c>
      <c r="H140" s="1">
        <v>130</v>
      </c>
      <c r="I140" s="1">
        <v>165</v>
      </c>
      <c r="J140" s="1">
        <v>5</v>
      </c>
    </row>
    <row r="141" spans="1:10" x14ac:dyDescent="0.3">
      <c r="A141" s="1" t="s">
        <v>96</v>
      </c>
      <c r="B141" s="1" t="s">
        <v>97</v>
      </c>
      <c r="C141" s="1" t="s">
        <v>146</v>
      </c>
      <c r="D141" s="1">
        <v>14</v>
      </c>
      <c r="E141" s="1">
        <v>333</v>
      </c>
      <c r="F141" s="1">
        <v>61</v>
      </c>
      <c r="G141" s="1">
        <v>13</v>
      </c>
      <c r="H141" s="1">
        <v>100</v>
      </c>
      <c r="I141" s="1">
        <v>160</v>
      </c>
      <c r="J141" s="1">
        <v>5</v>
      </c>
    </row>
    <row r="142" spans="1:10" x14ac:dyDescent="0.3">
      <c r="A142" s="1" t="s">
        <v>96</v>
      </c>
      <c r="B142" s="1" t="s">
        <v>172</v>
      </c>
      <c r="C142" s="1" t="s">
        <v>147</v>
      </c>
      <c r="D142" s="1">
        <v>1</v>
      </c>
      <c r="E142" s="1">
        <v>330</v>
      </c>
      <c r="F142" s="1">
        <v>66</v>
      </c>
      <c r="G142" s="1">
        <v>13</v>
      </c>
      <c r="H142" s="1">
        <v>130</v>
      </c>
      <c r="I142" s="1">
        <v>210</v>
      </c>
      <c r="J142" s="1">
        <v>5</v>
      </c>
    </row>
    <row r="143" spans="1:10" x14ac:dyDescent="0.3">
      <c r="A143" s="1" t="s">
        <v>96</v>
      </c>
      <c r="B143" s="1" t="s">
        <v>172</v>
      </c>
      <c r="C143" s="1" t="s">
        <v>147</v>
      </c>
      <c r="D143" s="1">
        <v>2</v>
      </c>
      <c r="E143" s="1">
        <v>300</v>
      </c>
      <c r="F143" s="1">
        <v>66</v>
      </c>
      <c r="G143" s="1">
        <v>11</v>
      </c>
      <c r="H143" s="1">
        <v>140</v>
      </c>
      <c r="I143" s="1"/>
      <c r="J143" s="1"/>
    </row>
    <row r="144" spans="1:10" x14ac:dyDescent="0.3">
      <c r="A144" s="1" t="s">
        <v>96</v>
      </c>
      <c r="B144" s="1" t="s">
        <v>172</v>
      </c>
      <c r="C144" s="1" t="s">
        <v>147</v>
      </c>
      <c r="D144" s="1">
        <v>3</v>
      </c>
      <c r="E144" s="1"/>
      <c r="F144" s="1"/>
      <c r="G144" s="1"/>
      <c r="H144" s="1"/>
      <c r="I144" s="1"/>
      <c r="J144" s="1"/>
    </row>
    <row r="145" spans="1:10" x14ac:dyDescent="0.3">
      <c r="A145" s="1" t="s">
        <v>96</v>
      </c>
      <c r="B145" s="1" t="s">
        <v>172</v>
      </c>
      <c r="C145" s="1" t="s">
        <v>147</v>
      </c>
      <c r="D145" s="1">
        <v>4</v>
      </c>
      <c r="E145" s="1">
        <v>274</v>
      </c>
      <c r="F145" s="1">
        <v>60</v>
      </c>
      <c r="G145" s="1">
        <v>8</v>
      </c>
      <c r="H145" s="1">
        <v>76</v>
      </c>
      <c r="I145" s="1"/>
      <c r="J145" s="1"/>
    </row>
    <row r="146" spans="1:10" x14ac:dyDescent="0.3">
      <c r="A146" s="1" t="s">
        <v>96</v>
      </c>
      <c r="B146" s="1" t="s">
        <v>172</v>
      </c>
      <c r="C146" s="1" t="s">
        <v>147</v>
      </c>
      <c r="D146" s="1">
        <v>5</v>
      </c>
      <c r="E146" s="1">
        <v>308</v>
      </c>
      <c r="F146" s="1">
        <v>62</v>
      </c>
      <c r="G146" s="1">
        <v>12</v>
      </c>
      <c r="H146" s="1">
        <v>90</v>
      </c>
      <c r="I146" s="1">
        <v>154</v>
      </c>
      <c r="J146" s="1">
        <v>6</v>
      </c>
    </row>
    <row r="147" spans="1:10" x14ac:dyDescent="0.3">
      <c r="A147" s="1" t="s">
        <v>96</v>
      </c>
      <c r="B147" s="1" t="s">
        <v>172</v>
      </c>
      <c r="C147" s="1" t="s">
        <v>147</v>
      </c>
      <c r="D147" s="1">
        <v>6</v>
      </c>
      <c r="E147" s="1">
        <v>313</v>
      </c>
      <c r="F147" s="1">
        <v>58</v>
      </c>
      <c r="G147" s="1">
        <v>12</v>
      </c>
      <c r="H147" s="1">
        <v>105</v>
      </c>
      <c r="I147" s="1">
        <v>147</v>
      </c>
      <c r="J147" s="1">
        <v>5</v>
      </c>
    </row>
    <row r="148" spans="1:10" x14ac:dyDescent="0.3">
      <c r="A148" s="1" t="s">
        <v>96</v>
      </c>
      <c r="B148" s="1" t="s">
        <v>172</v>
      </c>
      <c r="C148" s="1" t="s">
        <v>147</v>
      </c>
      <c r="D148" s="1">
        <v>7</v>
      </c>
      <c r="E148" s="1">
        <v>320</v>
      </c>
      <c r="F148" s="1">
        <v>62</v>
      </c>
      <c r="G148" s="1">
        <v>13</v>
      </c>
      <c r="H148" s="1">
        <v>106</v>
      </c>
      <c r="I148" s="1">
        <v>200</v>
      </c>
      <c r="J148" s="1">
        <v>6</v>
      </c>
    </row>
    <row r="149" spans="1:10" x14ac:dyDescent="0.3">
      <c r="A149" s="1" t="s">
        <v>96</v>
      </c>
      <c r="B149" s="1" t="s">
        <v>172</v>
      </c>
      <c r="C149" s="1" t="s">
        <v>147</v>
      </c>
      <c r="D149" s="1">
        <v>8</v>
      </c>
      <c r="E149" s="1">
        <v>310</v>
      </c>
      <c r="F149" s="1">
        <v>64</v>
      </c>
      <c r="G149" s="1">
        <v>13</v>
      </c>
      <c r="H149" s="1">
        <v>65</v>
      </c>
      <c r="I149" s="1"/>
      <c r="J149" s="1"/>
    </row>
    <row r="150" spans="1:10" x14ac:dyDescent="0.3">
      <c r="A150" s="1" t="s">
        <v>96</v>
      </c>
      <c r="B150" s="1" t="s">
        <v>172</v>
      </c>
      <c r="C150" s="1" t="s">
        <v>147</v>
      </c>
      <c r="D150" s="1">
        <v>9</v>
      </c>
      <c r="E150" s="1">
        <v>254</v>
      </c>
      <c r="F150" s="1">
        <v>54</v>
      </c>
      <c r="G150" s="1">
        <v>11</v>
      </c>
      <c r="H150" s="1">
        <v>45</v>
      </c>
      <c r="I150" s="1"/>
      <c r="J150" s="1"/>
    </row>
    <row r="151" spans="1:10" x14ac:dyDescent="0.3">
      <c r="A151" s="1" t="s">
        <v>96</v>
      </c>
      <c r="B151" s="1" t="s">
        <v>172</v>
      </c>
      <c r="C151" s="1" t="s">
        <v>147</v>
      </c>
      <c r="D151" s="1">
        <v>10</v>
      </c>
      <c r="E151" s="1">
        <v>340</v>
      </c>
      <c r="F151" s="1">
        <v>67</v>
      </c>
      <c r="G151" s="1">
        <v>13</v>
      </c>
      <c r="H151" s="1">
        <v>108</v>
      </c>
      <c r="I151" s="1">
        <v>163</v>
      </c>
      <c r="J151" s="1">
        <v>6</v>
      </c>
    </row>
    <row r="152" spans="1:10" x14ac:dyDescent="0.3">
      <c r="A152" s="1" t="s">
        <v>96</v>
      </c>
      <c r="B152" s="1" t="s">
        <v>172</v>
      </c>
      <c r="C152" s="1" t="s">
        <v>147</v>
      </c>
      <c r="D152" s="1">
        <v>11</v>
      </c>
      <c r="E152" s="1">
        <v>325</v>
      </c>
      <c r="F152" s="1">
        <v>64</v>
      </c>
      <c r="G152" s="1">
        <v>13</v>
      </c>
      <c r="H152" s="1">
        <v>80</v>
      </c>
      <c r="I152" s="1"/>
      <c r="J152" s="1"/>
    </row>
    <row r="153" spans="1:10" x14ac:dyDescent="0.3">
      <c r="A153" s="1" t="s">
        <v>96</v>
      </c>
      <c r="B153" s="1" t="s">
        <v>172</v>
      </c>
      <c r="C153" s="1" t="s">
        <v>147</v>
      </c>
      <c r="D153" s="1">
        <v>12</v>
      </c>
      <c r="E153" s="1">
        <v>308</v>
      </c>
      <c r="F153" s="1">
        <v>63</v>
      </c>
      <c r="G153" s="1">
        <v>11</v>
      </c>
      <c r="H153" s="1">
        <v>143</v>
      </c>
      <c r="I153" s="1">
        <v>110</v>
      </c>
      <c r="J153" s="1">
        <v>5</v>
      </c>
    </row>
    <row r="154" spans="1:10" x14ac:dyDescent="0.3">
      <c r="A154" s="1" t="s">
        <v>96</v>
      </c>
      <c r="B154" s="1" t="s">
        <v>172</v>
      </c>
      <c r="C154" s="1" t="s">
        <v>147</v>
      </c>
      <c r="D154" s="1">
        <v>13</v>
      </c>
      <c r="E154" s="1">
        <v>283</v>
      </c>
      <c r="F154" s="1">
        <v>55</v>
      </c>
      <c r="G154" s="1">
        <v>12</v>
      </c>
      <c r="H154" s="1">
        <v>65</v>
      </c>
      <c r="I154" s="1"/>
      <c r="J154" s="1"/>
    </row>
    <row r="155" spans="1:10" x14ac:dyDescent="0.3">
      <c r="A155" s="1" t="s">
        <v>96</v>
      </c>
      <c r="B155" s="1" t="s">
        <v>172</v>
      </c>
      <c r="C155" s="1" t="s">
        <v>147</v>
      </c>
      <c r="D155" s="1">
        <v>14</v>
      </c>
      <c r="E155" s="1">
        <v>283</v>
      </c>
      <c r="F155" s="1">
        <v>57</v>
      </c>
      <c r="G155" s="1">
        <v>12</v>
      </c>
      <c r="H155" s="1">
        <v>94</v>
      </c>
      <c r="I155" s="1"/>
      <c r="J155" s="1"/>
    </row>
    <row r="156" spans="1:10" x14ac:dyDescent="0.3">
      <c r="A156" s="1" t="s">
        <v>96</v>
      </c>
      <c r="B156" s="1" t="s">
        <v>99</v>
      </c>
      <c r="C156" s="1" t="s">
        <v>146</v>
      </c>
      <c r="D156" s="1">
        <v>1</v>
      </c>
      <c r="E156" s="1">
        <v>303</v>
      </c>
      <c r="F156" s="1">
        <v>63</v>
      </c>
      <c r="G156" s="1">
        <v>9</v>
      </c>
      <c r="H156" s="1">
        <v>108</v>
      </c>
      <c r="I156" s="1"/>
      <c r="J156" s="1"/>
    </row>
    <row r="157" spans="1:10" x14ac:dyDescent="0.3">
      <c r="A157" s="1" t="s">
        <v>96</v>
      </c>
      <c r="B157" s="1" t="s">
        <v>99</v>
      </c>
      <c r="C157" s="1" t="s">
        <v>146</v>
      </c>
      <c r="D157" s="1">
        <v>2</v>
      </c>
      <c r="E157" s="1">
        <v>333</v>
      </c>
      <c r="F157" s="1">
        <v>66</v>
      </c>
      <c r="G157" s="1">
        <v>10</v>
      </c>
      <c r="H157" s="1">
        <v>213</v>
      </c>
      <c r="I157" s="1"/>
      <c r="J157" s="1"/>
    </row>
    <row r="158" spans="1:10" x14ac:dyDescent="0.3">
      <c r="A158" s="1" t="s">
        <v>96</v>
      </c>
      <c r="B158" s="1" t="s">
        <v>99</v>
      </c>
      <c r="C158" s="1" t="s">
        <v>146</v>
      </c>
      <c r="D158" s="1">
        <v>3</v>
      </c>
      <c r="E158" s="1">
        <v>330</v>
      </c>
      <c r="F158" s="1">
        <v>62</v>
      </c>
      <c r="G158" s="1">
        <v>12</v>
      </c>
      <c r="H158" s="1">
        <v>115</v>
      </c>
      <c r="I158" s="1"/>
      <c r="J158" s="1"/>
    </row>
    <row r="159" spans="1:10" x14ac:dyDescent="0.3">
      <c r="A159" s="1" t="s">
        <v>96</v>
      </c>
      <c r="B159" s="1" t="s">
        <v>99</v>
      </c>
      <c r="C159" s="1" t="s">
        <v>146</v>
      </c>
      <c r="D159" s="1">
        <v>4</v>
      </c>
      <c r="E159" s="1">
        <v>280</v>
      </c>
      <c r="F159" s="1">
        <v>58</v>
      </c>
      <c r="G159" s="1">
        <v>7</v>
      </c>
      <c r="H159" s="1">
        <v>122</v>
      </c>
      <c r="I159" s="1"/>
      <c r="J159" s="1"/>
    </row>
    <row r="160" spans="1:10" x14ac:dyDescent="0.3">
      <c r="A160" s="1" t="s">
        <v>96</v>
      </c>
      <c r="B160" s="1" t="s">
        <v>99</v>
      </c>
      <c r="C160" s="1" t="s">
        <v>146</v>
      </c>
      <c r="D160" s="1">
        <v>5</v>
      </c>
      <c r="E160" s="1">
        <v>276</v>
      </c>
      <c r="F160" s="1">
        <v>58</v>
      </c>
      <c r="G160" s="1">
        <v>7</v>
      </c>
      <c r="H160" s="1">
        <v>130</v>
      </c>
      <c r="I160" s="1"/>
      <c r="J160" s="1"/>
    </row>
    <row r="161" spans="1:10" x14ac:dyDescent="0.3">
      <c r="A161" s="1" t="s">
        <v>96</v>
      </c>
      <c r="B161" s="1" t="s">
        <v>99</v>
      </c>
      <c r="C161" s="1" t="s">
        <v>146</v>
      </c>
      <c r="D161" s="1">
        <v>6</v>
      </c>
      <c r="E161" s="1">
        <v>315</v>
      </c>
      <c r="F161" s="1">
        <v>62</v>
      </c>
      <c r="G161" s="1">
        <v>10</v>
      </c>
      <c r="H161" s="1">
        <v>100</v>
      </c>
      <c r="I161" s="1">
        <v>140</v>
      </c>
      <c r="J161" s="1">
        <v>5</v>
      </c>
    </row>
    <row r="162" spans="1:10" x14ac:dyDescent="0.3">
      <c r="A162" s="1" t="s">
        <v>96</v>
      </c>
      <c r="B162" s="1" t="s">
        <v>99</v>
      </c>
      <c r="C162" s="1" t="s">
        <v>146</v>
      </c>
      <c r="D162" s="1">
        <v>7</v>
      </c>
      <c r="E162" s="1">
        <v>315</v>
      </c>
      <c r="F162" s="1">
        <v>62</v>
      </c>
      <c r="G162" s="1">
        <v>12</v>
      </c>
      <c r="H162" s="1">
        <v>95</v>
      </c>
      <c r="I162" s="1"/>
      <c r="J162" s="1"/>
    </row>
    <row r="163" spans="1:10" x14ac:dyDescent="0.3">
      <c r="A163" s="1" t="s">
        <v>96</v>
      </c>
      <c r="B163" s="1" t="s">
        <v>99</v>
      </c>
      <c r="C163" s="1" t="s">
        <v>146</v>
      </c>
      <c r="D163" s="1">
        <v>8</v>
      </c>
      <c r="E163" s="1">
        <v>310</v>
      </c>
      <c r="F163" s="1">
        <v>62</v>
      </c>
      <c r="G163" s="1">
        <v>8</v>
      </c>
      <c r="H163" s="1">
        <v>147</v>
      </c>
      <c r="I163" s="1"/>
      <c r="J163" s="1"/>
    </row>
    <row r="164" spans="1:10" x14ac:dyDescent="0.3">
      <c r="A164" s="1" t="s">
        <v>96</v>
      </c>
      <c r="B164" s="1" t="s">
        <v>99</v>
      </c>
      <c r="C164" s="1" t="s">
        <v>146</v>
      </c>
      <c r="D164" s="1">
        <v>9</v>
      </c>
      <c r="E164" s="1">
        <v>330</v>
      </c>
      <c r="F164" s="1">
        <v>64</v>
      </c>
      <c r="G164" s="1">
        <v>13</v>
      </c>
      <c r="H164" s="1">
        <v>125</v>
      </c>
      <c r="I164" s="1">
        <v>192</v>
      </c>
      <c r="J164" s="1">
        <v>6</v>
      </c>
    </row>
    <row r="165" spans="1:10" x14ac:dyDescent="0.3">
      <c r="A165" s="1" t="s">
        <v>96</v>
      </c>
      <c r="B165" s="1" t="s">
        <v>99</v>
      </c>
      <c r="C165" s="1" t="s">
        <v>146</v>
      </c>
      <c r="D165" s="1">
        <v>10</v>
      </c>
      <c r="E165" s="1">
        <v>305</v>
      </c>
      <c r="F165" s="1">
        <v>65</v>
      </c>
      <c r="G165" s="1">
        <v>5</v>
      </c>
      <c r="H165" s="1">
        <v>153</v>
      </c>
      <c r="I165" s="1"/>
      <c r="J165" s="1"/>
    </row>
    <row r="166" spans="1:10" x14ac:dyDescent="0.3">
      <c r="A166" s="1" t="s">
        <v>96</v>
      </c>
      <c r="B166" s="1" t="s">
        <v>99</v>
      </c>
      <c r="C166" s="1" t="s">
        <v>146</v>
      </c>
      <c r="D166" s="1">
        <v>11</v>
      </c>
      <c r="E166" s="1">
        <v>270</v>
      </c>
      <c r="F166" s="1">
        <v>61</v>
      </c>
      <c r="G166" s="1">
        <v>12</v>
      </c>
      <c r="H166" s="1">
        <v>72</v>
      </c>
      <c r="I166" s="1"/>
      <c r="J166" s="1"/>
    </row>
    <row r="167" spans="1:10" x14ac:dyDescent="0.3">
      <c r="A167" s="1" t="s">
        <v>96</v>
      </c>
      <c r="B167" s="1" t="s">
        <v>99</v>
      </c>
      <c r="C167" s="1" t="s">
        <v>146</v>
      </c>
      <c r="D167" s="1">
        <v>12</v>
      </c>
      <c r="E167" s="1">
        <v>293</v>
      </c>
      <c r="F167" s="1">
        <v>64</v>
      </c>
      <c r="G167" s="1">
        <v>9</v>
      </c>
      <c r="H167" s="1">
        <v>77</v>
      </c>
      <c r="I167" s="1"/>
      <c r="J167" s="1"/>
    </row>
    <row r="168" spans="1:10" x14ac:dyDescent="0.3">
      <c r="A168" s="1" t="s">
        <v>96</v>
      </c>
      <c r="B168" s="1" t="s">
        <v>99</v>
      </c>
      <c r="C168" s="1" t="s">
        <v>146</v>
      </c>
      <c r="D168" s="1">
        <v>13</v>
      </c>
      <c r="E168" s="1">
        <v>308</v>
      </c>
      <c r="F168" s="1">
        <v>66</v>
      </c>
      <c r="G168" s="1">
        <v>10</v>
      </c>
      <c r="H168" s="1">
        <v>90</v>
      </c>
      <c r="I168" s="1"/>
      <c r="J168" s="1"/>
    </row>
    <row r="169" spans="1:10" x14ac:dyDescent="0.3">
      <c r="A169" s="1" t="s">
        <v>96</v>
      </c>
      <c r="B169" s="1" t="s">
        <v>99</v>
      </c>
      <c r="C169" s="1" t="s">
        <v>146</v>
      </c>
      <c r="D169" s="1">
        <v>14</v>
      </c>
      <c r="E169" s="1">
        <v>300</v>
      </c>
      <c r="F169" s="1">
        <v>63</v>
      </c>
      <c r="G169" s="1">
        <v>10</v>
      </c>
      <c r="H169" s="1">
        <v>162</v>
      </c>
      <c r="I169" s="1"/>
      <c r="J169" s="1"/>
    </row>
    <row r="170" spans="1:10" x14ac:dyDescent="0.3">
      <c r="A170" s="1" t="s">
        <v>182</v>
      </c>
      <c r="B170" s="1" t="s">
        <v>97</v>
      </c>
      <c r="C170" s="1" t="s">
        <v>144</v>
      </c>
      <c r="D170" s="1">
        <v>1</v>
      </c>
      <c r="E170" s="1">
        <v>333</v>
      </c>
      <c r="F170" s="1">
        <v>64</v>
      </c>
      <c r="G170" s="1">
        <v>15</v>
      </c>
      <c r="H170" s="1">
        <v>142</v>
      </c>
      <c r="I170" s="1">
        <v>192</v>
      </c>
      <c r="J170" s="1">
        <v>6</v>
      </c>
    </row>
    <row r="171" spans="1:10" x14ac:dyDescent="0.3">
      <c r="A171" s="1" t="s">
        <v>182</v>
      </c>
      <c r="B171" s="1" t="s">
        <v>97</v>
      </c>
      <c r="C171" s="1" t="s">
        <v>144</v>
      </c>
      <c r="D171" s="1">
        <v>2</v>
      </c>
      <c r="E171" s="1">
        <v>350</v>
      </c>
      <c r="F171" s="1">
        <v>65</v>
      </c>
      <c r="G171" s="1">
        <v>11</v>
      </c>
      <c r="H171" s="1">
        <v>83</v>
      </c>
      <c r="I171" s="1">
        <v>172</v>
      </c>
      <c r="J171" s="1">
        <v>7</v>
      </c>
    </row>
    <row r="172" spans="1:10" x14ac:dyDescent="0.3">
      <c r="A172" s="1" t="s">
        <v>182</v>
      </c>
      <c r="B172" s="1" t="s">
        <v>97</v>
      </c>
      <c r="C172" s="1" t="s">
        <v>144</v>
      </c>
      <c r="D172" s="1">
        <v>3</v>
      </c>
      <c r="E172" s="1">
        <v>300</v>
      </c>
      <c r="F172" s="1">
        <v>60</v>
      </c>
      <c r="G172" s="1">
        <v>10</v>
      </c>
      <c r="H172" s="1">
        <v>60</v>
      </c>
      <c r="I172" s="1"/>
      <c r="J172" s="1"/>
    </row>
    <row r="173" spans="1:10" x14ac:dyDescent="0.3">
      <c r="A173" s="1" t="s">
        <v>182</v>
      </c>
      <c r="B173" s="1" t="s">
        <v>97</v>
      </c>
      <c r="C173" s="1" t="s">
        <v>144</v>
      </c>
      <c r="D173" s="1">
        <v>4</v>
      </c>
      <c r="E173" s="1">
        <v>335</v>
      </c>
      <c r="F173" s="1">
        <v>64</v>
      </c>
      <c r="G173" s="1">
        <v>12</v>
      </c>
      <c r="H173" s="1">
        <v>117</v>
      </c>
      <c r="I173" s="1">
        <v>163</v>
      </c>
      <c r="J173" s="1">
        <v>6</v>
      </c>
    </row>
    <row r="174" spans="1:10" x14ac:dyDescent="0.3">
      <c r="A174" s="1" t="s">
        <v>182</v>
      </c>
      <c r="B174" s="1" t="s">
        <v>97</v>
      </c>
      <c r="C174" s="1" t="s">
        <v>144</v>
      </c>
      <c r="D174" s="1">
        <v>5</v>
      </c>
      <c r="E174" s="1">
        <v>290</v>
      </c>
      <c r="F174" s="1">
        <v>60</v>
      </c>
      <c r="G174" s="1">
        <v>9</v>
      </c>
      <c r="H174" s="1">
        <v>120</v>
      </c>
      <c r="I174" s="1"/>
      <c r="J174" s="1"/>
    </row>
    <row r="175" spans="1:10" x14ac:dyDescent="0.3">
      <c r="A175" s="1" t="s">
        <v>182</v>
      </c>
      <c r="B175" s="1" t="s">
        <v>97</v>
      </c>
      <c r="C175" s="1" t="s">
        <v>144</v>
      </c>
      <c r="D175" s="1">
        <v>6</v>
      </c>
      <c r="E175" s="1">
        <v>300</v>
      </c>
      <c r="F175" s="1">
        <v>59</v>
      </c>
      <c r="G175" s="1">
        <v>13</v>
      </c>
      <c r="H175" s="1">
        <v>110</v>
      </c>
      <c r="I175" s="1">
        <v>160</v>
      </c>
      <c r="J175" s="1">
        <v>9</v>
      </c>
    </row>
    <row r="176" spans="1:10" x14ac:dyDescent="0.3">
      <c r="A176" s="1" t="s">
        <v>182</v>
      </c>
      <c r="B176" s="1" t="s">
        <v>97</v>
      </c>
      <c r="C176" s="1" t="s">
        <v>144</v>
      </c>
      <c r="D176" s="1">
        <v>7</v>
      </c>
      <c r="E176" s="1">
        <v>294</v>
      </c>
      <c r="F176" s="1">
        <v>59</v>
      </c>
      <c r="G176" s="1">
        <v>11</v>
      </c>
      <c r="H176" s="1">
        <v>84</v>
      </c>
      <c r="I176" s="1"/>
      <c r="J176" s="1"/>
    </row>
    <row r="177" spans="1:10" x14ac:dyDescent="0.3">
      <c r="A177" s="1" t="s">
        <v>182</v>
      </c>
      <c r="B177" s="1" t="s">
        <v>97</v>
      </c>
      <c r="C177" s="1" t="s">
        <v>144</v>
      </c>
      <c r="D177" s="1">
        <v>8</v>
      </c>
      <c r="E177" s="1">
        <v>298</v>
      </c>
      <c r="F177" s="1">
        <v>59</v>
      </c>
      <c r="G177" s="1">
        <v>11</v>
      </c>
      <c r="H177" s="1">
        <v>80</v>
      </c>
      <c r="I177" s="1"/>
      <c r="J177" s="1"/>
    </row>
    <row r="178" spans="1:10" x14ac:dyDescent="0.3">
      <c r="A178" s="1" t="s">
        <v>182</v>
      </c>
      <c r="B178" s="1" t="s">
        <v>97</v>
      </c>
      <c r="C178" s="1" t="s">
        <v>144</v>
      </c>
      <c r="D178" s="1">
        <v>9</v>
      </c>
      <c r="E178" s="1">
        <v>350</v>
      </c>
      <c r="F178" s="1">
        <v>62</v>
      </c>
      <c r="G178" s="1">
        <v>15</v>
      </c>
      <c r="H178" s="1">
        <v>145</v>
      </c>
      <c r="I178" s="1">
        <v>200</v>
      </c>
      <c r="J178" s="1">
        <v>5</v>
      </c>
    </row>
    <row r="179" spans="1:10" x14ac:dyDescent="0.3">
      <c r="A179" s="1" t="s">
        <v>182</v>
      </c>
      <c r="B179" s="1" t="s">
        <v>97</v>
      </c>
      <c r="C179" s="1" t="s">
        <v>144</v>
      </c>
      <c r="D179" s="1">
        <v>10</v>
      </c>
      <c r="E179" s="1">
        <v>330</v>
      </c>
      <c r="F179" s="1">
        <v>59</v>
      </c>
      <c r="G179" s="1">
        <v>12</v>
      </c>
      <c r="H179" s="1">
        <v>115</v>
      </c>
      <c r="I179" s="1">
        <v>173</v>
      </c>
      <c r="J179" s="1">
        <v>3</v>
      </c>
    </row>
    <row r="180" spans="1:10" x14ac:dyDescent="0.3">
      <c r="A180" s="1" t="s">
        <v>182</v>
      </c>
      <c r="B180" s="1" t="s">
        <v>97</v>
      </c>
      <c r="C180" s="1" t="s">
        <v>144</v>
      </c>
      <c r="D180" s="1">
        <v>11</v>
      </c>
      <c r="E180" s="1">
        <v>306</v>
      </c>
      <c r="F180" s="1">
        <v>56</v>
      </c>
      <c r="G180" s="1">
        <v>10</v>
      </c>
      <c r="H180" s="1">
        <v>85</v>
      </c>
      <c r="I180" s="1"/>
      <c r="J180" s="1"/>
    </row>
    <row r="181" spans="1:10" x14ac:dyDescent="0.3">
      <c r="A181" s="1" t="s">
        <v>182</v>
      </c>
      <c r="B181" s="1" t="s">
        <v>97</v>
      </c>
      <c r="C181" s="1" t="s">
        <v>144</v>
      </c>
      <c r="D181" s="1">
        <v>12</v>
      </c>
      <c r="E181" s="1">
        <v>335</v>
      </c>
      <c r="F181" s="1">
        <v>61</v>
      </c>
      <c r="G181" s="1">
        <v>12</v>
      </c>
      <c r="H181" s="1">
        <v>75</v>
      </c>
      <c r="I181" s="1">
        <v>120</v>
      </c>
      <c r="J181" s="1">
        <v>7</v>
      </c>
    </row>
    <row r="182" spans="1:10" x14ac:dyDescent="0.3">
      <c r="A182" s="1" t="s">
        <v>182</v>
      </c>
      <c r="B182" s="1" t="s">
        <v>97</v>
      </c>
      <c r="C182" s="1" t="s">
        <v>144</v>
      </c>
      <c r="D182" s="1">
        <v>13</v>
      </c>
      <c r="E182" s="1">
        <v>340</v>
      </c>
      <c r="F182" s="1">
        <v>63</v>
      </c>
      <c r="G182" s="1">
        <v>11</v>
      </c>
      <c r="H182" s="1">
        <v>117</v>
      </c>
      <c r="I182" s="1">
        <v>183</v>
      </c>
      <c r="J182" s="1">
        <v>6</v>
      </c>
    </row>
    <row r="183" spans="1:10" x14ac:dyDescent="0.3">
      <c r="A183" s="1" t="s">
        <v>182</v>
      </c>
      <c r="B183" s="1" t="s">
        <v>97</v>
      </c>
      <c r="C183" s="1" t="s">
        <v>144</v>
      </c>
      <c r="D183" s="1">
        <v>14</v>
      </c>
      <c r="E183" s="1">
        <v>370</v>
      </c>
      <c r="F183" s="1">
        <v>70</v>
      </c>
      <c r="G183" s="1">
        <v>11</v>
      </c>
      <c r="H183" s="1">
        <v>160</v>
      </c>
      <c r="I183" s="1"/>
      <c r="J183" s="1"/>
    </row>
    <row r="184" spans="1:10" x14ac:dyDescent="0.3">
      <c r="A184" s="1" t="s">
        <v>182</v>
      </c>
      <c r="B184" s="1" t="s">
        <v>172</v>
      </c>
      <c r="C184" s="1" t="s">
        <v>146</v>
      </c>
      <c r="D184" s="1">
        <v>1</v>
      </c>
      <c r="E184" s="1">
        <v>320</v>
      </c>
      <c r="F184" s="1">
        <v>65</v>
      </c>
      <c r="G184" s="1">
        <v>12</v>
      </c>
      <c r="H184" s="1">
        <v>76</v>
      </c>
      <c r="I184" s="1">
        <v>80</v>
      </c>
      <c r="J184" s="1">
        <v>7</v>
      </c>
    </row>
    <row r="185" spans="1:10" x14ac:dyDescent="0.3">
      <c r="A185" s="1" t="s">
        <v>182</v>
      </c>
      <c r="B185" s="1" t="s">
        <v>172</v>
      </c>
      <c r="C185" s="1" t="s">
        <v>146</v>
      </c>
      <c r="D185" s="1">
        <v>2</v>
      </c>
      <c r="E185" s="1">
        <v>340</v>
      </c>
      <c r="F185" s="1">
        <v>63</v>
      </c>
      <c r="G185" s="1">
        <v>15</v>
      </c>
      <c r="H185" s="1">
        <v>124</v>
      </c>
      <c r="I185" s="1">
        <v>186</v>
      </c>
      <c r="J185" s="1">
        <v>6</v>
      </c>
    </row>
    <row r="186" spans="1:10" x14ac:dyDescent="0.3">
      <c r="A186" s="1" t="s">
        <v>182</v>
      </c>
      <c r="B186" s="1" t="s">
        <v>172</v>
      </c>
      <c r="C186" s="1" t="s">
        <v>146</v>
      </c>
      <c r="D186" s="1">
        <v>3</v>
      </c>
      <c r="E186" s="1">
        <v>335</v>
      </c>
      <c r="F186" s="1">
        <v>64</v>
      </c>
      <c r="G186" s="1">
        <v>13</v>
      </c>
      <c r="H186" s="1">
        <v>106</v>
      </c>
      <c r="I186" s="1">
        <v>150</v>
      </c>
      <c r="J186" s="1">
        <v>5</v>
      </c>
    </row>
    <row r="187" spans="1:10" x14ac:dyDescent="0.3">
      <c r="A187" s="1" t="s">
        <v>182</v>
      </c>
      <c r="B187" s="1" t="s">
        <v>172</v>
      </c>
      <c r="C187" s="1" t="s">
        <v>146</v>
      </c>
      <c r="D187" s="1">
        <v>4</v>
      </c>
      <c r="E187" s="1">
        <v>325</v>
      </c>
      <c r="F187" s="1">
        <v>66</v>
      </c>
      <c r="G187" s="1">
        <v>11</v>
      </c>
      <c r="H187" s="1">
        <v>135</v>
      </c>
      <c r="I187" s="1">
        <v>204</v>
      </c>
      <c r="J187" s="1">
        <v>5</v>
      </c>
    </row>
    <row r="188" spans="1:10" x14ac:dyDescent="0.3">
      <c r="A188" s="1" t="s">
        <v>182</v>
      </c>
      <c r="B188" s="1" t="s">
        <v>172</v>
      </c>
      <c r="C188" s="1" t="s">
        <v>146</v>
      </c>
      <c r="D188" s="1">
        <v>5</v>
      </c>
      <c r="E188" s="1">
        <v>336</v>
      </c>
      <c r="F188" s="1">
        <v>64</v>
      </c>
      <c r="G188" s="1">
        <v>11</v>
      </c>
      <c r="H188" s="1">
        <v>170</v>
      </c>
      <c r="I188" s="1">
        <v>216</v>
      </c>
      <c r="J188" s="1">
        <v>5</v>
      </c>
    </row>
    <row r="189" spans="1:10" x14ac:dyDescent="0.3">
      <c r="A189" s="1" t="s">
        <v>182</v>
      </c>
      <c r="B189" s="1" t="s">
        <v>172</v>
      </c>
      <c r="C189" s="1" t="s">
        <v>146</v>
      </c>
      <c r="D189" s="1">
        <v>6</v>
      </c>
      <c r="E189" s="1">
        <v>315</v>
      </c>
      <c r="F189" s="1">
        <v>57</v>
      </c>
      <c r="G189" s="1">
        <v>13</v>
      </c>
      <c r="H189" s="1">
        <v>120</v>
      </c>
      <c r="I189" s="1">
        <v>155</v>
      </c>
      <c r="J189" s="1">
        <v>6</v>
      </c>
    </row>
    <row r="190" spans="1:10" x14ac:dyDescent="0.3">
      <c r="A190" s="1" t="s">
        <v>182</v>
      </c>
      <c r="B190" s="1" t="s">
        <v>172</v>
      </c>
      <c r="C190" s="1" t="s">
        <v>146</v>
      </c>
      <c r="D190" s="1">
        <v>7</v>
      </c>
      <c r="E190" s="1">
        <v>315</v>
      </c>
      <c r="F190" s="1">
        <v>57</v>
      </c>
      <c r="G190" s="1">
        <v>12</v>
      </c>
      <c r="H190" s="1">
        <v>142</v>
      </c>
      <c r="I190" s="1">
        <v>194</v>
      </c>
      <c r="J190" s="1">
        <v>5</v>
      </c>
    </row>
    <row r="191" spans="1:10" x14ac:dyDescent="0.3">
      <c r="A191" s="1" t="s">
        <v>182</v>
      </c>
      <c r="B191" s="1" t="s">
        <v>172</v>
      </c>
      <c r="C191" s="1" t="s">
        <v>146</v>
      </c>
      <c r="D191" s="1">
        <v>8</v>
      </c>
      <c r="E191" s="1">
        <v>290</v>
      </c>
      <c r="F191" s="1">
        <v>60</v>
      </c>
      <c r="G191" s="1">
        <v>11</v>
      </c>
      <c r="H191" s="1">
        <v>75</v>
      </c>
      <c r="I191" s="1"/>
      <c r="J191" s="1"/>
    </row>
    <row r="192" spans="1:10" x14ac:dyDescent="0.3">
      <c r="A192" s="1" t="s">
        <v>182</v>
      </c>
      <c r="B192" s="1" t="s">
        <v>172</v>
      </c>
      <c r="C192" s="1" t="s">
        <v>146</v>
      </c>
      <c r="D192" s="1">
        <v>9</v>
      </c>
      <c r="E192" s="1">
        <v>345</v>
      </c>
      <c r="F192" s="1">
        <v>66</v>
      </c>
      <c r="G192" s="1">
        <v>14</v>
      </c>
      <c r="H192" s="1">
        <v>93</v>
      </c>
      <c r="I192" s="1">
        <v>192</v>
      </c>
      <c r="J192" s="1">
        <v>6</v>
      </c>
    </row>
    <row r="193" spans="1:10" x14ac:dyDescent="0.3">
      <c r="A193" s="1" t="s">
        <v>182</v>
      </c>
      <c r="B193" s="1" t="s">
        <v>172</v>
      </c>
      <c r="C193" s="1" t="s">
        <v>146</v>
      </c>
      <c r="D193" s="1">
        <v>10</v>
      </c>
      <c r="E193" s="1">
        <v>323</v>
      </c>
      <c r="F193" s="1">
        <v>67</v>
      </c>
      <c r="G193" s="1">
        <v>9</v>
      </c>
      <c r="H193" s="1">
        <v>126</v>
      </c>
      <c r="I193" s="1"/>
      <c r="J193" s="1"/>
    </row>
    <row r="194" spans="1:10" x14ac:dyDescent="0.3">
      <c r="A194" s="1" t="s">
        <v>182</v>
      </c>
      <c r="B194" s="1" t="s">
        <v>172</v>
      </c>
      <c r="C194" s="1" t="s">
        <v>146</v>
      </c>
      <c r="D194" s="1">
        <v>11</v>
      </c>
      <c r="E194" s="1">
        <v>300</v>
      </c>
      <c r="F194" s="1">
        <v>64</v>
      </c>
      <c r="G194" s="1">
        <v>9</v>
      </c>
      <c r="H194" s="1">
        <v>50</v>
      </c>
      <c r="I194" s="1"/>
      <c r="J194" s="1"/>
    </row>
    <row r="195" spans="1:10" x14ac:dyDescent="0.3">
      <c r="A195" s="1" t="s">
        <v>182</v>
      </c>
      <c r="B195" s="1" t="s">
        <v>172</v>
      </c>
      <c r="C195" s="1" t="s">
        <v>146</v>
      </c>
      <c r="D195" s="1">
        <v>12</v>
      </c>
      <c r="E195" s="1">
        <v>300</v>
      </c>
      <c r="F195" s="1">
        <v>58</v>
      </c>
      <c r="G195" s="1">
        <v>11</v>
      </c>
      <c r="H195" s="1">
        <v>74</v>
      </c>
      <c r="I195" s="1"/>
      <c r="J195" s="1"/>
    </row>
    <row r="196" spans="1:10" x14ac:dyDescent="0.3">
      <c r="A196" s="1" t="s">
        <v>182</v>
      </c>
      <c r="B196" s="1" t="s">
        <v>172</v>
      </c>
      <c r="C196" s="1" t="s">
        <v>146</v>
      </c>
      <c r="D196" s="1">
        <v>13</v>
      </c>
      <c r="E196" s="1">
        <v>290</v>
      </c>
      <c r="F196" s="1">
        <v>53</v>
      </c>
      <c r="G196" s="1">
        <v>10</v>
      </c>
      <c r="H196" s="1">
        <v>115</v>
      </c>
      <c r="I196" s="1"/>
      <c r="J196" s="1"/>
    </row>
    <row r="197" spans="1:10" x14ac:dyDescent="0.3">
      <c r="A197" s="1" t="s">
        <v>182</v>
      </c>
      <c r="B197" s="1" t="s">
        <v>172</v>
      </c>
      <c r="C197" s="1" t="s">
        <v>146</v>
      </c>
      <c r="D197" s="1">
        <v>14</v>
      </c>
      <c r="E197" s="1">
        <v>300</v>
      </c>
      <c r="F197" s="1">
        <v>62</v>
      </c>
      <c r="G197" s="1">
        <v>12</v>
      </c>
      <c r="H197" s="1">
        <v>155</v>
      </c>
      <c r="I197" s="1"/>
      <c r="J197" s="1"/>
    </row>
    <row r="198" spans="1:10" x14ac:dyDescent="0.3">
      <c r="A198" s="1" t="s">
        <v>182</v>
      </c>
      <c r="B198" s="1" t="s">
        <v>109</v>
      </c>
      <c r="C198" s="1" t="s">
        <v>147</v>
      </c>
      <c r="D198" s="1">
        <v>1</v>
      </c>
      <c r="E198" s="1">
        <v>302</v>
      </c>
      <c r="F198" s="1">
        <v>68</v>
      </c>
      <c r="G198" s="1">
        <v>10</v>
      </c>
      <c r="H198" s="1">
        <v>172</v>
      </c>
      <c r="I198" s="1"/>
      <c r="J198" s="1"/>
    </row>
    <row r="199" spans="1:10" x14ac:dyDescent="0.3">
      <c r="A199" s="1" t="s">
        <v>182</v>
      </c>
      <c r="B199" s="1" t="s">
        <v>109</v>
      </c>
      <c r="C199" s="1" t="s">
        <v>147</v>
      </c>
      <c r="D199" s="1">
        <v>2</v>
      </c>
      <c r="E199" s="1">
        <v>330</v>
      </c>
      <c r="F199" s="1">
        <v>66</v>
      </c>
      <c r="G199" s="1">
        <v>10</v>
      </c>
      <c r="H199" s="1">
        <v>132</v>
      </c>
      <c r="I199" s="1"/>
      <c r="J199" s="1"/>
    </row>
    <row r="200" spans="1:10" x14ac:dyDescent="0.3">
      <c r="A200" s="1" t="s">
        <v>182</v>
      </c>
      <c r="B200" s="1" t="s">
        <v>109</v>
      </c>
      <c r="C200" s="1" t="s">
        <v>147</v>
      </c>
      <c r="D200" s="1">
        <v>3</v>
      </c>
      <c r="E200" s="1">
        <v>353</v>
      </c>
      <c r="F200" s="1">
        <v>69</v>
      </c>
      <c r="G200" s="1">
        <v>14</v>
      </c>
      <c r="H200" s="1">
        <v>210</v>
      </c>
      <c r="I200" s="1">
        <v>235</v>
      </c>
      <c r="J200" s="1">
        <v>6</v>
      </c>
    </row>
    <row r="201" spans="1:10" x14ac:dyDescent="0.3">
      <c r="A201" s="1" t="s">
        <v>182</v>
      </c>
      <c r="B201" s="1" t="s">
        <v>109</v>
      </c>
      <c r="C201" s="1" t="s">
        <v>147</v>
      </c>
      <c r="D201" s="1">
        <v>4</v>
      </c>
      <c r="E201" s="1">
        <v>336</v>
      </c>
      <c r="F201" s="1">
        <v>64</v>
      </c>
      <c r="G201" s="1">
        <v>12</v>
      </c>
      <c r="H201" s="1">
        <v>144</v>
      </c>
      <c r="I201" s="1">
        <v>210</v>
      </c>
      <c r="J201" s="1">
        <v>6</v>
      </c>
    </row>
    <row r="202" spans="1:10" x14ac:dyDescent="0.3">
      <c r="A202" s="1" t="s">
        <v>182</v>
      </c>
      <c r="B202" s="1" t="s">
        <v>109</v>
      </c>
      <c r="C202" s="1" t="s">
        <v>147</v>
      </c>
      <c r="D202" s="1">
        <v>5</v>
      </c>
      <c r="E202" s="1">
        <v>303</v>
      </c>
      <c r="F202" s="1">
        <v>56</v>
      </c>
      <c r="G202" s="1">
        <v>12</v>
      </c>
      <c r="H202" s="1">
        <v>106</v>
      </c>
      <c r="I202" s="1">
        <v>160</v>
      </c>
      <c r="J202" s="1">
        <v>7</v>
      </c>
    </row>
    <row r="203" spans="1:10" x14ac:dyDescent="0.3">
      <c r="A203" s="1" t="s">
        <v>182</v>
      </c>
      <c r="B203" s="1" t="s">
        <v>109</v>
      </c>
      <c r="C203" s="1" t="s">
        <v>147</v>
      </c>
      <c r="D203" s="1">
        <v>6</v>
      </c>
      <c r="E203" s="1">
        <v>330</v>
      </c>
      <c r="F203" s="1">
        <v>64</v>
      </c>
      <c r="G203" s="1">
        <v>13</v>
      </c>
      <c r="H203" s="1">
        <v>106</v>
      </c>
      <c r="I203" s="1">
        <v>160</v>
      </c>
      <c r="J203" s="1">
        <v>4</v>
      </c>
    </row>
    <row r="204" spans="1:10" x14ac:dyDescent="0.3">
      <c r="A204" s="1" t="s">
        <v>182</v>
      </c>
      <c r="B204" s="1" t="s">
        <v>109</v>
      </c>
      <c r="C204" s="1" t="s">
        <v>147</v>
      </c>
      <c r="D204" s="1">
        <v>7</v>
      </c>
      <c r="E204" s="1">
        <v>327</v>
      </c>
      <c r="F204" s="1">
        <v>63</v>
      </c>
      <c r="G204" s="1">
        <v>12</v>
      </c>
      <c r="H204" s="1">
        <v>145</v>
      </c>
      <c r="I204" s="1"/>
      <c r="J204" s="1"/>
    </row>
    <row r="205" spans="1:10" x14ac:dyDescent="0.3">
      <c r="A205" s="1" t="s">
        <v>182</v>
      </c>
      <c r="B205" s="1" t="s">
        <v>109</v>
      </c>
      <c r="C205" s="1" t="s">
        <v>147</v>
      </c>
      <c r="D205" s="1">
        <v>8</v>
      </c>
      <c r="E205" s="1">
        <v>350</v>
      </c>
      <c r="F205" s="1">
        <v>64</v>
      </c>
      <c r="G205" s="1">
        <v>11</v>
      </c>
      <c r="H205" s="1">
        <v>138</v>
      </c>
      <c r="I205" s="1">
        <v>206</v>
      </c>
      <c r="J205" s="1">
        <v>7</v>
      </c>
    </row>
    <row r="206" spans="1:10" x14ac:dyDescent="0.3">
      <c r="A206" s="1" t="s">
        <v>182</v>
      </c>
      <c r="B206" s="1" t="s">
        <v>109</v>
      </c>
      <c r="C206" s="1" t="s">
        <v>147</v>
      </c>
      <c r="D206" s="1">
        <v>9</v>
      </c>
      <c r="E206" s="1">
        <v>336</v>
      </c>
      <c r="F206" s="1">
        <v>66</v>
      </c>
      <c r="G206" s="1">
        <v>14</v>
      </c>
      <c r="H206" s="1">
        <v>145</v>
      </c>
      <c r="I206" s="1">
        <v>216</v>
      </c>
      <c r="J206" s="1">
        <v>7</v>
      </c>
    </row>
    <row r="207" spans="1:10" x14ac:dyDescent="0.3">
      <c r="A207" s="1" t="s">
        <v>182</v>
      </c>
      <c r="B207" s="1" t="s">
        <v>109</v>
      </c>
      <c r="C207" s="1" t="s">
        <v>147</v>
      </c>
      <c r="D207" s="1">
        <v>10</v>
      </c>
      <c r="E207" s="1">
        <v>310</v>
      </c>
      <c r="F207" s="1">
        <v>59</v>
      </c>
      <c r="G207" s="1">
        <v>14</v>
      </c>
      <c r="H207" s="1">
        <v>100</v>
      </c>
      <c r="I207" s="1">
        <v>146</v>
      </c>
      <c r="J207" s="1">
        <v>5</v>
      </c>
    </row>
    <row r="208" spans="1:10" x14ac:dyDescent="0.3">
      <c r="A208" s="1" t="s">
        <v>182</v>
      </c>
      <c r="B208" s="1" t="s">
        <v>109</v>
      </c>
      <c r="C208" s="1" t="s">
        <v>147</v>
      </c>
      <c r="D208" s="1">
        <v>11</v>
      </c>
      <c r="E208" s="1">
        <v>348</v>
      </c>
      <c r="F208" s="1">
        <v>69</v>
      </c>
      <c r="G208" s="1">
        <v>14</v>
      </c>
      <c r="H208" s="1">
        <v>100</v>
      </c>
      <c r="I208" s="1">
        <v>146</v>
      </c>
      <c r="J208" s="1">
        <v>6</v>
      </c>
    </row>
    <row r="209" spans="1:10" x14ac:dyDescent="0.3">
      <c r="A209" s="1" t="s">
        <v>182</v>
      </c>
      <c r="B209" s="1" t="s">
        <v>109</v>
      </c>
      <c r="C209" s="1" t="s">
        <v>147</v>
      </c>
      <c r="D209" s="1">
        <v>12</v>
      </c>
      <c r="E209" s="1">
        <v>302</v>
      </c>
      <c r="F209" s="1">
        <v>61</v>
      </c>
      <c r="G209" s="1">
        <v>10</v>
      </c>
      <c r="H209" s="1">
        <v>93</v>
      </c>
      <c r="I209" s="1"/>
      <c r="J209" s="1"/>
    </row>
    <row r="210" spans="1:10" x14ac:dyDescent="0.3">
      <c r="A210" s="1" t="s">
        <v>182</v>
      </c>
      <c r="B210" s="1" t="s">
        <v>109</v>
      </c>
      <c r="C210" s="1" t="s">
        <v>147</v>
      </c>
      <c r="D210" s="1">
        <v>13</v>
      </c>
      <c r="E210" s="1">
        <v>345</v>
      </c>
      <c r="F210" s="1">
        <v>67</v>
      </c>
      <c r="G210" s="1">
        <v>13</v>
      </c>
      <c r="H210" s="1">
        <v>100</v>
      </c>
      <c r="I210" s="1">
        <v>175</v>
      </c>
      <c r="J210" s="1">
        <v>5</v>
      </c>
    </row>
    <row r="211" spans="1:10" x14ac:dyDescent="0.3">
      <c r="A211" s="1" t="s">
        <v>182</v>
      </c>
      <c r="B211" s="1" t="s">
        <v>109</v>
      </c>
      <c r="C211" s="1" t="s">
        <v>147</v>
      </c>
      <c r="D211" s="1">
        <v>14</v>
      </c>
      <c r="E211" s="1">
        <v>302</v>
      </c>
      <c r="F211" s="1">
        <v>67</v>
      </c>
      <c r="G211" s="1">
        <v>10</v>
      </c>
      <c r="H211" s="1">
        <v>160</v>
      </c>
      <c r="I211" s="1"/>
      <c r="J211" s="1"/>
    </row>
    <row r="212" spans="1:10" x14ac:dyDescent="0.3">
      <c r="A212" s="1" t="s">
        <v>182</v>
      </c>
      <c r="B212" s="1" t="s">
        <v>97</v>
      </c>
      <c r="C212" s="1" t="s">
        <v>146</v>
      </c>
      <c r="D212" s="1">
        <v>1</v>
      </c>
      <c r="E212" s="1">
        <v>335</v>
      </c>
      <c r="F212" s="1">
        <v>66</v>
      </c>
      <c r="G212" s="1">
        <v>10</v>
      </c>
      <c r="H212" s="1">
        <v>170</v>
      </c>
      <c r="I212" s="1"/>
      <c r="J212" s="1"/>
    </row>
    <row r="213" spans="1:10" x14ac:dyDescent="0.3">
      <c r="A213" s="1" t="s">
        <v>182</v>
      </c>
      <c r="B213" s="1" t="s">
        <v>97</v>
      </c>
      <c r="C213" s="1" t="s">
        <v>146</v>
      </c>
      <c r="D213" s="1">
        <v>2</v>
      </c>
      <c r="E213" s="1">
        <v>330</v>
      </c>
      <c r="F213" s="1">
        <v>66</v>
      </c>
      <c r="G213" s="1">
        <v>12</v>
      </c>
      <c r="H213" s="1">
        <v>130</v>
      </c>
      <c r="I213" s="1">
        <v>180</v>
      </c>
      <c r="J213" s="1">
        <v>6</v>
      </c>
    </row>
    <row r="214" spans="1:10" x14ac:dyDescent="0.3">
      <c r="A214" s="1" t="s">
        <v>182</v>
      </c>
      <c r="B214" s="1" t="s">
        <v>97</v>
      </c>
      <c r="C214" s="1" t="s">
        <v>146</v>
      </c>
      <c r="D214" s="1">
        <v>3</v>
      </c>
      <c r="E214" s="1">
        <v>323</v>
      </c>
      <c r="F214" s="1">
        <v>69</v>
      </c>
      <c r="G214" s="1">
        <v>13</v>
      </c>
      <c r="H214" s="1">
        <v>82</v>
      </c>
      <c r="I214" s="1">
        <v>130</v>
      </c>
      <c r="J214" s="1">
        <v>7</v>
      </c>
    </row>
    <row r="215" spans="1:10" x14ac:dyDescent="0.3">
      <c r="A215" s="1" t="s">
        <v>182</v>
      </c>
      <c r="B215" s="1" t="s">
        <v>97</v>
      </c>
      <c r="C215" s="1" t="s">
        <v>146</v>
      </c>
      <c r="D215" s="1">
        <v>4</v>
      </c>
      <c r="E215" s="1">
        <v>332</v>
      </c>
      <c r="F215" s="1">
        <v>64</v>
      </c>
      <c r="G215" s="1">
        <v>11</v>
      </c>
      <c r="H215" s="1">
        <v>156</v>
      </c>
      <c r="I215" s="1">
        <v>220</v>
      </c>
      <c r="J215" s="1">
        <v>8</v>
      </c>
    </row>
    <row r="216" spans="1:10" x14ac:dyDescent="0.3">
      <c r="A216" s="1" t="s">
        <v>182</v>
      </c>
      <c r="B216" s="1" t="s">
        <v>97</v>
      </c>
      <c r="C216" s="1" t="s">
        <v>146</v>
      </c>
      <c r="D216" s="1">
        <v>5</v>
      </c>
      <c r="E216" s="1">
        <v>307</v>
      </c>
      <c r="F216" s="1">
        <v>74</v>
      </c>
      <c r="G216" s="1">
        <v>11</v>
      </c>
      <c r="H216" s="1">
        <v>170</v>
      </c>
      <c r="I216" s="1"/>
      <c r="J216" s="1"/>
    </row>
    <row r="217" spans="1:10" x14ac:dyDescent="0.3">
      <c r="A217" s="1" t="s">
        <v>182</v>
      </c>
      <c r="B217" s="1" t="s">
        <v>97</v>
      </c>
      <c r="C217" s="1" t="s">
        <v>146</v>
      </c>
      <c r="D217" s="1">
        <v>6</v>
      </c>
      <c r="E217" s="1">
        <v>335</v>
      </c>
      <c r="F217" s="1">
        <v>67</v>
      </c>
      <c r="G217" s="1">
        <v>10</v>
      </c>
      <c r="H217" s="1">
        <v>155</v>
      </c>
      <c r="I217" s="1"/>
      <c r="J217" s="1"/>
    </row>
    <row r="218" spans="1:10" x14ac:dyDescent="0.3">
      <c r="A218" s="1" t="s">
        <v>182</v>
      </c>
      <c r="B218" s="1" t="s">
        <v>97</v>
      </c>
      <c r="C218" s="1" t="s">
        <v>146</v>
      </c>
      <c r="D218" s="1">
        <v>7</v>
      </c>
      <c r="E218" s="1">
        <v>320</v>
      </c>
      <c r="F218" s="1">
        <v>70</v>
      </c>
      <c r="G218" s="1">
        <v>11</v>
      </c>
      <c r="H218" s="1">
        <v>155</v>
      </c>
      <c r="I218" s="1"/>
      <c r="J218" s="1"/>
    </row>
    <row r="219" spans="1:10" x14ac:dyDescent="0.3">
      <c r="A219" s="1" t="s">
        <v>182</v>
      </c>
      <c r="B219" s="1" t="s">
        <v>97</v>
      </c>
      <c r="C219" s="1" t="s">
        <v>146</v>
      </c>
      <c r="D219" s="1">
        <v>8</v>
      </c>
      <c r="E219" s="1">
        <v>340</v>
      </c>
      <c r="F219" s="1">
        <v>66</v>
      </c>
      <c r="G219" s="1">
        <v>13</v>
      </c>
      <c r="H219" s="1">
        <v>110</v>
      </c>
      <c r="I219" s="1"/>
      <c r="J219" s="1"/>
    </row>
    <row r="220" spans="1:10" x14ac:dyDescent="0.3">
      <c r="A220" s="1" t="s">
        <v>182</v>
      </c>
      <c r="B220" s="1" t="s">
        <v>97</v>
      </c>
      <c r="C220" s="1" t="s">
        <v>146</v>
      </c>
      <c r="D220" s="1">
        <v>9</v>
      </c>
      <c r="E220" s="1">
        <v>343</v>
      </c>
      <c r="F220" s="1">
        <v>69</v>
      </c>
      <c r="G220" s="1">
        <v>15</v>
      </c>
      <c r="H220" s="1">
        <v>150</v>
      </c>
      <c r="I220" s="1">
        <v>193</v>
      </c>
      <c r="J220" s="1">
        <v>6</v>
      </c>
    </row>
    <row r="221" spans="1:10" x14ac:dyDescent="0.3">
      <c r="A221" s="1" t="s">
        <v>182</v>
      </c>
      <c r="B221" s="1" t="s">
        <v>97</v>
      </c>
      <c r="C221" s="1" t="s">
        <v>146</v>
      </c>
      <c r="D221" s="1">
        <v>10</v>
      </c>
      <c r="E221" s="1">
        <v>260</v>
      </c>
      <c r="F221" s="1">
        <v>57</v>
      </c>
      <c r="G221" s="1">
        <v>8</v>
      </c>
      <c r="H221" s="1">
        <v>75</v>
      </c>
      <c r="I221" s="1"/>
      <c r="J221" s="1"/>
    </row>
    <row r="222" spans="1:10" x14ac:dyDescent="0.3">
      <c r="A222" s="1" t="s">
        <v>182</v>
      </c>
      <c r="B222" s="1" t="s">
        <v>97</v>
      </c>
      <c r="C222" s="1" t="s">
        <v>146</v>
      </c>
      <c r="D222" s="1">
        <v>11</v>
      </c>
      <c r="E222" s="1">
        <v>310</v>
      </c>
      <c r="F222" s="1">
        <v>64</v>
      </c>
      <c r="G222" s="1">
        <v>10</v>
      </c>
      <c r="H222" s="1">
        <v>128</v>
      </c>
      <c r="I222" s="1"/>
      <c r="J222" s="1"/>
    </row>
    <row r="223" spans="1:10" x14ac:dyDescent="0.3">
      <c r="A223" s="1" t="s">
        <v>182</v>
      </c>
      <c r="B223" s="1" t="s">
        <v>97</v>
      </c>
      <c r="C223" s="1" t="s">
        <v>146</v>
      </c>
      <c r="D223" s="1">
        <v>12</v>
      </c>
      <c r="E223" s="1">
        <v>315</v>
      </c>
      <c r="F223" s="1">
        <v>65</v>
      </c>
      <c r="G223" s="1">
        <v>9</v>
      </c>
      <c r="H223" s="1">
        <v>145</v>
      </c>
      <c r="I223" s="1"/>
      <c r="J223" s="1"/>
    </row>
    <row r="224" spans="1:10" x14ac:dyDescent="0.3">
      <c r="A224" s="1" t="s">
        <v>182</v>
      </c>
      <c r="B224" s="1" t="s">
        <v>97</v>
      </c>
      <c r="C224" s="1" t="s">
        <v>146</v>
      </c>
      <c r="D224" s="1">
        <v>13</v>
      </c>
      <c r="E224" s="1">
        <v>275</v>
      </c>
      <c r="F224" s="1">
        <v>60</v>
      </c>
      <c r="G224" s="1">
        <v>10</v>
      </c>
      <c r="H224" s="1">
        <v>105</v>
      </c>
      <c r="I224" s="1"/>
      <c r="J224" s="1"/>
    </row>
    <row r="225" spans="1:10" x14ac:dyDescent="0.3">
      <c r="A225" s="1" t="s">
        <v>182</v>
      </c>
      <c r="B225" s="1" t="s">
        <v>97</v>
      </c>
      <c r="C225" s="1" t="s">
        <v>146</v>
      </c>
      <c r="D225" s="1">
        <v>14</v>
      </c>
      <c r="E225" s="1">
        <v>324</v>
      </c>
      <c r="F225" s="1">
        <v>67</v>
      </c>
      <c r="G225" s="1">
        <v>10</v>
      </c>
      <c r="H225" s="1">
        <v>155</v>
      </c>
      <c r="I225" s="1"/>
      <c r="J225" s="1"/>
    </row>
    <row r="226" spans="1:10" x14ac:dyDescent="0.3">
      <c r="A226" s="1" t="s">
        <v>182</v>
      </c>
      <c r="B226" s="1" t="s">
        <v>99</v>
      </c>
      <c r="C226" s="1" t="s">
        <v>144</v>
      </c>
      <c r="D226" s="1">
        <v>1</v>
      </c>
      <c r="E226" s="1">
        <v>320</v>
      </c>
      <c r="F226" s="1">
        <v>64</v>
      </c>
      <c r="G226" s="1">
        <v>11</v>
      </c>
      <c r="H226" s="1">
        <v>120</v>
      </c>
      <c r="I226" s="1"/>
      <c r="J226" s="1"/>
    </row>
    <row r="227" spans="1:10" x14ac:dyDescent="0.3">
      <c r="A227" s="1" t="s">
        <v>182</v>
      </c>
      <c r="B227" s="1" t="s">
        <v>99</v>
      </c>
      <c r="C227" s="1" t="s">
        <v>144</v>
      </c>
      <c r="D227" s="1">
        <v>2</v>
      </c>
      <c r="E227" s="1">
        <v>350</v>
      </c>
      <c r="F227" s="1">
        <v>65</v>
      </c>
      <c r="G227" s="1">
        <v>15</v>
      </c>
      <c r="H227" s="1">
        <v>124</v>
      </c>
      <c r="I227" s="1">
        <v>203</v>
      </c>
      <c r="J227" s="1">
        <v>6</v>
      </c>
    </row>
    <row r="228" spans="1:10" x14ac:dyDescent="0.3">
      <c r="A228" s="1" t="s">
        <v>182</v>
      </c>
      <c r="B228" s="1" t="s">
        <v>99</v>
      </c>
      <c r="C228" s="1" t="s">
        <v>144</v>
      </c>
      <c r="D228" s="1">
        <v>3</v>
      </c>
      <c r="E228" s="1">
        <v>287</v>
      </c>
      <c r="F228" s="1">
        <v>57</v>
      </c>
      <c r="G228" s="1">
        <v>11</v>
      </c>
      <c r="H228" s="1">
        <v>57</v>
      </c>
      <c r="I228" s="1"/>
      <c r="J228" s="1"/>
    </row>
    <row r="229" spans="1:10" x14ac:dyDescent="0.3">
      <c r="A229" s="1" t="s">
        <v>182</v>
      </c>
      <c r="B229" s="1" t="s">
        <v>99</v>
      </c>
      <c r="C229" s="1" t="s">
        <v>144</v>
      </c>
      <c r="D229" s="1">
        <v>4</v>
      </c>
      <c r="E229" s="1">
        <v>344</v>
      </c>
      <c r="F229" s="1">
        <v>65</v>
      </c>
      <c r="G229" s="1">
        <v>13</v>
      </c>
      <c r="H229" s="1">
        <v>86</v>
      </c>
      <c r="I229" s="1">
        <v>145</v>
      </c>
      <c r="J229" s="1">
        <v>6</v>
      </c>
    </row>
    <row r="230" spans="1:10" x14ac:dyDescent="0.3">
      <c r="A230" s="1" t="s">
        <v>182</v>
      </c>
      <c r="B230" s="1" t="s">
        <v>99</v>
      </c>
      <c r="C230" s="1" t="s">
        <v>144</v>
      </c>
      <c r="D230" s="1">
        <v>5</v>
      </c>
      <c r="E230" s="1">
        <v>342</v>
      </c>
      <c r="F230" s="1">
        <v>69</v>
      </c>
      <c r="G230" s="1">
        <v>15</v>
      </c>
      <c r="H230" s="1">
        <v>164</v>
      </c>
      <c r="I230" s="1">
        <v>172</v>
      </c>
      <c r="J230" s="1">
        <v>6</v>
      </c>
    </row>
    <row r="231" spans="1:10" x14ac:dyDescent="0.3">
      <c r="A231" s="1" t="s">
        <v>182</v>
      </c>
      <c r="B231" s="1" t="s">
        <v>99</v>
      </c>
      <c r="C231" s="1" t="s">
        <v>144</v>
      </c>
      <c r="D231" s="1">
        <v>6</v>
      </c>
      <c r="E231" s="1">
        <v>310</v>
      </c>
      <c r="F231" s="1">
        <v>56</v>
      </c>
      <c r="G231" s="1">
        <v>16</v>
      </c>
      <c r="H231" s="1">
        <v>100</v>
      </c>
      <c r="I231" s="1">
        <v>125</v>
      </c>
      <c r="J231" s="1">
        <v>7</v>
      </c>
    </row>
    <row r="232" spans="1:10" x14ac:dyDescent="0.3">
      <c r="A232" s="1" t="s">
        <v>182</v>
      </c>
      <c r="B232" s="1" t="s">
        <v>99</v>
      </c>
      <c r="C232" s="1" t="s">
        <v>144</v>
      </c>
      <c r="D232" s="1">
        <v>7</v>
      </c>
      <c r="E232" s="1">
        <v>330</v>
      </c>
      <c r="F232" s="1">
        <v>67</v>
      </c>
      <c r="G232" s="1">
        <v>13</v>
      </c>
      <c r="H232" s="1">
        <v>150</v>
      </c>
      <c r="I232" s="1">
        <v>223</v>
      </c>
      <c r="J232" s="1">
        <v>7</v>
      </c>
    </row>
    <row r="233" spans="1:10" x14ac:dyDescent="0.3">
      <c r="A233" s="1" t="s">
        <v>182</v>
      </c>
      <c r="B233" s="1" t="s">
        <v>99</v>
      </c>
      <c r="C233" s="1" t="s">
        <v>144</v>
      </c>
      <c r="D233" s="1">
        <v>8</v>
      </c>
      <c r="E233" s="1">
        <v>327</v>
      </c>
      <c r="F233" s="1">
        <v>60</v>
      </c>
      <c r="G233" s="1">
        <v>10</v>
      </c>
      <c r="H233" s="1">
        <v>135</v>
      </c>
      <c r="I233" s="1"/>
      <c r="J233" s="1"/>
    </row>
    <row r="234" spans="1:10" x14ac:dyDescent="0.3">
      <c r="A234" s="1" t="s">
        <v>182</v>
      </c>
      <c r="B234" s="1" t="s">
        <v>99</v>
      </c>
      <c r="C234" s="1" t="s">
        <v>144</v>
      </c>
      <c r="D234" s="1">
        <v>9</v>
      </c>
      <c r="E234" s="1">
        <v>330</v>
      </c>
      <c r="F234" s="1">
        <v>64</v>
      </c>
      <c r="G234" s="1">
        <v>13</v>
      </c>
      <c r="H234" s="1">
        <v>136</v>
      </c>
      <c r="I234" s="1">
        <v>190</v>
      </c>
      <c r="J234" s="1">
        <v>6</v>
      </c>
    </row>
    <row r="235" spans="1:10" x14ac:dyDescent="0.3">
      <c r="A235" s="1" t="s">
        <v>182</v>
      </c>
      <c r="B235" s="1" t="s">
        <v>99</v>
      </c>
      <c r="C235" s="1" t="s">
        <v>144</v>
      </c>
      <c r="D235" s="1">
        <v>10</v>
      </c>
      <c r="E235" s="1">
        <v>322</v>
      </c>
      <c r="F235" s="1">
        <v>60</v>
      </c>
      <c r="G235" s="1">
        <v>10</v>
      </c>
      <c r="H235" s="1">
        <v>127</v>
      </c>
      <c r="I235" s="1"/>
      <c r="J235" s="1"/>
    </row>
    <row r="236" spans="1:10" x14ac:dyDescent="0.3">
      <c r="A236" s="1" t="s">
        <v>182</v>
      </c>
      <c r="B236" s="1" t="s">
        <v>99</v>
      </c>
      <c r="C236" s="1" t="s">
        <v>144</v>
      </c>
      <c r="D236" s="1">
        <v>11</v>
      </c>
      <c r="E236" s="1">
        <v>375</v>
      </c>
      <c r="F236" s="1">
        <v>68</v>
      </c>
      <c r="G236" s="1">
        <v>11</v>
      </c>
      <c r="H236" s="1">
        <v>180</v>
      </c>
      <c r="I236" s="1"/>
      <c r="J236" s="1"/>
    </row>
    <row r="237" spans="1:10" x14ac:dyDescent="0.3">
      <c r="A237" s="1" t="s">
        <v>182</v>
      </c>
      <c r="B237" s="1" t="s">
        <v>99</v>
      </c>
      <c r="C237" s="1" t="s">
        <v>144</v>
      </c>
      <c r="D237" s="1">
        <v>12</v>
      </c>
      <c r="E237" s="1">
        <v>321</v>
      </c>
      <c r="F237" s="1">
        <v>59</v>
      </c>
      <c r="G237" s="1">
        <v>14</v>
      </c>
      <c r="H237" s="1">
        <v>95</v>
      </c>
      <c r="I237" s="1">
        <v>132</v>
      </c>
      <c r="J237" s="1">
        <v>7</v>
      </c>
    </row>
    <row r="238" spans="1:10" x14ac:dyDescent="0.3">
      <c r="A238" s="1" t="s">
        <v>182</v>
      </c>
      <c r="B238" s="1" t="s">
        <v>99</v>
      </c>
      <c r="C238" s="1" t="s">
        <v>144</v>
      </c>
      <c r="D238" s="1">
        <v>13</v>
      </c>
      <c r="E238" s="1">
        <v>358</v>
      </c>
      <c r="F238" s="1">
        <v>73</v>
      </c>
      <c r="G238" s="1">
        <v>15</v>
      </c>
      <c r="H238" s="1">
        <v>126</v>
      </c>
      <c r="I238" s="1">
        <v>207</v>
      </c>
      <c r="J238" s="1">
        <v>5</v>
      </c>
    </row>
    <row r="239" spans="1:10" x14ac:dyDescent="0.3">
      <c r="A239" s="1" t="s">
        <v>182</v>
      </c>
      <c r="B239" s="1" t="s">
        <v>99</v>
      </c>
      <c r="C239" s="1" t="s">
        <v>144</v>
      </c>
      <c r="D239" s="1">
        <v>14</v>
      </c>
      <c r="E239" s="1">
        <v>320</v>
      </c>
      <c r="F239" s="1">
        <v>67</v>
      </c>
      <c r="G239" s="1">
        <v>14</v>
      </c>
      <c r="H239" s="1">
        <v>117</v>
      </c>
      <c r="I239" s="1">
        <v>140</v>
      </c>
      <c r="J239" s="1">
        <v>5</v>
      </c>
    </row>
    <row r="240" spans="1:10" x14ac:dyDescent="0.3">
      <c r="A240" s="1" t="s">
        <v>182</v>
      </c>
      <c r="B240" s="1" t="s">
        <v>109</v>
      </c>
      <c r="C240" s="1" t="s">
        <v>146</v>
      </c>
      <c r="D240" s="1">
        <v>1</v>
      </c>
      <c r="E240" s="1">
        <v>328</v>
      </c>
      <c r="F240" s="1">
        <v>61</v>
      </c>
      <c r="G240" s="1">
        <v>14</v>
      </c>
      <c r="H240" s="1">
        <v>80</v>
      </c>
      <c r="I240" s="1">
        <v>123</v>
      </c>
      <c r="J240" s="1">
        <v>4</v>
      </c>
    </row>
    <row r="241" spans="1:10" x14ac:dyDescent="0.3">
      <c r="A241" s="1" t="s">
        <v>182</v>
      </c>
      <c r="B241" s="1" t="s">
        <v>109</v>
      </c>
      <c r="C241" s="1" t="s">
        <v>146</v>
      </c>
      <c r="D241" s="1">
        <v>2</v>
      </c>
      <c r="E241" s="1">
        <v>330</v>
      </c>
      <c r="F241" s="1">
        <v>63</v>
      </c>
      <c r="G241" s="1">
        <v>15</v>
      </c>
      <c r="H241" s="1">
        <v>156</v>
      </c>
      <c r="I241" s="1"/>
      <c r="J241" s="1"/>
    </row>
    <row r="242" spans="1:10" x14ac:dyDescent="0.3">
      <c r="A242" s="1" t="s">
        <v>182</v>
      </c>
      <c r="B242" s="1" t="s">
        <v>109</v>
      </c>
      <c r="C242" s="1" t="s">
        <v>146</v>
      </c>
      <c r="D242" s="1">
        <v>3</v>
      </c>
      <c r="E242" s="1">
        <v>280</v>
      </c>
      <c r="F242" s="1">
        <v>64</v>
      </c>
      <c r="G242" s="1">
        <v>14</v>
      </c>
      <c r="H242" s="1">
        <v>88</v>
      </c>
      <c r="I242" s="1">
        <v>160</v>
      </c>
      <c r="J242" s="1">
        <v>5</v>
      </c>
    </row>
    <row r="243" spans="1:10" x14ac:dyDescent="0.3">
      <c r="A243" s="1" t="s">
        <v>182</v>
      </c>
      <c r="B243" s="1" t="s">
        <v>109</v>
      </c>
      <c r="C243" s="1" t="s">
        <v>146</v>
      </c>
      <c r="D243" s="1">
        <v>4</v>
      </c>
      <c r="E243" s="1">
        <v>350</v>
      </c>
      <c r="F243" s="1">
        <v>70</v>
      </c>
      <c r="G243" s="1">
        <v>15</v>
      </c>
      <c r="H243" s="1">
        <v>103</v>
      </c>
      <c r="I243" s="1">
        <v>185</v>
      </c>
      <c r="J243" s="1">
        <v>6</v>
      </c>
    </row>
    <row r="244" spans="1:10" x14ac:dyDescent="0.3">
      <c r="A244" s="1" t="s">
        <v>182</v>
      </c>
      <c r="B244" s="1" t="s">
        <v>109</v>
      </c>
      <c r="C244" s="1" t="s">
        <v>146</v>
      </c>
      <c r="D244" s="1">
        <v>5</v>
      </c>
      <c r="E244" s="1">
        <v>332</v>
      </c>
      <c r="F244" s="1">
        <v>68</v>
      </c>
      <c r="G244" s="1">
        <v>10</v>
      </c>
      <c r="H244" s="1">
        <v>189</v>
      </c>
      <c r="I244" s="1">
        <v>245</v>
      </c>
      <c r="J244" s="1">
        <v>5</v>
      </c>
    </row>
    <row r="245" spans="1:10" x14ac:dyDescent="0.3">
      <c r="A245" s="1" t="s">
        <v>182</v>
      </c>
      <c r="B245" s="1" t="s">
        <v>109</v>
      </c>
      <c r="C245" s="1" t="s">
        <v>146</v>
      </c>
      <c r="D245" s="1">
        <v>6</v>
      </c>
      <c r="E245" s="1">
        <v>344</v>
      </c>
      <c r="F245" s="1">
        <v>70</v>
      </c>
      <c r="G245" s="1">
        <v>15</v>
      </c>
      <c r="H245" s="1">
        <v>153</v>
      </c>
      <c r="I245" s="1">
        <v>210</v>
      </c>
      <c r="J245" s="1">
        <v>5</v>
      </c>
    </row>
    <row r="246" spans="1:10" x14ac:dyDescent="0.3">
      <c r="A246" s="1" t="s">
        <v>182</v>
      </c>
      <c r="B246" s="1" t="s">
        <v>109</v>
      </c>
      <c r="C246" s="1" t="s">
        <v>146</v>
      </c>
      <c r="D246" s="1">
        <v>7</v>
      </c>
      <c r="E246" s="1">
        <v>320</v>
      </c>
      <c r="F246" s="1">
        <v>61</v>
      </c>
      <c r="G246" s="1">
        <v>12</v>
      </c>
      <c r="H246" s="1">
        <v>143</v>
      </c>
      <c r="I246" s="1">
        <v>175</v>
      </c>
      <c r="J246" s="1">
        <v>6</v>
      </c>
    </row>
    <row r="247" spans="1:10" x14ac:dyDescent="0.3">
      <c r="A247" s="1" t="s">
        <v>182</v>
      </c>
      <c r="B247" s="1" t="s">
        <v>109</v>
      </c>
      <c r="C247" s="1" t="s">
        <v>146</v>
      </c>
      <c r="D247" s="1">
        <v>8</v>
      </c>
      <c r="E247" s="1">
        <v>340</v>
      </c>
      <c r="F247" s="1">
        <v>61</v>
      </c>
      <c r="G247" s="1">
        <v>14</v>
      </c>
      <c r="H247" s="1">
        <v>90</v>
      </c>
      <c r="I247" s="1">
        <v>160</v>
      </c>
      <c r="J247" s="1">
        <v>7</v>
      </c>
    </row>
    <row r="248" spans="1:10" x14ac:dyDescent="0.3">
      <c r="A248" s="1" t="s">
        <v>182</v>
      </c>
      <c r="B248" s="1" t="s">
        <v>109</v>
      </c>
      <c r="C248" s="1" t="s">
        <v>146</v>
      </c>
      <c r="D248" s="1">
        <v>9</v>
      </c>
      <c r="E248" s="1">
        <v>340</v>
      </c>
      <c r="F248" s="1">
        <v>64</v>
      </c>
      <c r="G248" s="1">
        <v>13</v>
      </c>
      <c r="H248" s="1">
        <v>130</v>
      </c>
      <c r="I248" s="1">
        <v>170</v>
      </c>
      <c r="J248" s="1">
        <v>7</v>
      </c>
    </row>
    <row r="249" spans="1:10" x14ac:dyDescent="0.3">
      <c r="A249" s="1" t="s">
        <v>182</v>
      </c>
      <c r="B249" s="1" t="s">
        <v>109</v>
      </c>
      <c r="C249" s="1" t="s">
        <v>146</v>
      </c>
      <c r="D249" s="1">
        <v>10</v>
      </c>
      <c r="E249" s="1">
        <v>300</v>
      </c>
      <c r="F249" s="1">
        <v>54</v>
      </c>
      <c r="G249" s="1">
        <v>12</v>
      </c>
      <c r="H249" s="1">
        <v>83</v>
      </c>
      <c r="I249" s="1">
        <v>104</v>
      </c>
      <c r="J249" s="1">
        <v>5</v>
      </c>
    </row>
    <row r="250" spans="1:10" x14ac:dyDescent="0.3">
      <c r="A250" s="1" t="s">
        <v>182</v>
      </c>
      <c r="B250" s="1" t="s">
        <v>109</v>
      </c>
      <c r="C250" s="1" t="s">
        <v>146</v>
      </c>
      <c r="D250" s="1">
        <v>11</v>
      </c>
      <c r="E250" s="1">
        <v>315</v>
      </c>
      <c r="F250" s="1">
        <v>53</v>
      </c>
      <c r="G250" s="1">
        <v>12</v>
      </c>
      <c r="H250" s="1">
        <v>133</v>
      </c>
      <c r="I250" s="1">
        <v>170</v>
      </c>
      <c r="J250" s="1">
        <v>4</v>
      </c>
    </row>
    <row r="251" spans="1:10" x14ac:dyDescent="0.3">
      <c r="A251" s="1" t="s">
        <v>182</v>
      </c>
      <c r="B251" s="1" t="s">
        <v>109</v>
      </c>
      <c r="C251" s="1" t="s">
        <v>146</v>
      </c>
      <c r="D251" s="1">
        <v>12</v>
      </c>
      <c r="E251" s="1">
        <v>325</v>
      </c>
      <c r="F251" s="1">
        <v>63</v>
      </c>
      <c r="G251" s="1">
        <v>11</v>
      </c>
      <c r="H251" s="1">
        <v>140</v>
      </c>
      <c r="I251" s="1">
        <v>204</v>
      </c>
      <c r="J251" s="1">
        <v>4</v>
      </c>
    </row>
    <row r="252" spans="1:10" x14ac:dyDescent="0.3">
      <c r="A252" s="1" t="s">
        <v>182</v>
      </c>
      <c r="B252" s="1" t="s">
        <v>109</v>
      </c>
      <c r="C252" s="1" t="s">
        <v>146</v>
      </c>
      <c r="D252" s="1">
        <v>13</v>
      </c>
      <c r="E252" s="1">
        <v>322</v>
      </c>
      <c r="F252" s="1">
        <v>63</v>
      </c>
      <c r="G252" s="1">
        <v>8</v>
      </c>
      <c r="H252" s="1">
        <v>112</v>
      </c>
      <c r="I252" s="1"/>
      <c r="J252" s="1"/>
    </row>
    <row r="253" spans="1:10" x14ac:dyDescent="0.3">
      <c r="A253" s="1" t="s">
        <v>182</v>
      </c>
      <c r="B253" s="1" t="s">
        <v>109</v>
      </c>
      <c r="C253" s="1" t="s">
        <v>146</v>
      </c>
      <c r="D253" s="1">
        <v>14</v>
      </c>
      <c r="E253" s="1">
        <v>322</v>
      </c>
      <c r="F253" s="1">
        <v>64</v>
      </c>
      <c r="G253" s="1">
        <v>13</v>
      </c>
      <c r="H253" s="1">
        <v>128</v>
      </c>
      <c r="I253" s="1">
        <v>180</v>
      </c>
      <c r="J253" s="1">
        <v>4</v>
      </c>
    </row>
    <row r="254" spans="1:10" x14ac:dyDescent="0.3">
      <c r="A254" s="1" t="s">
        <v>182</v>
      </c>
      <c r="B254" s="1" t="s">
        <v>99</v>
      </c>
      <c r="C254" s="1" t="s">
        <v>147</v>
      </c>
      <c r="D254" s="1">
        <v>1</v>
      </c>
      <c r="E254" s="1">
        <v>350</v>
      </c>
      <c r="F254" s="1">
        <v>69</v>
      </c>
      <c r="G254" s="1">
        <v>14</v>
      </c>
      <c r="H254" s="1">
        <v>170</v>
      </c>
      <c r="I254" s="1">
        <v>230</v>
      </c>
      <c r="J254" s="1">
        <v>6</v>
      </c>
    </row>
    <row r="255" spans="1:10" x14ac:dyDescent="0.3">
      <c r="A255" s="1" t="s">
        <v>182</v>
      </c>
      <c r="B255" s="1" t="s">
        <v>99</v>
      </c>
      <c r="C255" s="1" t="s">
        <v>147</v>
      </c>
      <c r="D255" s="1">
        <v>2</v>
      </c>
      <c r="E255" s="1">
        <v>330</v>
      </c>
      <c r="F255" s="1">
        <v>61</v>
      </c>
      <c r="G255" s="1">
        <v>13</v>
      </c>
      <c r="H255" s="1">
        <v>116</v>
      </c>
      <c r="I255" s="1">
        <v>162</v>
      </c>
      <c r="J255" s="1">
        <v>8</v>
      </c>
    </row>
    <row r="256" spans="1:10" x14ac:dyDescent="0.3">
      <c r="A256" s="1" t="s">
        <v>182</v>
      </c>
      <c r="B256" s="1" t="s">
        <v>99</v>
      </c>
      <c r="C256" s="1" t="s">
        <v>147</v>
      </c>
      <c r="D256" s="1">
        <v>3</v>
      </c>
      <c r="E256" s="1">
        <v>322</v>
      </c>
      <c r="F256" s="1">
        <v>64</v>
      </c>
      <c r="G256" s="1">
        <v>12</v>
      </c>
      <c r="H256" s="1">
        <v>145</v>
      </c>
      <c r="I256" s="1">
        <v>193</v>
      </c>
      <c r="J256" s="1">
        <v>5</v>
      </c>
    </row>
    <row r="257" spans="1:10" x14ac:dyDescent="0.3">
      <c r="A257" s="1" t="s">
        <v>182</v>
      </c>
      <c r="B257" s="1" t="s">
        <v>99</v>
      </c>
      <c r="C257" s="1" t="s">
        <v>147</v>
      </c>
      <c r="D257" s="1">
        <v>4</v>
      </c>
      <c r="E257" s="1">
        <v>319</v>
      </c>
      <c r="F257" s="1">
        <v>61</v>
      </c>
      <c r="G257" s="1">
        <v>9</v>
      </c>
      <c r="H257" s="1">
        <v>110</v>
      </c>
      <c r="I257" s="1"/>
      <c r="J257" s="1"/>
    </row>
    <row r="258" spans="1:10" x14ac:dyDescent="0.3">
      <c r="A258" s="1" t="s">
        <v>182</v>
      </c>
      <c r="B258" s="1" t="s">
        <v>99</v>
      </c>
      <c r="C258" s="1" t="s">
        <v>147</v>
      </c>
      <c r="D258" s="1">
        <v>5</v>
      </c>
      <c r="E258" s="1">
        <v>375</v>
      </c>
      <c r="F258" s="1">
        <v>72</v>
      </c>
      <c r="G258" s="1">
        <v>11</v>
      </c>
      <c r="H258" s="1">
        <v>130</v>
      </c>
      <c r="I258" s="1"/>
      <c r="J258" s="1"/>
    </row>
    <row r="259" spans="1:10" x14ac:dyDescent="0.3">
      <c r="A259" s="1" t="s">
        <v>182</v>
      </c>
      <c r="B259" s="1" t="s">
        <v>99</v>
      </c>
      <c r="C259" s="1" t="s">
        <v>147</v>
      </c>
      <c r="D259" s="1">
        <v>6</v>
      </c>
      <c r="E259" s="1">
        <v>355</v>
      </c>
      <c r="F259" s="1">
        <v>69</v>
      </c>
      <c r="G259" s="1">
        <v>12</v>
      </c>
      <c r="H259" s="1">
        <v>168</v>
      </c>
      <c r="I259" s="1">
        <v>215</v>
      </c>
      <c r="J259" s="1">
        <v>5</v>
      </c>
    </row>
    <row r="260" spans="1:10" x14ac:dyDescent="0.3">
      <c r="A260" s="1" t="s">
        <v>182</v>
      </c>
      <c r="B260" s="1" t="s">
        <v>99</v>
      </c>
      <c r="C260" s="1" t="s">
        <v>147</v>
      </c>
      <c r="D260" s="1">
        <v>7</v>
      </c>
      <c r="E260" s="1">
        <v>340</v>
      </c>
      <c r="F260" s="1">
        <v>61</v>
      </c>
      <c r="G260" s="1">
        <v>12</v>
      </c>
      <c r="H260" s="1">
        <v>185</v>
      </c>
      <c r="I260" s="1">
        <v>217</v>
      </c>
      <c r="J260" s="1">
        <v>5</v>
      </c>
    </row>
    <row r="261" spans="1:10" x14ac:dyDescent="0.3">
      <c r="A261" s="1" t="s">
        <v>182</v>
      </c>
      <c r="B261" s="1" t="s">
        <v>99</v>
      </c>
      <c r="C261" s="1" t="s">
        <v>147</v>
      </c>
      <c r="D261" s="1">
        <v>8</v>
      </c>
      <c r="E261" s="1">
        <v>333</v>
      </c>
      <c r="F261" s="1">
        <v>65</v>
      </c>
      <c r="G261" s="1">
        <v>11</v>
      </c>
      <c r="H261" s="1">
        <v>135</v>
      </c>
      <c r="I261" s="1"/>
      <c r="J261" s="1"/>
    </row>
    <row r="262" spans="1:10" x14ac:dyDescent="0.3">
      <c r="A262" s="1" t="s">
        <v>182</v>
      </c>
      <c r="B262" s="1" t="s">
        <v>99</v>
      </c>
      <c r="C262" s="1" t="s">
        <v>147</v>
      </c>
      <c r="D262" s="1">
        <v>9</v>
      </c>
      <c r="E262" s="1">
        <v>354</v>
      </c>
      <c r="F262" s="1">
        <v>66</v>
      </c>
      <c r="G262" s="1">
        <v>13</v>
      </c>
      <c r="H262" s="1">
        <v>164</v>
      </c>
      <c r="I262" s="1">
        <v>212</v>
      </c>
      <c r="J262" s="1">
        <v>5</v>
      </c>
    </row>
    <row r="263" spans="1:10" x14ac:dyDescent="0.3">
      <c r="A263" s="1" t="s">
        <v>182</v>
      </c>
      <c r="B263" s="1" t="s">
        <v>99</v>
      </c>
      <c r="C263" s="1" t="s">
        <v>147</v>
      </c>
      <c r="D263" s="1">
        <v>10</v>
      </c>
      <c r="E263" s="1">
        <v>300</v>
      </c>
      <c r="F263" s="1">
        <v>51</v>
      </c>
      <c r="G263" s="1">
        <v>10</v>
      </c>
      <c r="H263" s="1">
        <v>90</v>
      </c>
      <c r="I263" s="1">
        <v>123</v>
      </c>
      <c r="J263" s="1">
        <v>5</v>
      </c>
    </row>
    <row r="264" spans="1:10" x14ac:dyDescent="0.3">
      <c r="A264" s="1" t="s">
        <v>182</v>
      </c>
      <c r="B264" s="1" t="s">
        <v>99</v>
      </c>
      <c r="C264" s="1" t="s">
        <v>147</v>
      </c>
      <c r="D264" s="1">
        <v>11</v>
      </c>
      <c r="E264" s="1">
        <v>292</v>
      </c>
      <c r="F264" s="1">
        <v>64</v>
      </c>
      <c r="G264" s="1">
        <v>10</v>
      </c>
      <c r="H264" s="1">
        <v>104</v>
      </c>
      <c r="I264" s="1"/>
      <c r="J264" s="1"/>
    </row>
    <row r="265" spans="1:10" x14ac:dyDescent="0.3">
      <c r="A265" s="1" t="s">
        <v>182</v>
      </c>
      <c r="B265" s="1" t="s">
        <v>99</v>
      </c>
      <c r="C265" s="1" t="s">
        <v>147</v>
      </c>
      <c r="D265" s="1">
        <v>12</v>
      </c>
      <c r="E265" s="1">
        <v>305</v>
      </c>
      <c r="F265" s="1">
        <v>57</v>
      </c>
      <c r="G265" s="1">
        <v>13</v>
      </c>
      <c r="H265" s="1">
        <v>122</v>
      </c>
      <c r="I265" s="1"/>
      <c r="J265" s="1"/>
    </row>
    <row r="266" spans="1:10" x14ac:dyDescent="0.3">
      <c r="A266" s="1" t="s">
        <v>182</v>
      </c>
      <c r="B266" s="1" t="s">
        <v>99</v>
      </c>
      <c r="C266" s="1" t="s">
        <v>147</v>
      </c>
      <c r="D266" s="1">
        <v>13</v>
      </c>
      <c r="E266" s="1">
        <v>300</v>
      </c>
      <c r="F266" s="1">
        <v>60</v>
      </c>
      <c r="G266" s="1">
        <v>13</v>
      </c>
      <c r="H266" s="1">
        <v>76</v>
      </c>
      <c r="I266" s="1">
        <v>143</v>
      </c>
      <c r="J266" s="1">
        <v>5</v>
      </c>
    </row>
    <row r="267" spans="1:10" x14ac:dyDescent="0.3">
      <c r="A267" s="1" t="s">
        <v>182</v>
      </c>
      <c r="B267" s="1" t="s">
        <v>99</v>
      </c>
      <c r="C267" s="1" t="s">
        <v>147</v>
      </c>
      <c r="D267" s="1">
        <v>14</v>
      </c>
      <c r="E267" s="1">
        <v>310</v>
      </c>
      <c r="F267" s="1">
        <v>58</v>
      </c>
      <c r="G267" s="1">
        <v>12</v>
      </c>
      <c r="H267" s="1">
        <v>80</v>
      </c>
      <c r="I267" s="1"/>
      <c r="J267" s="1"/>
    </row>
    <row r="268" spans="1:10" x14ac:dyDescent="0.3">
      <c r="A268" s="1" t="s">
        <v>182</v>
      </c>
      <c r="B268" s="1" t="s">
        <v>109</v>
      </c>
      <c r="C268" s="1" t="s">
        <v>144</v>
      </c>
      <c r="D268" s="1">
        <v>1</v>
      </c>
      <c r="E268" s="1">
        <v>345</v>
      </c>
      <c r="F268" s="1">
        <v>67</v>
      </c>
      <c r="G268" s="1">
        <v>11</v>
      </c>
      <c r="H268" s="1">
        <v>165</v>
      </c>
      <c r="I268" s="1"/>
      <c r="J268" s="1"/>
    </row>
    <row r="269" spans="1:10" x14ac:dyDescent="0.3">
      <c r="A269" s="1" t="s">
        <v>182</v>
      </c>
      <c r="B269" s="1" t="s">
        <v>109</v>
      </c>
      <c r="C269" s="1" t="s">
        <v>144</v>
      </c>
      <c r="D269" s="1">
        <v>2</v>
      </c>
      <c r="E269" s="1">
        <v>314</v>
      </c>
      <c r="F269" s="1">
        <v>68</v>
      </c>
      <c r="G269" s="1">
        <v>10</v>
      </c>
      <c r="H269" s="1">
        <v>175</v>
      </c>
      <c r="I269" s="1"/>
      <c r="J269" s="1"/>
    </row>
    <row r="270" spans="1:10" x14ac:dyDescent="0.3">
      <c r="A270" s="1" t="s">
        <v>182</v>
      </c>
      <c r="B270" s="1" t="s">
        <v>109</v>
      </c>
      <c r="C270" s="1" t="s">
        <v>144</v>
      </c>
      <c r="D270" s="1">
        <v>3</v>
      </c>
      <c r="E270" s="1">
        <v>320</v>
      </c>
      <c r="F270" s="1">
        <v>64</v>
      </c>
      <c r="G270" s="1">
        <v>13</v>
      </c>
      <c r="H270" s="1">
        <v>105</v>
      </c>
      <c r="I270" s="1">
        <v>195</v>
      </c>
      <c r="J270" s="1">
        <v>5</v>
      </c>
    </row>
    <row r="271" spans="1:10" x14ac:dyDescent="0.3">
      <c r="A271" s="1" t="s">
        <v>182</v>
      </c>
      <c r="B271" s="1" t="s">
        <v>109</v>
      </c>
      <c r="C271" s="1" t="s">
        <v>144</v>
      </c>
      <c r="D271" s="1">
        <v>4</v>
      </c>
      <c r="E271" s="1">
        <v>305</v>
      </c>
      <c r="F271" s="1">
        <v>61</v>
      </c>
      <c r="G271" s="1">
        <v>14</v>
      </c>
      <c r="H271" s="1">
        <v>145</v>
      </c>
      <c r="I271" s="1">
        <v>186</v>
      </c>
      <c r="J271" s="1">
        <v>6</v>
      </c>
    </row>
    <row r="272" spans="1:10" x14ac:dyDescent="0.3">
      <c r="A272" s="1" t="s">
        <v>182</v>
      </c>
      <c r="B272" s="1" t="s">
        <v>109</v>
      </c>
      <c r="C272" s="1" t="s">
        <v>144</v>
      </c>
      <c r="D272" s="1">
        <v>5</v>
      </c>
      <c r="E272" s="1">
        <v>332</v>
      </c>
      <c r="F272" s="1">
        <v>68</v>
      </c>
      <c r="G272" s="1">
        <v>10</v>
      </c>
      <c r="H272" s="1">
        <v>189</v>
      </c>
      <c r="I272" s="1"/>
      <c r="J272" s="1"/>
    </row>
    <row r="273" spans="1:10" x14ac:dyDescent="0.3">
      <c r="A273" s="1" t="s">
        <v>182</v>
      </c>
      <c r="B273" s="1" t="s">
        <v>109</v>
      </c>
      <c r="C273" s="1" t="s">
        <v>144</v>
      </c>
      <c r="D273" s="1">
        <v>6</v>
      </c>
      <c r="E273" s="1">
        <v>340</v>
      </c>
      <c r="F273" s="1">
        <v>64</v>
      </c>
      <c r="G273" s="1">
        <v>15</v>
      </c>
      <c r="H273" s="1">
        <v>150</v>
      </c>
      <c r="I273" s="1">
        <v>203</v>
      </c>
      <c r="J273" s="1">
        <v>7</v>
      </c>
    </row>
    <row r="274" spans="1:10" x14ac:dyDescent="0.3">
      <c r="A274" s="1" t="s">
        <v>182</v>
      </c>
      <c r="B274" s="1" t="s">
        <v>109</v>
      </c>
      <c r="C274" s="1" t="s">
        <v>144</v>
      </c>
      <c r="D274" s="1">
        <v>7</v>
      </c>
      <c r="E274" s="1">
        <v>350</v>
      </c>
      <c r="F274" s="1">
        <v>72</v>
      </c>
      <c r="G274" s="1">
        <v>13</v>
      </c>
      <c r="H274" s="1">
        <v>140</v>
      </c>
      <c r="I274" s="1">
        <v>215</v>
      </c>
      <c r="J274" s="1">
        <v>5</v>
      </c>
    </row>
    <row r="275" spans="1:10" x14ac:dyDescent="0.3">
      <c r="A275" s="1" t="s">
        <v>182</v>
      </c>
      <c r="B275" s="1" t="s">
        <v>109</v>
      </c>
      <c r="C275" s="1" t="s">
        <v>144</v>
      </c>
      <c r="D275" s="1">
        <v>8</v>
      </c>
      <c r="E275" s="1">
        <v>320</v>
      </c>
      <c r="F275" s="1">
        <v>71</v>
      </c>
      <c r="G275" s="1">
        <v>14</v>
      </c>
      <c r="H275" s="1">
        <v>100</v>
      </c>
      <c r="I275" s="1">
        <v>200</v>
      </c>
      <c r="J275" s="1">
        <v>5</v>
      </c>
    </row>
    <row r="276" spans="1:10" x14ac:dyDescent="0.3">
      <c r="A276" s="1" t="s">
        <v>182</v>
      </c>
      <c r="B276" s="1" t="s">
        <v>109</v>
      </c>
      <c r="C276" s="1" t="s">
        <v>144</v>
      </c>
      <c r="D276" s="1">
        <v>9</v>
      </c>
      <c r="E276" s="1">
        <v>352</v>
      </c>
      <c r="F276" s="1">
        <v>64</v>
      </c>
      <c r="G276" s="1">
        <v>14</v>
      </c>
      <c r="H276" s="1">
        <v>100</v>
      </c>
      <c r="I276" s="1">
        <v>174</v>
      </c>
      <c r="J276" s="1">
        <v>8</v>
      </c>
    </row>
    <row r="277" spans="1:10" x14ac:dyDescent="0.3">
      <c r="A277" s="1" t="s">
        <v>182</v>
      </c>
      <c r="B277" s="1" t="s">
        <v>109</v>
      </c>
      <c r="C277" s="1" t="s">
        <v>144</v>
      </c>
      <c r="D277" s="1">
        <v>10</v>
      </c>
      <c r="E277" s="1">
        <v>320</v>
      </c>
      <c r="F277" s="1">
        <v>66</v>
      </c>
      <c r="G277" s="1">
        <v>13</v>
      </c>
      <c r="H277" s="1">
        <v>75</v>
      </c>
      <c r="I277" s="1">
        <v>145</v>
      </c>
      <c r="J277" s="1">
        <v>6</v>
      </c>
    </row>
    <row r="278" spans="1:10" x14ac:dyDescent="0.3">
      <c r="A278" s="1" t="s">
        <v>182</v>
      </c>
      <c r="B278" s="1" t="s">
        <v>109</v>
      </c>
      <c r="C278" s="1" t="s">
        <v>144</v>
      </c>
      <c r="D278" s="1">
        <v>11</v>
      </c>
      <c r="E278" s="1">
        <v>315</v>
      </c>
      <c r="F278" s="1">
        <v>64</v>
      </c>
      <c r="G278" s="1">
        <v>14</v>
      </c>
      <c r="H278" s="1">
        <v>55</v>
      </c>
      <c r="I278" s="1">
        <v>130</v>
      </c>
      <c r="J278" s="1">
        <v>4</v>
      </c>
    </row>
    <row r="279" spans="1:10" x14ac:dyDescent="0.3">
      <c r="A279" s="1" t="s">
        <v>182</v>
      </c>
      <c r="B279" s="1" t="s">
        <v>109</v>
      </c>
      <c r="C279" s="1" t="s">
        <v>144</v>
      </c>
      <c r="D279" s="1">
        <v>12</v>
      </c>
      <c r="E279" s="1">
        <v>281</v>
      </c>
      <c r="F279" s="1">
        <v>59</v>
      </c>
      <c r="G279" s="1">
        <v>8</v>
      </c>
      <c r="H279" s="1">
        <v>69</v>
      </c>
      <c r="I279" s="1"/>
      <c r="J279" s="1"/>
    </row>
    <row r="280" spans="1:10" x14ac:dyDescent="0.3">
      <c r="A280" s="1" t="s">
        <v>182</v>
      </c>
      <c r="B280" s="1" t="s">
        <v>109</v>
      </c>
      <c r="C280" s="1" t="s">
        <v>144</v>
      </c>
      <c r="D280" s="1">
        <v>13</v>
      </c>
      <c r="E280" s="1">
        <v>328</v>
      </c>
      <c r="F280" s="1">
        <v>64</v>
      </c>
      <c r="G280" s="1">
        <v>10</v>
      </c>
      <c r="H280" s="1">
        <v>120</v>
      </c>
      <c r="I280" s="1"/>
      <c r="J280" s="1"/>
    </row>
    <row r="281" spans="1:10" x14ac:dyDescent="0.3">
      <c r="A281" s="1" t="s">
        <v>182</v>
      </c>
      <c r="B281" s="1" t="s">
        <v>109</v>
      </c>
      <c r="C281" s="1" t="s">
        <v>144</v>
      </c>
      <c r="D281" s="1">
        <v>14</v>
      </c>
      <c r="E281" s="1">
        <v>324</v>
      </c>
      <c r="F281" s="1">
        <v>66</v>
      </c>
      <c r="G281" s="1">
        <v>12</v>
      </c>
      <c r="H281" s="1">
        <v>130</v>
      </c>
      <c r="I281" s="1">
        <v>194</v>
      </c>
      <c r="J281" s="1">
        <v>6</v>
      </c>
    </row>
    <row r="282" spans="1:10" x14ac:dyDescent="0.3">
      <c r="A282" s="1" t="s">
        <v>182</v>
      </c>
      <c r="B282" s="1" t="s">
        <v>97</v>
      </c>
      <c r="C282" s="1" t="s">
        <v>147</v>
      </c>
      <c r="D282" s="1">
        <v>1</v>
      </c>
      <c r="E282" s="1">
        <v>315</v>
      </c>
      <c r="F282" s="1">
        <v>62</v>
      </c>
      <c r="G282" s="1">
        <v>9</v>
      </c>
      <c r="H282" s="1">
        <v>45</v>
      </c>
      <c r="I282" s="1"/>
      <c r="J282" s="1"/>
    </row>
    <row r="283" spans="1:10" x14ac:dyDescent="0.3">
      <c r="A283" s="1" t="s">
        <v>182</v>
      </c>
      <c r="B283" s="1" t="s">
        <v>97</v>
      </c>
      <c r="C283" s="1" t="s">
        <v>147</v>
      </c>
      <c r="D283" s="1">
        <v>2</v>
      </c>
      <c r="E283" s="1">
        <v>300</v>
      </c>
      <c r="F283" s="1">
        <v>59</v>
      </c>
      <c r="G283" s="1">
        <v>9</v>
      </c>
      <c r="H283" s="1">
        <v>113</v>
      </c>
      <c r="I283" s="1"/>
      <c r="J283" s="1"/>
    </row>
    <row r="284" spans="1:10" x14ac:dyDescent="0.3">
      <c r="A284" s="1" t="s">
        <v>182</v>
      </c>
      <c r="B284" s="1" t="s">
        <v>97</v>
      </c>
      <c r="C284" s="1" t="s">
        <v>147</v>
      </c>
      <c r="D284" s="1">
        <v>3</v>
      </c>
      <c r="E284" s="1">
        <v>300</v>
      </c>
      <c r="F284" s="1">
        <v>61</v>
      </c>
      <c r="G284" s="1">
        <v>10</v>
      </c>
      <c r="H284" s="1">
        <v>65</v>
      </c>
      <c r="I284" s="1"/>
      <c r="J284" s="1"/>
    </row>
    <row r="285" spans="1:10" x14ac:dyDescent="0.3">
      <c r="A285" s="1" t="s">
        <v>182</v>
      </c>
      <c r="B285" s="1" t="s">
        <v>97</v>
      </c>
      <c r="C285" s="1" t="s">
        <v>147</v>
      </c>
      <c r="D285" s="1">
        <v>4</v>
      </c>
      <c r="E285" s="1">
        <v>342</v>
      </c>
      <c r="F285" s="1">
        <v>65</v>
      </c>
      <c r="G285" s="1">
        <v>13</v>
      </c>
      <c r="H285" s="1">
        <v>135</v>
      </c>
      <c r="I285" s="1">
        <v>204</v>
      </c>
      <c r="J285" s="1">
        <v>4</v>
      </c>
    </row>
    <row r="286" spans="1:10" x14ac:dyDescent="0.3">
      <c r="A286" s="1" t="s">
        <v>182</v>
      </c>
      <c r="B286" s="1" t="s">
        <v>97</v>
      </c>
      <c r="C286" s="1" t="s">
        <v>147</v>
      </c>
      <c r="D286" s="1">
        <v>5</v>
      </c>
      <c r="E286" s="1">
        <v>365</v>
      </c>
      <c r="F286" s="1">
        <v>69</v>
      </c>
      <c r="G286" s="1">
        <v>11</v>
      </c>
      <c r="H286" s="1">
        <v>127</v>
      </c>
      <c r="I286" s="1"/>
      <c r="J286" s="1"/>
    </row>
    <row r="287" spans="1:10" x14ac:dyDescent="0.3">
      <c r="A287" s="1" t="s">
        <v>182</v>
      </c>
      <c r="B287" s="1" t="s">
        <v>97</v>
      </c>
      <c r="C287" s="1" t="s">
        <v>147</v>
      </c>
      <c r="D287" s="1">
        <v>6</v>
      </c>
      <c r="E287" s="1">
        <v>342</v>
      </c>
      <c r="F287" s="1">
        <v>63</v>
      </c>
      <c r="G287" s="1">
        <v>14</v>
      </c>
      <c r="H287" s="1">
        <v>162</v>
      </c>
      <c r="I287" s="1">
        <v>186</v>
      </c>
      <c r="J287" s="1">
        <v>4</v>
      </c>
    </row>
    <row r="288" spans="1:10" x14ac:dyDescent="0.3">
      <c r="A288" s="1" t="s">
        <v>182</v>
      </c>
      <c r="B288" s="1" t="s">
        <v>97</v>
      </c>
      <c r="C288" s="1" t="s">
        <v>147</v>
      </c>
      <c r="D288" s="1">
        <v>7</v>
      </c>
      <c r="E288" s="1">
        <v>327</v>
      </c>
      <c r="F288" s="1">
        <v>58</v>
      </c>
      <c r="G288" s="1">
        <v>10</v>
      </c>
      <c r="H288" s="1">
        <v>25</v>
      </c>
      <c r="I288" s="1"/>
      <c r="J288" s="1"/>
    </row>
    <row r="289" spans="1:10" x14ac:dyDescent="0.3">
      <c r="A289" s="1" t="s">
        <v>182</v>
      </c>
      <c r="B289" s="1" t="s">
        <v>97</v>
      </c>
      <c r="C289" s="1" t="s">
        <v>147</v>
      </c>
      <c r="D289" s="1">
        <v>8</v>
      </c>
      <c r="E289" s="1">
        <v>363</v>
      </c>
      <c r="F289" s="1">
        <v>71</v>
      </c>
      <c r="G289" s="1">
        <v>15</v>
      </c>
      <c r="H289" s="1">
        <v>130</v>
      </c>
      <c r="I289" s="1">
        <v>210</v>
      </c>
      <c r="J289" s="1">
        <v>7</v>
      </c>
    </row>
    <row r="290" spans="1:10" x14ac:dyDescent="0.3">
      <c r="A290" s="1" t="s">
        <v>182</v>
      </c>
      <c r="B290" s="1" t="s">
        <v>97</v>
      </c>
      <c r="C290" s="1" t="s">
        <v>147</v>
      </c>
      <c r="D290" s="1">
        <v>9</v>
      </c>
      <c r="E290" s="1">
        <v>340</v>
      </c>
      <c r="F290" s="1">
        <v>65</v>
      </c>
      <c r="G290" s="1">
        <v>13</v>
      </c>
      <c r="H290" s="1">
        <v>126</v>
      </c>
      <c r="I290" s="1">
        <v>165</v>
      </c>
      <c r="J290" s="1">
        <v>6</v>
      </c>
    </row>
    <row r="291" spans="1:10" x14ac:dyDescent="0.3">
      <c r="A291" s="1" t="s">
        <v>182</v>
      </c>
      <c r="B291" s="1" t="s">
        <v>97</v>
      </c>
      <c r="C291" s="1" t="s">
        <v>147</v>
      </c>
      <c r="D291" s="1">
        <v>10</v>
      </c>
      <c r="E291" s="1">
        <v>290</v>
      </c>
      <c r="F291" s="1">
        <v>53</v>
      </c>
      <c r="G291" s="1">
        <v>11</v>
      </c>
      <c r="H291" s="1">
        <v>75</v>
      </c>
      <c r="I291" s="1">
        <v>174</v>
      </c>
      <c r="J291" s="1">
        <v>7</v>
      </c>
    </row>
    <row r="292" spans="1:10" x14ac:dyDescent="0.3">
      <c r="A292" s="1" t="s">
        <v>182</v>
      </c>
      <c r="B292" s="1" t="s">
        <v>97</v>
      </c>
      <c r="C292" s="1" t="s">
        <v>147</v>
      </c>
      <c r="D292" s="1">
        <v>11</v>
      </c>
      <c r="E292" s="1">
        <v>340</v>
      </c>
      <c r="F292" s="1">
        <v>65</v>
      </c>
      <c r="G292" s="1">
        <v>13</v>
      </c>
      <c r="H292" s="1">
        <v>137</v>
      </c>
      <c r="I292" s="1">
        <v>204</v>
      </c>
      <c r="J292" s="1">
        <v>6</v>
      </c>
    </row>
    <row r="293" spans="1:10" x14ac:dyDescent="0.3">
      <c r="A293" s="1" t="s">
        <v>182</v>
      </c>
      <c r="B293" s="1" t="s">
        <v>97</v>
      </c>
      <c r="C293" s="1" t="s">
        <v>147</v>
      </c>
      <c r="D293" s="1">
        <v>12</v>
      </c>
      <c r="E293" s="1">
        <v>336</v>
      </c>
      <c r="F293" s="1">
        <v>57</v>
      </c>
      <c r="G293" s="1">
        <v>13</v>
      </c>
      <c r="H293" s="1">
        <v>120</v>
      </c>
      <c r="I293" s="1">
        <v>165</v>
      </c>
      <c r="J293" s="1">
        <v>6</v>
      </c>
    </row>
    <row r="294" spans="1:10" x14ac:dyDescent="0.3">
      <c r="A294" s="1" t="s">
        <v>182</v>
      </c>
      <c r="B294" s="1" t="s">
        <v>97</v>
      </c>
      <c r="C294" s="1" t="s">
        <v>147</v>
      </c>
      <c r="D294" s="1">
        <v>13</v>
      </c>
      <c r="E294" s="1">
        <v>303</v>
      </c>
      <c r="F294" s="1">
        <v>60</v>
      </c>
      <c r="G294" s="1">
        <v>10</v>
      </c>
      <c r="H294" s="1">
        <v>166</v>
      </c>
      <c r="I294" s="1"/>
      <c r="J294" s="1"/>
    </row>
    <row r="295" spans="1:10" x14ac:dyDescent="0.3">
      <c r="A295" s="1" t="s">
        <v>182</v>
      </c>
      <c r="B295" s="1" t="s">
        <v>97</v>
      </c>
      <c r="C295" s="1" t="s">
        <v>147</v>
      </c>
      <c r="D295" s="1">
        <v>14</v>
      </c>
      <c r="E295" s="1">
        <v>332</v>
      </c>
      <c r="F295" s="1">
        <v>65</v>
      </c>
      <c r="G295" s="1">
        <v>12</v>
      </c>
      <c r="H295" s="1">
        <v>170</v>
      </c>
      <c r="I295" s="1">
        <v>135</v>
      </c>
      <c r="J295" s="1">
        <v>7</v>
      </c>
    </row>
    <row r="296" spans="1:10" x14ac:dyDescent="0.3">
      <c r="A296" s="1" t="s">
        <v>182</v>
      </c>
      <c r="B296" s="1" t="s">
        <v>172</v>
      </c>
      <c r="C296" s="1" t="s">
        <v>144</v>
      </c>
      <c r="D296" s="1">
        <v>1</v>
      </c>
      <c r="E296" s="1">
        <v>347</v>
      </c>
      <c r="F296" s="1">
        <v>65</v>
      </c>
      <c r="G296" s="1">
        <v>12</v>
      </c>
      <c r="H296" s="1">
        <v>107</v>
      </c>
      <c r="I296" s="1">
        <v>196</v>
      </c>
      <c r="J296" s="1">
        <v>6</v>
      </c>
    </row>
    <row r="297" spans="1:10" x14ac:dyDescent="0.3">
      <c r="A297" s="1" t="s">
        <v>182</v>
      </c>
      <c r="B297" s="1" t="s">
        <v>172</v>
      </c>
      <c r="C297" s="1" t="s">
        <v>144</v>
      </c>
      <c r="D297" s="1">
        <v>2</v>
      </c>
      <c r="E297" s="1">
        <v>315</v>
      </c>
      <c r="F297" s="1">
        <v>59</v>
      </c>
      <c r="G297" s="1">
        <v>12</v>
      </c>
      <c r="H297" s="1">
        <v>118</v>
      </c>
      <c r="I297" s="1">
        <v>182</v>
      </c>
      <c r="J297" s="1">
        <v>4</v>
      </c>
    </row>
    <row r="298" spans="1:10" x14ac:dyDescent="0.3">
      <c r="A298" s="1" t="s">
        <v>182</v>
      </c>
      <c r="B298" s="1" t="s">
        <v>172</v>
      </c>
      <c r="C298" s="1" t="s">
        <v>144</v>
      </c>
      <c r="D298" s="1">
        <v>3</v>
      </c>
      <c r="E298" s="1">
        <v>300</v>
      </c>
      <c r="F298" s="1">
        <v>55</v>
      </c>
      <c r="G298" s="1">
        <v>9</v>
      </c>
      <c r="H298" s="1">
        <v>97</v>
      </c>
      <c r="I298" s="1">
        <v>155</v>
      </c>
      <c r="J298" s="1">
        <v>6</v>
      </c>
    </row>
    <row r="299" spans="1:10" x14ac:dyDescent="0.3">
      <c r="A299" s="1" t="s">
        <v>182</v>
      </c>
      <c r="B299" s="1" t="s">
        <v>172</v>
      </c>
      <c r="C299" s="1" t="s">
        <v>144</v>
      </c>
      <c r="D299" s="1">
        <v>4</v>
      </c>
      <c r="E299" s="1">
        <v>320</v>
      </c>
      <c r="F299" s="1">
        <v>62</v>
      </c>
      <c r="G299" s="1">
        <v>12</v>
      </c>
      <c r="H299" s="1">
        <v>142</v>
      </c>
      <c r="I299" s="1">
        <v>180</v>
      </c>
      <c r="J299" s="1">
        <v>5</v>
      </c>
    </row>
    <row r="300" spans="1:10" x14ac:dyDescent="0.3">
      <c r="A300" s="1" t="s">
        <v>182</v>
      </c>
      <c r="B300" s="1" t="s">
        <v>172</v>
      </c>
      <c r="C300" s="1" t="s">
        <v>144</v>
      </c>
      <c r="D300" s="1">
        <v>5</v>
      </c>
      <c r="E300" s="1">
        <v>304</v>
      </c>
      <c r="F300" s="1">
        <v>59</v>
      </c>
      <c r="G300" s="1">
        <v>10</v>
      </c>
      <c r="H300" s="1">
        <v>103</v>
      </c>
      <c r="I300" s="1"/>
      <c r="J300" s="1"/>
    </row>
    <row r="301" spans="1:10" x14ac:dyDescent="0.3">
      <c r="A301" s="1" t="s">
        <v>182</v>
      </c>
      <c r="B301" s="1" t="s">
        <v>172</v>
      </c>
      <c r="C301" s="1" t="s">
        <v>144</v>
      </c>
      <c r="D301" s="1">
        <v>6</v>
      </c>
      <c r="E301" s="1">
        <v>360</v>
      </c>
      <c r="F301" s="1">
        <v>67</v>
      </c>
      <c r="G301" s="1">
        <v>15</v>
      </c>
      <c r="H301" s="1">
        <v>110</v>
      </c>
      <c r="I301" s="1">
        <v>195</v>
      </c>
      <c r="J301" s="1">
        <v>6</v>
      </c>
    </row>
    <row r="302" spans="1:10" x14ac:dyDescent="0.3">
      <c r="A302" s="1" t="s">
        <v>182</v>
      </c>
      <c r="B302" s="1" t="s">
        <v>172</v>
      </c>
      <c r="C302" s="1" t="s">
        <v>144</v>
      </c>
      <c r="D302" s="1">
        <v>7</v>
      </c>
      <c r="E302" s="1">
        <v>315</v>
      </c>
      <c r="F302" s="1">
        <v>62</v>
      </c>
      <c r="G302" s="1">
        <v>10</v>
      </c>
      <c r="H302" s="1">
        <v>116</v>
      </c>
      <c r="I302" s="1"/>
      <c r="J302" s="1"/>
    </row>
    <row r="303" spans="1:10" x14ac:dyDescent="0.3">
      <c r="A303" s="1" t="s">
        <v>182</v>
      </c>
      <c r="B303" s="1" t="s">
        <v>172</v>
      </c>
      <c r="C303" s="1" t="s">
        <v>144</v>
      </c>
      <c r="D303" s="1">
        <v>8</v>
      </c>
      <c r="E303" s="1">
        <v>320</v>
      </c>
      <c r="F303" s="1">
        <v>67</v>
      </c>
      <c r="G303" s="1">
        <v>14</v>
      </c>
      <c r="H303" s="1">
        <v>96</v>
      </c>
      <c r="I303" s="1">
        <v>175</v>
      </c>
      <c r="J303" s="1">
        <v>5</v>
      </c>
    </row>
    <row r="304" spans="1:10" x14ac:dyDescent="0.3">
      <c r="A304" s="1" t="s">
        <v>182</v>
      </c>
      <c r="B304" s="1" t="s">
        <v>172</v>
      </c>
      <c r="C304" s="1" t="s">
        <v>144</v>
      </c>
      <c r="D304" s="1">
        <v>9</v>
      </c>
      <c r="E304" s="1">
        <v>315</v>
      </c>
      <c r="F304" s="1">
        <v>67</v>
      </c>
      <c r="G304" s="1">
        <v>13</v>
      </c>
      <c r="H304" s="1">
        <v>110</v>
      </c>
      <c r="I304" s="1">
        <v>186</v>
      </c>
      <c r="J304" s="1">
        <v>4</v>
      </c>
    </row>
    <row r="305" spans="1:10" x14ac:dyDescent="0.3">
      <c r="A305" s="1" t="s">
        <v>182</v>
      </c>
      <c r="B305" s="1" t="s">
        <v>172</v>
      </c>
      <c r="C305" s="1" t="s">
        <v>144</v>
      </c>
      <c r="D305" s="1">
        <v>10</v>
      </c>
      <c r="E305" s="1">
        <v>303</v>
      </c>
      <c r="F305" s="1">
        <v>62</v>
      </c>
      <c r="G305" s="1">
        <v>10</v>
      </c>
      <c r="H305" s="1">
        <v>177</v>
      </c>
      <c r="I305" s="1"/>
      <c r="J305" s="1"/>
    </row>
    <row r="306" spans="1:10" x14ac:dyDescent="0.3">
      <c r="A306" s="1" t="s">
        <v>182</v>
      </c>
      <c r="B306" s="1" t="s">
        <v>172</v>
      </c>
      <c r="C306" s="1" t="s">
        <v>144</v>
      </c>
      <c r="D306" s="1">
        <v>11</v>
      </c>
      <c r="E306" s="1">
        <v>280</v>
      </c>
      <c r="F306" s="1">
        <v>59</v>
      </c>
      <c r="G306" s="1">
        <v>9</v>
      </c>
      <c r="H306" s="1">
        <v>145</v>
      </c>
      <c r="I306" s="1"/>
      <c r="J306" s="1"/>
    </row>
    <row r="307" spans="1:10" x14ac:dyDescent="0.3">
      <c r="A307" s="1" t="s">
        <v>182</v>
      </c>
      <c r="B307" s="1" t="s">
        <v>172</v>
      </c>
      <c r="C307" s="1" t="s">
        <v>144</v>
      </c>
      <c r="D307" s="1">
        <v>12</v>
      </c>
      <c r="E307" s="1">
        <v>290</v>
      </c>
      <c r="F307" s="1">
        <v>66</v>
      </c>
      <c r="G307" s="1">
        <v>10</v>
      </c>
      <c r="H307" s="1">
        <v>145</v>
      </c>
      <c r="I307" s="1"/>
      <c r="J307" s="1"/>
    </row>
    <row r="308" spans="1:10" x14ac:dyDescent="0.3">
      <c r="A308" s="1" t="s">
        <v>182</v>
      </c>
      <c r="B308" s="1" t="s">
        <v>172</v>
      </c>
      <c r="C308" s="1" t="s">
        <v>144</v>
      </c>
      <c r="D308" s="1">
        <v>13</v>
      </c>
      <c r="E308" s="1">
        <v>245</v>
      </c>
      <c r="F308" s="1">
        <v>55</v>
      </c>
      <c r="G308" s="1">
        <v>8</v>
      </c>
      <c r="H308" s="1">
        <v>144</v>
      </c>
      <c r="I308" s="1"/>
      <c r="J308" s="1"/>
    </row>
    <row r="309" spans="1:10" x14ac:dyDescent="0.3">
      <c r="A309" s="1" t="s">
        <v>182</v>
      </c>
      <c r="B309" s="1" t="s">
        <v>172</v>
      </c>
      <c r="C309" s="1" t="s">
        <v>144</v>
      </c>
      <c r="D309" s="1">
        <v>14</v>
      </c>
      <c r="E309" s="1">
        <v>270</v>
      </c>
      <c r="F309" s="1">
        <v>53</v>
      </c>
      <c r="G309" s="1">
        <v>8</v>
      </c>
      <c r="H309" s="1">
        <v>45</v>
      </c>
      <c r="I309" s="1"/>
      <c r="J309" s="1"/>
    </row>
    <row r="310" spans="1:10" x14ac:dyDescent="0.3">
      <c r="A310" s="1" t="s">
        <v>182</v>
      </c>
      <c r="B310" s="1" t="s">
        <v>172</v>
      </c>
      <c r="C310" s="1" t="s">
        <v>147</v>
      </c>
      <c r="D310" s="1">
        <v>1</v>
      </c>
      <c r="E310" s="1">
        <v>336</v>
      </c>
      <c r="F310" s="1">
        <v>64</v>
      </c>
      <c r="G310" s="1">
        <v>12</v>
      </c>
      <c r="H310" s="1">
        <v>106</v>
      </c>
      <c r="I310" s="1">
        <v>210</v>
      </c>
      <c r="J310" s="1">
        <v>6</v>
      </c>
    </row>
    <row r="311" spans="1:10" x14ac:dyDescent="0.3">
      <c r="A311" s="1" t="s">
        <v>182</v>
      </c>
      <c r="B311" s="1" t="s">
        <v>172</v>
      </c>
      <c r="C311" s="1" t="s">
        <v>147</v>
      </c>
      <c r="D311" s="1">
        <v>2</v>
      </c>
      <c r="E311" s="1">
        <v>310</v>
      </c>
      <c r="F311" s="1">
        <v>67</v>
      </c>
      <c r="G311" s="1">
        <v>10</v>
      </c>
      <c r="H311" s="1">
        <v>157</v>
      </c>
      <c r="I311" s="1"/>
      <c r="J311" s="1"/>
    </row>
    <row r="312" spans="1:10" x14ac:dyDescent="0.3">
      <c r="A312" s="1" t="s">
        <v>182</v>
      </c>
      <c r="B312" s="1" t="s">
        <v>172</v>
      </c>
      <c r="C312" s="1" t="s">
        <v>147</v>
      </c>
      <c r="D312" s="1">
        <v>3</v>
      </c>
      <c r="E312" s="1">
        <v>344</v>
      </c>
      <c r="F312" s="1">
        <v>67</v>
      </c>
      <c r="G312" s="1">
        <v>15</v>
      </c>
      <c r="H312" s="1">
        <v>92</v>
      </c>
      <c r="I312" s="1">
        <v>180</v>
      </c>
      <c r="J312" s="1">
        <v>4</v>
      </c>
    </row>
    <row r="313" spans="1:10" x14ac:dyDescent="0.3">
      <c r="A313" s="1" t="s">
        <v>182</v>
      </c>
      <c r="B313" s="1" t="s">
        <v>172</v>
      </c>
      <c r="C313" s="1" t="s">
        <v>147</v>
      </c>
      <c r="D313" s="1">
        <v>4</v>
      </c>
      <c r="E313" s="1">
        <v>340</v>
      </c>
      <c r="F313" s="1">
        <v>68</v>
      </c>
      <c r="G313" s="1">
        <v>14</v>
      </c>
      <c r="H313" s="1">
        <v>150</v>
      </c>
      <c r="I313" s="1">
        <v>200</v>
      </c>
      <c r="J313" s="1">
        <v>5</v>
      </c>
    </row>
    <row r="314" spans="1:10" x14ac:dyDescent="0.3">
      <c r="A314" s="1" t="s">
        <v>182</v>
      </c>
      <c r="B314" s="1" t="s">
        <v>172</v>
      </c>
      <c r="C314" s="1" t="s">
        <v>147</v>
      </c>
      <c r="D314" s="1">
        <v>5</v>
      </c>
      <c r="E314" s="1">
        <v>352</v>
      </c>
      <c r="F314" s="1">
        <v>71</v>
      </c>
      <c r="G314" s="1">
        <v>15</v>
      </c>
      <c r="H314" s="1">
        <v>115</v>
      </c>
      <c r="I314" s="1">
        <v>220</v>
      </c>
      <c r="J314" s="1">
        <v>6</v>
      </c>
    </row>
    <row r="315" spans="1:10" x14ac:dyDescent="0.3">
      <c r="A315" s="1" t="s">
        <v>182</v>
      </c>
      <c r="B315" s="1" t="s">
        <v>172</v>
      </c>
      <c r="C315" s="1" t="s">
        <v>147</v>
      </c>
      <c r="D315" s="1">
        <v>6</v>
      </c>
      <c r="E315" s="1">
        <v>348</v>
      </c>
      <c r="F315" s="1">
        <v>61</v>
      </c>
      <c r="G315" s="1">
        <v>11</v>
      </c>
      <c r="H315" s="1">
        <v>140</v>
      </c>
      <c r="I315" s="1">
        <v>104</v>
      </c>
      <c r="J315" s="1">
        <v>4</v>
      </c>
    </row>
    <row r="316" spans="1:10" x14ac:dyDescent="0.3">
      <c r="A316" s="1" t="s">
        <v>182</v>
      </c>
      <c r="B316" s="1" t="s">
        <v>172</v>
      </c>
      <c r="C316" s="1" t="s">
        <v>147</v>
      </c>
      <c r="D316" s="1">
        <v>7</v>
      </c>
      <c r="E316" s="1">
        <v>323</v>
      </c>
      <c r="F316" s="1">
        <v>59</v>
      </c>
      <c r="G316" s="1">
        <v>12</v>
      </c>
      <c r="H316" s="1">
        <v>92</v>
      </c>
      <c r="I316" s="1">
        <v>140</v>
      </c>
      <c r="J316" s="1">
        <v>6</v>
      </c>
    </row>
    <row r="317" spans="1:10" x14ac:dyDescent="0.3">
      <c r="A317" s="1" t="s">
        <v>182</v>
      </c>
      <c r="B317" s="1" t="s">
        <v>172</v>
      </c>
      <c r="C317" s="1" t="s">
        <v>147</v>
      </c>
      <c r="D317" s="1">
        <v>8</v>
      </c>
      <c r="E317" s="1">
        <v>353</v>
      </c>
      <c r="F317" s="1">
        <v>69</v>
      </c>
      <c r="G317" s="1">
        <v>12</v>
      </c>
      <c r="H317" s="1">
        <v>170</v>
      </c>
      <c r="I317" s="1">
        <v>218</v>
      </c>
      <c r="J317" s="1">
        <v>6</v>
      </c>
    </row>
    <row r="318" spans="1:10" x14ac:dyDescent="0.3">
      <c r="A318" s="1" t="s">
        <v>182</v>
      </c>
      <c r="B318" s="1" t="s">
        <v>172</v>
      </c>
      <c r="C318" s="1" t="s">
        <v>147</v>
      </c>
      <c r="D318" s="1">
        <v>9</v>
      </c>
      <c r="E318" s="1">
        <v>336</v>
      </c>
      <c r="F318" s="1">
        <v>64</v>
      </c>
      <c r="G318" s="1">
        <v>12</v>
      </c>
      <c r="H318" s="1">
        <v>154</v>
      </c>
      <c r="I318" s="1">
        <v>193</v>
      </c>
      <c r="J318" s="1">
        <v>7</v>
      </c>
    </row>
    <row r="319" spans="1:10" x14ac:dyDescent="0.3">
      <c r="A319" s="1" t="s">
        <v>182</v>
      </c>
      <c r="B319" s="1" t="s">
        <v>172</v>
      </c>
      <c r="C319" s="1" t="s">
        <v>147</v>
      </c>
      <c r="D319" s="1">
        <v>10</v>
      </c>
      <c r="E319" s="1">
        <v>335</v>
      </c>
      <c r="F319" s="1">
        <v>64</v>
      </c>
      <c r="G319" s="1">
        <v>12</v>
      </c>
      <c r="H319" s="1">
        <v>100</v>
      </c>
      <c r="I319" s="1">
        <v>142</v>
      </c>
      <c r="J319" s="1">
        <v>8</v>
      </c>
    </row>
    <row r="320" spans="1:10" x14ac:dyDescent="0.3">
      <c r="A320" s="1" t="s">
        <v>182</v>
      </c>
      <c r="B320" s="1" t="s">
        <v>172</v>
      </c>
      <c r="C320" s="1" t="s">
        <v>147</v>
      </c>
      <c r="D320" s="1">
        <v>11</v>
      </c>
      <c r="E320" s="1">
        <v>315</v>
      </c>
      <c r="F320" s="1">
        <v>64</v>
      </c>
      <c r="G320" s="1">
        <v>12</v>
      </c>
      <c r="H320" s="1">
        <v>93</v>
      </c>
      <c r="I320" s="1">
        <v>158</v>
      </c>
      <c r="J320" s="1">
        <v>6</v>
      </c>
    </row>
    <row r="321" spans="1:10" x14ac:dyDescent="0.3">
      <c r="A321" s="1" t="s">
        <v>182</v>
      </c>
      <c r="B321" s="1" t="s">
        <v>172</v>
      </c>
      <c r="C321" s="1" t="s">
        <v>147</v>
      </c>
      <c r="D321" s="1">
        <v>12</v>
      </c>
      <c r="E321" s="1">
        <v>328</v>
      </c>
      <c r="F321" s="1">
        <v>64</v>
      </c>
      <c r="G321" s="1">
        <v>11</v>
      </c>
      <c r="H321" s="1">
        <v>160</v>
      </c>
      <c r="I321" s="1"/>
      <c r="J321" s="1"/>
    </row>
    <row r="322" spans="1:10" x14ac:dyDescent="0.3">
      <c r="A322" s="1" t="s">
        <v>182</v>
      </c>
      <c r="B322" s="1" t="s">
        <v>172</v>
      </c>
      <c r="C322" s="1" t="s">
        <v>147</v>
      </c>
      <c r="D322" s="1">
        <v>13</v>
      </c>
      <c r="E322" s="1">
        <v>275</v>
      </c>
      <c r="F322" s="1">
        <v>56</v>
      </c>
      <c r="G322" s="1">
        <v>10</v>
      </c>
      <c r="H322" s="1">
        <v>123</v>
      </c>
      <c r="I322" s="1"/>
      <c r="J322" s="1"/>
    </row>
    <row r="323" spans="1:10" x14ac:dyDescent="0.3">
      <c r="A323" s="1" t="s">
        <v>182</v>
      </c>
      <c r="B323" s="1" t="s">
        <v>172</v>
      </c>
      <c r="C323" s="1" t="s">
        <v>147</v>
      </c>
      <c r="D323" s="1">
        <v>14</v>
      </c>
      <c r="E323" s="1">
        <v>290</v>
      </c>
      <c r="F323" s="1">
        <v>57</v>
      </c>
      <c r="G323" s="1">
        <v>12</v>
      </c>
      <c r="H323" s="1">
        <v>86</v>
      </c>
      <c r="I323" s="1">
        <v>160</v>
      </c>
      <c r="J323" s="1">
        <v>6</v>
      </c>
    </row>
    <row r="324" spans="1:10" x14ac:dyDescent="0.3">
      <c r="A324" s="1" t="s">
        <v>182</v>
      </c>
      <c r="B324" s="1" t="s">
        <v>99</v>
      </c>
      <c r="C324" s="1" t="s">
        <v>146</v>
      </c>
      <c r="D324" s="1">
        <v>1</v>
      </c>
      <c r="E324" s="1">
        <v>344</v>
      </c>
      <c r="F324" s="1">
        <v>62</v>
      </c>
      <c r="G324" s="1">
        <v>14</v>
      </c>
      <c r="H324" s="1">
        <v>90</v>
      </c>
      <c r="I324" s="1">
        <v>170</v>
      </c>
      <c r="J324" s="1">
        <v>6</v>
      </c>
    </row>
    <row r="325" spans="1:10" x14ac:dyDescent="0.3">
      <c r="A325" s="1" t="s">
        <v>182</v>
      </c>
      <c r="B325" s="1" t="s">
        <v>99</v>
      </c>
      <c r="C325" s="1" t="s">
        <v>146</v>
      </c>
      <c r="D325" s="1">
        <v>2</v>
      </c>
      <c r="E325" s="1">
        <v>345</v>
      </c>
      <c r="F325" s="1">
        <v>66</v>
      </c>
      <c r="G325" s="1">
        <v>12</v>
      </c>
      <c r="H325" s="1">
        <v>165</v>
      </c>
      <c r="I325" s="1">
        <v>230</v>
      </c>
      <c r="J325" s="1">
        <v>6</v>
      </c>
    </row>
    <row r="326" spans="1:10" x14ac:dyDescent="0.3">
      <c r="A326" s="1" t="s">
        <v>182</v>
      </c>
      <c r="B326" s="1" t="s">
        <v>99</v>
      </c>
      <c r="C326" s="1" t="s">
        <v>146</v>
      </c>
      <c r="D326" s="1">
        <v>3</v>
      </c>
      <c r="E326" s="1">
        <v>340</v>
      </c>
      <c r="F326" s="1">
        <v>64</v>
      </c>
      <c r="G326" s="1">
        <v>14</v>
      </c>
      <c r="H326" s="1">
        <v>133</v>
      </c>
      <c r="I326" s="1">
        <v>204</v>
      </c>
      <c r="J326" s="1">
        <v>6</v>
      </c>
    </row>
    <row r="327" spans="1:10" x14ac:dyDescent="0.3">
      <c r="A327" s="1" t="s">
        <v>182</v>
      </c>
      <c r="B327" s="1" t="s">
        <v>99</v>
      </c>
      <c r="C327" s="1" t="s">
        <v>146</v>
      </c>
      <c r="D327" s="1">
        <v>4</v>
      </c>
      <c r="E327" s="1">
        <v>327</v>
      </c>
      <c r="F327" s="1">
        <v>73</v>
      </c>
      <c r="G327" s="1">
        <v>12</v>
      </c>
      <c r="H327" s="1">
        <v>135</v>
      </c>
      <c r="I327" s="1">
        <v>206</v>
      </c>
      <c r="J327" s="1">
        <v>6</v>
      </c>
    </row>
    <row r="328" spans="1:10" x14ac:dyDescent="0.3">
      <c r="A328" s="1" t="s">
        <v>182</v>
      </c>
      <c r="B328" s="1" t="s">
        <v>99</v>
      </c>
      <c r="C328" s="1" t="s">
        <v>146</v>
      </c>
      <c r="D328" s="1">
        <v>5</v>
      </c>
      <c r="E328" s="1">
        <v>342</v>
      </c>
      <c r="F328" s="1">
        <v>65</v>
      </c>
      <c r="G328" s="1">
        <v>10</v>
      </c>
      <c r="H328" s="1">
        <v>135</v>
      </c>
      <c r="I328" s="1">
        <v>205</v>
      </c>
      <c r="J328" s="1">
        <v>6</v>
      </c>
    </row>
    <row r="329" spans="1:10" x14ac:dyDescent="0.3">
      <c r="A329" s="1" t="s">
        <v>182</v>
      </c>
      <c r="B329" s="1" t="s">
        <v>99</v>
      </c>
      <c r="C329" s="1" t="s">
        <v>146</v>
      </c>
      <c r="D329" s="1">
        <v>6</v>
      </c>
      <c r="E329" s="1">
        <v>305</v>
      </c>
      <c r="F329" s="1">
        <v>68</v>
      </c>
      <c r="G329" s="1">
        <v>16</v>
      </c>
      <c r="H329" s="1">
        <v>133</v>
      </c>
      <c r="I329" s="1"/>
      <c r="J329" s="1"/>
    </row>
    <row r="330" spans="1:10" x14ac:dyDescent="0.3">
      <c r="A330" s="1" t="s">
        <v>182</v>
      </c>
      <c r="B330" s="1" t="s">
        <v>99</v>
      </c>
      <c r="C330" s="1" t="s">
        <v>146</v>
      </c>
      <c r="D330" s="1">
        <v>7</v>
      </c>
      <c r="E330" s="1">
        <v>345</v>
      </c>
      <c r="F330" s="1">
        <v>66</v>
      </c>
      <c r="G330" s="1">
        <v>16</v>
      </c>
      <c r="H330" s="1">
        <v>133</v>
      </c>
      <c r="I330" s="1">
        <v>210</v>
      </c>
      <c r="J330" s="1">
        <v>7</v>
      </c>
    </row>
    <row r="331" spans="1:10" x14ac:dyDescent="0.3">
      <c r="A331" s="1" t="s">
        <v>182</v>
      </c>
      <c r="B331" s="1" t="s">
        <v>99</v>
      </c>
      <c r="C331" s="1" t="s">
        <v>146</v>
      </c>
      <c r="D331" s="1">
        <v>8</v>
      </c>
      <c r="E331" s="1">
        <v>335</v>
      </c>
      <c r="F331" s="1">
        <v>66</v>
      </c>
      <c r="G331" s="1">
        <v>13</v>
      </c>
      <c r="H331" s="1">
        <v>104</v>
      </c>
      <c r="I331" s="1">
        <v>190</v>
      </c>
      <c r="J331" s="1">
        <v>7</v>
      </c>
    </row>
    <row r="332" spans="1:10" x14ac:dyDescent="0.3">
      <c r="A332" s="1" t="s">
        <v>182</v>
      </c>
      <c r="B332" s="1" t="s">
        <v>99</v>
      </c>
      <c r="C332" s="1" t="s">
        <v>146</v>
      </c>
      <c r="D332" s="1">
        <v>9</v>
      </c>
      <c r="E332" s="1">
        <v>310</v>
      </c>
      <c r="F332" s="1">
        <v>62</v>
      </c>
      <c r="G332" s="1">
        <v>10</v>
      </c>
      <c r="H332" s="1">
        <v>65</v>
      </c>
      <c r="I332" s="1"/>
      <c r="J332" s="1"/>
    </row>
    <row r="333" spans="1:10" x14ac:dyDescent="0.3">
      <c r="A333" s="1" t="s">
        <v>182</v>
      </c>
      <c r="B333" s="1" t="s">
        <v>99</v>
      </c>
      <c r="C333" s="1" t="s">
        <v>146</v>
      </c>
      <c r="D333" s="1">
        <v>10</v>
      </c>
      <c r="E333" s="1">
        <v>336</v>
      </c>
      <c r="F333" s="1">
        <v>64</v>
      </c>
      <c r="G333" s="1">
        <v>11</v>
      </c>
      <c r="H333" s="1">
        <v>97</v>
      </c>
      <c r="I333" s="1"/>
      <c r="J333" s="1"/>
    </row>
    <row r="334" spans="1:10" x14ac:dyDescent="0.3">
      <c r="A334" s="1" t="s">
        <v>182</v>
      </c>
      <c r="B334" s="1" t="s">
        <v>99</v>
      </c>
      <c r="C334" s="1" t="s">
        <v>146</v>
      </c>
      <c r="D334" s="1">
        <v>11</v>
      </c>
      <c r="E334" s="1">
        <v>285</v>
      </c>
      <c r="F334" s="1">
        <v>61</v>
      </c>
      <c r="G334" s="1">
        <v>11</v>
      </c>
      <c r="H334" s="1">
        <v>147</v>
      </c>
      <c r="I334" s="1"/>
      <c r="J334" s="1"/>
    </row>
    <row r="335" spans="1:10" x14ac:dyDescent="0.3">
      <c r="A335" s="1" t="s">
        <v>182</v>
      </c>
      <c r="B335" s="1" t="s">
        <v>99</v>
      </c>
      <c r="C335" s="1" t="s">
        <v>146</v>
      </c>
      <c r="D335" s="1">
        <v>12</v>
      </c>
      <c r="E335" s="1">
        <v>326</v>
      </c>
      <c r="F335" s="1">
        <v>66</v>
      </c>
      <c r="G335" s="1">
        <v>11</v>
      </c>
      <c r="H335" s="1">
        <v>147</v>
      </c>
      <c r="I335" s="1">
        <v>190</v>
      </c>
      <c r="J335" s="1">
        <v>6</v>
      </c>
    </row>
    <row r="336" spans="1:10" x14ac:dyDescent="0.3">
      <c r="A336" s="1" t="s">
        <v>182</v>
      </c>
      <c r="B336" s="1" t="s">
        <v>99</v>
      </c>
      <c r="C336" s="1" t="s">
        <v>146</v>
      </c>
      <c r="D336" s="1">
        <v>13</v>
      </c>
      <c r="E336" s="1">
        <v>290</v>
      </c>
      <c r="F336" s="1">
        <v>55</v>
      </c>
      <c r="G336" s="1">
        <v>9</v>
      </c>
      <c r="H336" s="1">
        <v>110</v>
      </c>
      <c r="I336" s="1">
        <v>170</v>
      </c>
      <c r="J336" s="1">
        <v>4</v>
      </c>
    </row>
    <row r="337" spans="1:10" x14ac:dyDescent="0.3">
      <c r="A337" s="1" t="s">
        <v>182</v>
      </c>
      <c r="B337" s="1" t="s">
        <v>99</v>
      </c>
      <c r="C337" s="1" t="s">
        <v>146</v>
      </c>
      <c r="D337" s="1">
        <v>14</v>
      </c>
      <c r="E337" s="1">
        <v>360</v>
      </c>
      <c r="F337" s="1">
        <v>70</v>
      </c>
      <c r="G337" s="1">
        <v>12</v>
      </c>
      <c r="H337" s="1">
        <v>120</v>
      </c>
      <c r="I337" s="1"/>
      <c r="J337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00958-E60D-4E71-B2AA-2DB7BBFE2F89}">
  <dimension ref="A1:U325"/>
  <sheetViews>
    <sheetView workbookViewId="0">
      <selection sqref="A1:U1"/>
    </sheetView>
  </sheetViews>
  <sheetFormatPr baseColWidth="10" defaultRowHeight="14.4" x14ac:dyDescent="0.3"/>
  <cols>
    <col min="1" max="16384" width="11.5546875" style="3"/>
  </cols>
  <sheetData>
    <row r="1" spans="1:21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124</v>
      </c>
      <c r="K1" s="2" t="s">
        <v>170</v>
      </c>
      <c r="L1" s="2" t="s">
        <v>126</v>
      </c>
      <c r="M1" s="2" t="s">
        <v>127</v>
      </c>
      <c r="N1" s="2" t="s">
        <v>171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  <c r="T1" s="2" t="s">
        <v>187</v>
      </c>
      <c r="U1" s="2" t="s">
        <v>188</v>
      </c>
    </row>
    <row r="2" spans="1:21" x14ac:dyDescent="0.3">
      <c r="A2" s="7" t="s">
        <v>96</v>
      </c>
      <c r="B2" s="7" t="s">
        <v>172</v>
      </c>
      <c r="C2" s="7" t="s">
        <v>144</v>
      </c>
      <c r="D2" s="7">
        <v>1</v>
      </c>
      <c r="E2" s="7">
        <v>300</v>
      </c>
      <c r="F2" s="7">
        <v>59</v>
      </c>
      <c r="G2" s="7">
        <v>10</v>
      </c>
      <c r="H2" s="7">
        <v>76</v>
      </c>
      <c r="I2" s="7" t="s">
        <v>181</v>
      </c>
      <c r="J2" s="7">
        <v>1</v>
      </c>
      <c r="K2" s="7">
        <v>10</v>
      </c>
      <c r="L2" s="7"/>
      <c r="M2" s="7"/>
      <c r="N2" s="7"/>
      <c r="O2" s="7"/>
      <c r="P2" s="7"/>
      <c r="Q2" s="7"/>
      <c r="R2" s="7"/>
      <c r="S2" s="7"/>
      <c r="T2" s="7">
        <v>11</v>
      </c>
      <c r="U2" s="7">
        <v>4.7272727272727284</v>
      </c>
    </row>
    <row r="3" spans="1:21" x14ac:dyDescent="0.3">
      <c r="A3" s="7" t="s">
        <v>96</v>
      </c>
      <c r="B3" s="7" t="s">
        <v>172</v>
      </c>
      <c r="C3" s="7" t="s">
        <v>144</v>
      </c>
      <c r="D3" s="7">
        <v>2</v>
      </c>
      <c r="E3" s="7">
        <v>340</v>
      </c>
      <c r="F3" s="7">
        <v>70</v>
      </c>
      <c r="G3" s="7">
        <v>14</v>
      </c>
      <c r="H3" s="7">
        <v>120</v>
      </c>
      <c r="I3" s="7" t="s">
        <v>173</v>
      </c>
      <c r="J3" s="7">
        <v>47</v>
      </c>
      <c r="K3" s="7">
        <v>5</v>
      </c>
      <c r="L3" s="7">
        <v>11</v>
      </c>
      <c r="M3" s="7">
        <v>184</v>
      </c>
      <c r="N3" s="7">
        <v>6</v>
      </c>
      <c r="O3" s="7">
        <v>48</v>
      </c>
      <c r="P3" s="7">
        <v>38</v>
      </c>
      <c r="Q3" s="7">
        <v>8</v>
      </c>
      <c r="R3" s="7">
        <v>8.1999999999999993</v>
      </c>
      <c r="S3" s="7">
        <v>7.3211904000000008</v>
      </c>
      <c r="T3" s="7">
        <v>52</v>
      </c>
      <c r="U3" s="7">
        <v>1</v>
      </c>
    </row>
    <row r="4" spans="1:21" x14ac:dyDescent="0.3">
      <c r="A4" s="7" t="s">
        <v>96</v>
      </c>
      <c r="B4" s="7" t="s">
        <v>172</v>
      </c>
      <c r="C4" s="7" t="s">
        <v>144</v>
      </c>
      <c r="D4" s="7">
        <v>3</v>
      </c>
      <c r="E4" s="7">
        <v>330</v>
      </c>
      <c r="F4" s="7">
        <v>63</v>
      </c>
      <c r="G4" s="7">
        <v>11</v>
      </c>
      <c r="H4" s="7">
        <v>138</v>
      </c>
      <c r="I4" s="7" t="s">
        <v>174</v>
      </c>
      <c r="J4" s="7">
        <v>42</v>
      </c>
      <c r="K4" s="7">
        <v>52</v>
      </c>
      <c r="L4" s="7">
        <v>11</v>
      </c>
      <c r="M4" s="7">
        <v>160</v>
      </c>
      <c r="N4" s="7">
        <v>7</v>
      </c>
      <c r="O4" s="7">
        <v>42</v>
      </c>
      <c r="P4" s="7">
        <v>39</v>
      </c>
      <c r="Q4" s="7">
        <v>7</v>
      </c>
      <c r="R4" s="7">
        <v>8</v>
      </c>
      <c r="S4" s="7">
        <v>6.2280960000000007</v>
      </c>
      <c r="T4" s="7">
        <v>94</v>
      </c>
      <c r="U4" s="7">
        <v>0.55319148936170215</v>
      </c>
    </row>
    <row r="5" spans="1:21" x14ac:dyDescent="0.3">
      <c r="A5" s="7" t="s">
        <v>96</v>
      </c>
      <c r="B5" s="7" t="s">
        <v>172</v>
      </c>
      <c r="C5" s="7" t="s">
        <v>144</v>
      </c>
      <c r="D5" s="7">
        <v>4</v>
      </c>
      <c r="E5" s="7">
        <v>265</v>
      </c>
      <c r="F5" s="7">
        <v>55</v>
      </c>
      <c r="G5" s="7">
        <v>11</v>
      </c>
      <c r="H5" s="7">
        <v>96</v>
      </c>
      <c r="I5" s="7" t="s">
        <v>179</v>
      </c>
      <c r="J5" s="7">
        <v>49</v>
      </c>
      <c r="K5" s="7">
        <v>7</v>
      </c>
      <c r="L5" s="7"/>
      <c r="M5" s="7"/>
      <c r="N5" s="7"/>
      <c r="O5" s="7"/>
      <c r="P5" s="7"/>
      <c r="Q5" s="7"/>
      <c r="R5" s="7"/>
      <c r="S5" s="7"/>
      <c r="T5" s="7">
        <v>56</v>
      </c>
      <c r="U5" s="7">
        <v>0.9285714285714286</v>
      </c>
    </row>
    <row r="6" spans="1:21" x14ac:dyDescent="0.3">
      <c r="A6" s="7" t="s">
        <v>96</v>
      </c>
      <c r="B6" s="7" t="s">
        <v>172</v>
      </c>
      <c r="C6" s="7" t="s">
        <v>144</v>
      </c>
      <c r="D6" s="7">
        <v>5</v>
      </c>
      <c r="E6" s="7">
        <v>275</v>
      </c>
      <c r="F6" s="7">
        <v>54</v>
      </c>
      <c r="G6" s="7">
        <v>10</v>
      </c>
      <c r="H6" s="7">
        <v>90</v>
      </c>
      <c r="I6" s="7" t="s">
        <v>175</v>
      </c>
      <c r="J6" s="7">
        <v>51</v>
      </c>
      <c r="K6" s="7">
        <v>9</v>
      </c>
      <c r="L6" s="7"/>
      <c r="M6" s="7"/>
      <c r="N6" s="7"/>
      <c r="O6" s="7"/>
      <c r="P6" s="7"/>
      <c r="Q6" s="7"/>
      <c r="R6" s="7"/>
      <c r="S6" s="7"/>
      <c r="T6" s="7">
        <v>60</v>
      </c>
      <c r="U6" s="7">
        <v>0.8666666666666667</v>
      </c>
    </row>
    <row r="7" spans="1:21" x14ac:dyDescent="0.3">
      <c r="A7" s="7" t="s">
        <v>96</v>
      </c>
      <c r="B7" s="7" t="s">
        <v>172</v>
      </c>
      <c r="C7" s="7" t="s">
        <v>144</v>
      </c>
      <c r="D7" s="7">
        <v>6</v>
      </c>
      <c r="E7" s="7">
        <v>270</v>
      </c>
      <c r="F7" s="7">
        <v>56</v>
      </c>
      <c r="G7" s="7">
        <v>10</v>
      </c>
      <c r="H7" s="7">
        <v>68</v>
      </c>
      <c r="I7" s="7" t="s">
        <v>181</v>
      </c>
      <c r="J7" s="7">
        <v>1</v>
      </c>
      <c r="K7" s="7">
        <v>10</v>
      </c>
      <c r="L7" s="7"/>
      <c r="M7" s="7"/>
      <c r="N7" s="7"/>
      <c r="O7" s="7"/>
      <c r="P7" s="7"/>
      <c r="Q7" s="7"/>
      <c r="R7" s="7"/>
      <c r="S7" s="7"/>
      <c r="T7" s="7">
        <v>11</v>
      </c>
      <c r="U7" s="7">
        <v>4.7272727272727284</v>
      </c>
    </row>
    <row r="8" spans="1:21" x14ac:dyDescent="0.3">
      <c r="A8" s="7" t="s">
        <v>96</v>
      </c>
      <c r="B8" s="7" t="s">
        <v>172</v>
      </c>
      <c r="C8" s="7" t="s">
        <v>144</v>
      </c>
      <c r="D8" s="7">
        <v>7</v>
      </c>
      <c r="E8" s="7">
        <v>310</v>
      </c>
      <c r="F8" s="7">
        <v>65</v>
      </c>
      <c r="G8" s="7">
        <v>11</v>
      </c>
      <c r="H8" s="7">
        <v>153</v>
      </c>
      <c r="I8" s="7" t="s">
        <v>175</v>
      </c>
      <c r="J8" s="7">
        <v>51</v>
      </c>
      <c r="K8" s="7">
        <v>9</v>
      </c>
      <c r="L8" s="7"/>
      <c r="M8" s="7"/>
      <c r="N8" s="7"/>
      <c r="O8" s="7"/>
      <c r="P8" s="7"/>
      <c r="Q8" s="7"/>
      <c r="R8" s="7"/>
      <c r="S8" s="7"/>
      <c r="T8" s="7">
        <v>60</v>
      </c>
      <c r="U8" s="7">
        <v>0.8666666666666667</v>
      </c>
    </row>
    <row r="9" spans="1:21" x14ac:dyDescent="0.3">
      <c r="A9" s="7" t="s">
        <v>96</v>
      </c>
      <c r="B9" s="7" t="s">
        <v>172</v>
      </c>
      <c r="C9" s="7" t="s">
        <v>144</v>
      </c>
      <c r="D9" s="7">
        <v>8</v>
      </c>
      <c r="E9" s="7">
        <v>300</v>
      </c>
      <c r="F9" s="7">
        <v>59</v>
      </c>
      <c r="G9" s="7">
        <v>13</v>
      </c>
      <c r="H9" s="7">
        <v>122</v>
      </c>
      <c r="I9" s="7" t="s">
        <v>173</v>
      </c>
      <c r="J9" s="7">
        <v>47</v>
      </c>
      <c r="K9" s="7">
        <v>5</v>
      </c>
      <c r="L9" s="7">
        <v>12</v>
      </c>
      <c r="M9" s="7">
        <v>167</v>
      </c>
      <c r="N9" s="7">
        <v>5</v>
      </c>
      <c r="O9" s="7">
        <v>27</v>
      </c>
      <c r="P9" s="7">
        <v>37</v>
      </c>
      <c r="Q9" s="7">
        <v>6</v>
      </c>
      <c r="R9" s="7">
        <v>7.2</v>
      </c>
      <c r="S9" s="7">
        <v>4.2341520000000008</v>
      </c>
      <c r="T9" s="7">
        <v>52</v>
      </c>
      <c r="U9" s="7">
        <v>1</v>
      </c>
    </row>
    <row r="10" spans="1:21" x14ac:dyDescent="0.3">
      <c r="A10" s="7" t="s">
        <v>96</v>
      </c>
      <c r="B10" s="7" t="s">
        <v>172</v>
      </c>
      <c r="C10" s="7" t="s">
        <v>144</v>
      </c>
      <c r="D10" s="7">
        <v>9</v>
      </c>
      <c r="E10" s="7">
        <v>300</v>
      </c>
      <c r="F10" s="7">
        <v>64</v>
      </c>
      <c r="G10" s="7">
        <v>11</v>
      </c>
      <c r="H10" s="7">
        <v>87</v>
      </c>
      <c r="I10" s="7" t="s">
        <v>174</v>
      </c>
      <c r="J10" s="7">
        <v>50</v>
      </c>
      <c r="K10" s="7">
        <v>8</v>
      </c>
      <c r="L10" s="7"/>
      <c r="M10" s="7"/>
      <c r="N10" s="7"/>
      <c r="O10" s="7"/>
      <c r="P10" s="7"/>
      <c r="Q10" s="7"/>
      <c r="R10" s="7"/>
      <c r="S10" s="7"/>
      <c r="T10" s="7">
        <v>58</v>
      </c>
      <c r="U10" s="7">
        <v>0.89655172413793105</v>
      </c>
    </row>
    <row r="11" spans="1:21" x14ac:dyDescent="0.3">
      <c r="A11" s="7" t="s">
        <v>96</v>
      </c>
      <c r="B11" s="7" t="s">
        <v>172</v>
      </c>
      <c r="C11" s="7" t="s">
        <v>144</v>
      </c>
      <c r="D11" s="7">
        <v>10</v>
      </c>
      <c r="E11" s="7">
        <v>272</v>
      </c>
      <c r="F11" s="7">
        <v>56</v>
      </c>
      <c r="G11" s="7">
        <v>12</v>
      </c>
      <c r="H11" s="7">
        <v>70</v>
      </c>
      <c r="I11" s="7" t="s">
        <v>175</v>
      </c>
      <c r="J11" s="7">
        <v>51</v>
      </c>
      <c r="K11" s="7">
        <v>9</v>
      </c>
      <c r="L11" s="7"/>
      <c r="M11" s="7"/>
      <c r="N11" s="7"/>
      <c r="O11" s="7"/>
      <c r="P11" s="7"/>
      <c r="Q11" s="7"/>
      <c r="R11" s="7"/>
      <c r="S11" s="7"/>
      <c r="T11" s="7">
        <v>60</v>
      </c>
      <c r="U11" s="7">
        <v>0.8666666666666667</v>
      </c>
    </row>
    <row r="12" spans="1:21" x14ac:dyDescent="0.3">
      <c r="A12" s="7" t="s">
        <v>96</v>
      </c>
      <c r="B12" s="7" t="s">
        <v>172</v>
      </c>
      <c r="C12" s="7" t="s">
        <v>144</v>
      </c>
      <c r="D12" s="7">
        <v>11</v>
      </c>
      <c r="E12" s="7">
        <v>290</v>
      </c>
      <c r="F12" s="7">
        <v>57</v>
      </c>
      <c r="G12" s="7">
        <v>12</v>
      </c>
      <c r="H12" s="7">
        <v>80</v>
      </c>
      <c r="I12" s="7" t="s">
        <v>174</v>
      </c>
      <c r="J12" s="7">
        <v>42</v>
      </c>
      <c r="K12" s="7">
        <v>52</v>
      </c>
      <c r="L12" s="7">
        <v>11</v>
      </c>
      <c r="M12" s="7">
        <v>150</v>
      </c>
      <c r="N12" s="7">
        <v>6</v>
      </c>
      <c r="O12" s="7">
        <v>37</v>
      </c>
      <c r="P12" s="7">
        <v>39</v>
      </c>
      <c r="Q12" s="7">
        <v>6</v>
      </c>
      <c r="R12" s="7">
        <v>7.8</v>
      </c>
      <c r="S12" s="7">
        <v>5.3383680000000018</v>
      </c>
      <c r="T12" s="7">
        <v>94</v>
      </c>
      <c r="U12" s="7">
        <v>0.55319148936170215</v>
      </c>
    </row>
    <row r="13" spans="1:21" x14ac:dyDescent="0.3">
      <c r="A13" s="7" t="s">
        <v>96</v>
      </c>
      <c r="B13" s="7" t="s">
        <v>172</v>
      </c>
      <c r="C13" s="7" t="s">
        <v>144</v>
      </c>
      <c r="D13" s="7">
        <v>12</v>
      </c>
      <c r="E13" s="7">
        <v>330</v>
      </c>
      <c r="F13" s="7">
        <v>65</v>
      </c>
      <c r="G13" s="7">
        <v>13</v>
      </c>
      <c r="H13" s="7">
        <v>95</v>
      </c>
      <c r="I13" s="7" t="s">
        <v>174</v>
      </c>
      <c r="J13" s="7">
        <v>50</v>
      </c>
      <c r="K13" s="7">
        <v>8</v>
      </c>
      <c r="L13" s="7"/>
      <c r="M13" s="7"/>
      <c r="N13" s="7"/>
      <c r="O13" s="7"/>
      <c r="P13" s="7"/>
      <c r="Q13" s="7"/>
      <c r="R13" s="7"/>
      <c r="S13" s="7"/>
      <c r="T13" s="7">
        <v>58</v>
      </c>
      <c r="U13" s="7">
        <v>0.89655172413793105</v>
      </c>
    </row>
    <row r="14" spans="1:21" x14ac:dyDescent="0.3">
      <c r="A14" s="7" t="s">
        <v>96</v>
      </c>
      <c r="B14" s="7" t="s">
        <v>172</v>
      </c>
      <c r="C14" s="7" t="s">
        <v>144</v>
      </c>
      <c r="D14" s="7">
        <v>13</v>
      </c>
      <c r="E14" s="7">
        <v>354</v>
      </c>
      <c r="F14" s="7">
        <v>70</v>
      </c>
      <c r="G14" s="7">
        <v>11</v>
      </c>
      <c r="H14" s="7">
        <v>172</v>
      </c>
      <c r="I14" s="7" t="s">
        <v>175</v>
      </c>
      <c r="J14" s="7">
        <v>43</v>
      </c>
      <c r="K14" s="7">
        <v>1</v>
      </c>
      <c r="L14" s="7">
        <v>11</v>
      </c>
      <c r="M14" s="7">
        <v>230</v>
      </c>
      <c r="N14" s="7">
        <v>6</v>
      </c>
      <c r="O14" s="7">
        <v>51</v>
      </c>
      <c r="P14" s="7">
        <v>39</v>
      </c>
      <c r="Q14" s="7">
        <v>8</v>
      </c>
      <c r="R14" s="7">
        <v>7.6</v>
      </c>
      <c r="S14" s="7">
        <v>6.1486560000000008</v>
      </c>
      <c r="T14" s="7">
        <v>44</v>
      </c>
      <c r="U14" s="7">
        <v>1.1818181818181821</v>
      </c>
    </row>
    <row r="15" spans="1:21" x14ac:dyDescent="0.3">
      <c r="A15" s="7" t="s">
        <v>96</v>
      </c>
      <c r="B15" s="7" t="s">
        <v>172</v>
      </c>
      <c r="C15" s="7" t="s">
        <v>144</v>
      </c>
      <c r="D15" s="7">
        <v>14</v>
      </c>
      <c r="E15" s="7">
        <v>340</v>
      </c>
      <c r="F15" s="7">
        <v>63</v>
      </c>
      <c r="G15" s="7">
        <v>13</v>
      </c>
      <c r="H15" s="7">
        <v>155</v>
      </c>
      <c r="I15" s="7" t="s">
        <v>176</v>
      </c>
      <c r="J15" s="7">
        <v>45</v>
      </c>
      <c r="K15" s="7">
        <v>3</v>
      </c>
      <c r="L15" s="7">
        <v>11</v>
      </c>
      <c r="M15" s="7">
        <v>215</v>
      </c>
      <c r="N15" s="7">
        <v>5</v>
      </c>
      <c r="O15" s="7">
        <v>43</v>
      </c>
      <c r="P15" s="7">
        <v>39</v>
      </c>
      <c r="Q15" s="7">
        <v>7</v>
      </c>
      <c r="R15" s="7">
        <v>8</v>
      </c>
      <c r="S15" s="7">
        <v>6.156600000000001</v>
      </c>
      <c r="T15" s="7">
        <v>48</v>
      </c>
      <c r="U15" s="7">
        <v>1.083333333333333</v>
      </c>
    </row>
    <row r="16" spans="1:21" x14ac:dyDescent="0.3">
      <c r="A16" s="7" t="s">
        <v>96</v>
      </c>
      <c r="B16" s="7" t="s">
        <v>97</v>
      </c>
      <c r="C16" s="7" t="s">
        <v>147</v>
      </c>
      <c r="D16" s="7">
        <v>1</v>
      </c>
      <c r="E16" s="7">
        <v>308</v>
      </c>
      <c r="F16" s="7">
        <v>61</v>
      </c>
      <c r="G16" s="7">
        <v>13</v>
      </c>
      <c r="H16" s="7">
        <v>95</v>
      </c>
      <c r="I16" s="7" t="s">
        <v>180</v>
      </c>
      <c r="J16" s="7">
        <v>48</v>
      </c>
      <c r="K16" s="7">
        <v>6</v>
      </c>
      <c r="L16" s="7"/>
      <c r="M16" s="7"/>
      <c r="N16" s="7"/>
      <c r="O16" s="7"/>
      <c r="P16" s="7"/>
      <c r="Q16" s="7"/>
      <c r="R16" s="7"/>
      <c r="S16" s="7"/>
      <c r="T16" s="7">
        <v>54</v>
      </c>
      <c r="U16" s="7">
        <v>0.96296296296296291</v>
      </c>
    </row>
    <row r="17" spans="1:21" x14ac:dyDescent="0.3">
      <c r="A17" s="7" t="s">
        <v>96</v>
      </c>
      <c r="B17" s="7" t="s">
        <v>97</v>
      </c>
      <c r="C17" s="7" t="s">
        <v>147</v>
      </c>
      <c r="D17" s="7">
        <v>2</v>
      </c>
      <c r="E17" s="7">
        <v>370</v>
      </c>
      <c r="F17" s="7">
        <v>71</v>
      </c>
      <c r="G17" s="7">
        <v>14</v>
      </c>
      <c r="H17" s="7">
        <v>153</v>
      </c>
      <c r="I17" s="7" t="s">
        <v>177</v>
      </c>
      <c r="J17" s="7">
        <v>44</v>
      </c>
      <c r="K17" s="7">
        <v>2</v>
      </c>
      <c r="L17" s="7">
        <v>11</v>
      </c>
      <c r="M17" s="7">
        <v>245</v>
      </c>
      <c r="N17" s="7">
        <v>6</v>
      </c>
      <c r="O17" s="7">
        <v>51.5</v>
      </c>
      <c r="P17" s="7">
        <v>39</v>
      </c>
      <c r="Q17" s="7">
        <v>8</v>
      </c>
      <c r="R17" s="7">
        <v>8.1999999999999993</v>
      </c>
      <c r="S17" s="7">
        <v>6.6195763200000002</v>
      </c>
      <c r="T17" s="7">
        <v>46</v>
      </c>
      <c r="U17" s="7">
        <v>1.130434782608696</v>
      </c>
    </row>
    <row r="18" spans="1:21" x14ac:dyDescent="0.3">
      <c r="A18" s="7" t="s">
        <v>96</v>
      </c>
      <c r="B18" s="7" t="s">
        <v>97</v>
      </c>
      <c r="C18" s="7" t="s">
        <v>147</v>
      </c>
      <c r="D18" s="7">
        <v>3</v>
      </c>
      <c r="E18" s="7">
        <v>300</v>
      </c>
      <c r="F18" s="7">
        <v>60</v>
      </c>
      <c r="G18" s="7">
        <v>12</v>
      </c>
      <c r="H18" s="7">
        <v>90</v>
      </c>
      <c r="I18" s="7" t="s">
        <v>180</v>
      </c>
      <c r="J18" s="7">
        <v>48</v>
      </c>
      <c r="K18" s="7">
        <v>6</v>
      </c>
      <c r="L18" s="7"/>
      <c r="M18" s="7"/>
      <c r="N18" s="7"/>
      <c r="O18" s="7"/>
      <c r="P18" s="7"/>
      <c r="Q18" s="7"/>
      <c r="R18" s="7"/>
      <c r="S18" s="7"/>
      <c r="T18" s="7">
        <v>54</v>
      </c>
      <c r="U18" s="7">
        <v>0.96296296296296291</v>
      </c>
    </row>
    <row r="19" spans="1:21" x14ac:dyDescent="0.3">
      <c r="A19" s="7" t="s">
        <v>96</v>
      </c>
      <c r="B19" s="7" t="s">
        <v>97</v>
      </c>
      <c r="C19" s="7" t="s">
        <v>147</v>
      </c>
      <c r="D19" s="7">
        <v>4</v>
      </c>
      <c r="E19" s="7">
        <v>310</v>
      </c>
      <c r="F19" s="7">
        <v>61</v>
      </c>
      <c r="G19" s="7">
        <v>10</v>
      </c>
      <c r="H19" s="7">
        <v>100</v>
      </c>
      <c r="I19" s="7" t="s">
        <v>181</v>
      </c>
      <c r="J19" s="7">
        <v>1</v>
      </c>
      <c r="K19" s="7">
        <v>10</v>
      </c>
      <c r="L19" s="7"/>
      <c r="M19" s="7"/>
      <c r="N19" s="7"/>
      <c r="O19" s="7"/>
      <c r="P19" s="7"/>
      <c r="Q19" s="7"/>
      <c r="R19" s="7"/>
      <c r="S19" s="7"/>
      <c r="T19" s="7">
        <v>11</v>
      </c>
      <c r="U19" s="7">
        <v>4.7272727272727284</v>
      </c>
    </row>
    <row r="20" spans="1:21" x14ac:dyDescent="0.3">
      <c r="A20" s="7" t="s">
        <v>96</v>
      </c>
      <c r="B20" s="7" t="s">
        <v>97</v>
      </c>
      <c r="C20" s="7" t="s">
        <v>147</v>
      </c>
      <c r="D20" s="7">
        <v>6</v>
      </c>
      <c r="E20" s="7">
        <v>307</v>
      </c>
      <c r="F20" s="7">
        <v>63</v>
      </c>
      <c r="G20" s="7">
        <v>9</v>
      </c>
      <c r="H20" s="7">
        <v>80</v>
      </c>
      <c r="I20" s="7" t="s">
        <v>178</v>
      </c>
      <c r="J20" s="7">
        <v>2</v>
      </c>
      <c r="K20" s="7">
        <v>11</v>
      </c>
      <c r="L20" s="7"/>
      <c r="M20" s="7"/>
      <c r="N20" s="7"/>
      <c r="O20" s="7"/>
      <c r="P20" s="7"/>
      <c r="Q20" s="7"/>
      <c r="R20" s="7"/>
      <c r="S20" s="7"/>
      <c r="T20" s="7">
        <v>13</v>
      </c>
      <c r="U20" s="7">
        <v>4</v>
      </c>
    </row>
    <row r="21" spans="1:21" x14ac:dyDescent="0.3">
      <c r="A21" s="7" t="s">
        <v>96</v>
      </c>
      <c r="B21" s="7" t="s">
        <v>97</v>
      </c>
      <c r="C21" s="7" t="s">
        <v>147</v>
      </c>
      <c r="D21" s="7">
        <v>7</v>
      </c>
      <c r="E21" s="7">
        <v>292</v>
      </c>
      <c r="F21" s="7">
        <v>61</v>
      </c>
      <c r="G21" s="7">
        <v>10</v>
      </c>
      <c r="H21" s="7">
        <v>67</v>
      </c>
      <c r="I21" s="7" t="s">
        <v>178</v>
      </c>
      <c r="J21" s="7">
        <v>2</v>
      </c>
      <c r="K21" s="7">
        <v>11</v>
      </c>
      <c r="L21" s="7"/>
      <c r="M21" s="7"/>
      <c r="N21" s="7"/>
      <c r="O21" s="7"/>
      <c r="P21" s="7"/>
      <c r="Q21" s="7"/>
      <c r="R21" s="7"/>
      <c r="S21" s="7"/>
      <c r="T21" s="7">
        <v>13</v>
      </c>
      <c r="U21" s="7">
        <v>4</v>
      </c>
    </row>
    <row r="22" spans="1:21" x14ac:dyDescent="0.3">
      <c r="A22" s="7" t="s">
        <v>96</v>
      </c>
      <c r="B22" s="7" t="s">
        <v>97</v>
      </c>
      <c r="C22" s="7" t="s">
        <v>147</v>
      </c>
      <c r="D22" s="7">
        <v>8</v>
      </c>
      <c r="E22" s="7">
        <v>260</v>
      </c>
      <c r="F22" s="7">
        <v>53</v>
      </c>
      <c r="G22" s="7">
        <v>9</v>
      </c>
      <c r="H22" s="7">
        <v>78</v>
      </c>
      <c r="I22" s="7" t="s">
        <v>181</v>
      </c>
      <c r="J22" s="7">
        <v>1</v>
      </c>
      <c r="K22" s="7">
        <v>10</v>
      </c>
      <c r="L22" s="7"/>
      <c r="M22" s="7"/>
      <c r="N22" s="7"/>
      <c r="O22" s="7"/>
      <c r="P22" s="7"/>
      <c r="Q22" s="7"/>
      <c r="R22" s="7"/>
      <c r="S22" s="7"/>
      <c r="T22" s="7">
        <v>11</v>
      </c>
      <c r="U22" s="7">
        <v>4.7272727272727284</v>
      </c>
    </row>
    <row r="23" spans="1:21" x14ac:dyDescent="0.3">
      <c r="A23" s="7" t="s">
        <v>96</v>
      </c>
      <c r="B23" s="7" t="s">
        <v>97</v>
      </c>
      <c r="C23" s="7" t="s">
        <v>147</v>
      </c>
      <c r="D23" s="7">
        <v>9</v>
      </c>
      <c r="E23" s="7">
        <v>330</v>
      </c>
      <c r="F23" s="7">
        <v>64</v>
      </c>
      <c r="G23" s="7">
        <v>12</v>
      </c>
      <c r="H23" s="7">
        <v>120</v>
      </c>
      <c r="I23" s="7" t="s">
        <v>175</v>
      </c>
      <c r="J23" s="7">
        <v>43</v>
      </c>
      <c r="K23" s="7">
        <v>1</v>
      </c>
      <c r="L23" s="7">
        <v>11</v>
      </c>
      <c r="M23" s="7">
        <v>205</v>
      </c>
      <c r="N23" s="7">
        <v>6</v>
      </c>
      <c r="O23" s="7">
        <v>42.2</v>
      </c>
      <c r="P23" s="7">
        <v>38</v>
      </c>
      <c r="Q23" s="7">
        <v>8</v>
      </c>
      <c r="R23" s="7">
        <v>7.6</v>
      </c>
      <c r="S23" s="7">
        <v>6.2916480000000012</v>
      </c>
      <c r="T23" s="7">
        <v>44</v>
      </c>
      <c r="U23" s="7">
        <v>1.1818181818181821</v>
      </c>
    </row>
    <row r="24" spans="1:21" x14ac:dyDescent="0.3">
      <c r="A24" s="7" t="s">
        <v>96</v>
      </c>
      <c r="B24" s="7" t="s">
        <v>97</v>
      </c>
      <c r="C24" s="7" t="s">
        <v>147</v>
      </c>
      <c r="D24" s="7">
        <v>10</v>
      </c>
      <c r="E24" s="7">
        <v>310</v>
      </c>
      <c r="F24" s="7">
        <v>62</v>
      </c>
      <c r="G24" s="7">
        <v>10</v>
      </c>
      <c r="H24" s="7">
        <v>110</v>
      </c>
      <c r="I24" s="7" t="s">
        <v>174</v>
      </c>
      <c r="J24" s="7">
        <v>50</v>
      </c>
      <c r="K24" s="7">
        <v>8</v>
      </c>
      <c r="L24" s="7"/>
      <c r="M24" s="7"/>
      <c r="N24" s="7"/>
      <c r="O24" s="7"/>
      <c r="P24" s="7"/>
      <c r="Q24" s="7"/>
      <c r="R24" s="7"/>
      <c r="S24" s="7"/>
      <c r="T24" s="7">
        <v>58</v>
      </c>
      <c r="U24" s="7">
        <v>0.89655172413793105</v>
      </c>
    </row>
    <row r="25" spans="1:21" x14ac:dyDescent="0.3">
      <c r="A25" s="7" t="s">
        <v>96</v>
      </c>
      <c r="B25" s="7" t="s">
        <v>97</v>
      </c>
      <c r="C25" s="7" t="s">
        <v>147</v>
      </c>
      <c r="D25" s="7">
        <v>11</v>
      </c>
      <c r="E25" s="7">
        <v>305</v>
      </c>
      <c r="F25" s="7">
        <v>60</v>
      </c>
      <c r="G25" s="7">
        <v>13</v>
      </c>
      <c r="H25" s="7">
        <v>60</v>
      </c>
      <c r="I25" s="7" t="s">
        <v>177</v>
      </c>
      <c r="J25" s="7">
        <v>44</v>
      </c>
      <c r="K25" s="7">
        <v>2</v>
      </c>
      <c r="L25" s="7">
        <v>11</v>
      </c>
      <c r="M25" s="7">
        <v>160</v>
      </c>
      <c r="N25" s="7">
        <v>5</v>
      </c>
      <c r="O25" s="7">
        <v>41.5</v>
      </c>
      <c r="P25" s="7">
        <v>38</v>
      </c>
      <c r="Q25" s="7">
        <v>7</v>
      </c>
      <c r="R25" s="7">
        <v>7.8</v>
      </c>
      <c r="S25" s="7">
        <v>4.6604800000000024</v>
      </c>
      <c r="T25" s="7">
        <v>46</v>
      </c>
      <c r="U25" s="7">
        <v>1.130434782608696</v>
      </c>
    </row>
    <row r="26" spans="1:21" x14ac:dyDescent="0.3">
      <c r="A26" s="7" t="s">
        <v>96</v>
      </c>
      <c r="B26" s="7" t="s">
        <v>97</v>
      </c>
      <c r="C26" s="7" t="s">
        <v>147</v>
      </c>
      <c r="D26" s="7">
        <v>12</v>
      </c>
      <c r="E26" s="7">
        <v>330</v>
      </c>
      <c r="F26" s="7">
        <v>63</v>
      </c>
      <c r="G26" s="7">
        <v>12</v>
      </c>
      <c r="H26" s="7">
        <v>100</v>
      </c>
      <c r="I26" s="7" t="s">
        <v>177</v>
      </c>
      <c r="J26" s="7">
        <v>44</v>
      </c>
      <c r="K26" s="7">
        <v>2</v>
      </c>
      <c r="L26" s="7">
        <v>11</v>
      </c>
      <c r="M26" s="7">
        <v>166</v>
      </c>
      <c r="N26" s="7">
        <v>5</v>
      </c>
      <c r="O26" s="7">
        <v>39.5</v>
      </c>
      <c r="P26" s="7">
        <v>39</v>
      </c>
      <c r="Q26" s="7">
        <v>7</v>
      </c>
      <c r="R26" s="7">
        <v>7.8</v>
      </c>
      <c r="S26" s="7">
        <v>5.3012960000000033</v>
      </c>
      <c r="T26" s="7">
        <v>46</v>
      </c>
      <c r="U26" s="7">
        <v>1.130434782608696</v>
      </c>
    </row>
    <row r="27" spans="1:21" x14ac:dyDescent="0.3">
      <c r="A27" s="7" t="s">
        <v>96</v>
      </c>
      <c r="B27" s="7" t="s">
        <v>97</v>
      </c>
      <c r="C27" s="7" t="s">
        <v>147</v>
      </c>
      <c r="D27" s="7">
        <v>13</v>
      </c>
      <c r="E27" s="7">
        <v>330</v>
      </c>
      <c r="F27" s="7">
        <v>65</v>
      </c>
      <c r="G27" s="7">
        <v>13</v>
      </c>
      <c r="H27" s="7">
        <v>132</v>
      </c>
      <c r="I27" s="7" t="s">
        <v>177</v>
      </c>
      <c r="J27" s="7">
        <v>44</v>
      </c>
      <c r="K27" s="7">
        <v>2</v>
      </c>
      <c r="L27" s="7">
        <v>11</v>
      </c>
      <c r="M27" s="7">
        <v>220</v>
      </c>
      <c r="N27" s="7">
        <v>5</v>
      </c>
      <c r="O27" s="7">
        <v>42</v>
      </c>
      <c r="P27" s="7">
        <v>39</v>
      </c>
      <c r="Q27" s="7">
        <v>7</v>
      </c>
      <c r="R27" s="7">
        <v>8</v>
      </c>
      <c r="S27" s="7">
        <v>5.3026200000000001</v>
      </c>
      <c r="T27" s="7">
        <v>46</v>
      </c>
      <c r="U27" s="7">
        <v>1.130434782608696</v>
      </c>
    </row>
    <row r="28" spans="1:21" x14ac:dyDescent="0.3">
      <c r="A28" s="7" t="s">
        <v>96</v>
      </c>
      <c r="B28" s="7" t="s">
        <v>97</v>
      </c>
      <c r="C28" s="7" t="s">
        <v>147</v>
      </c>
      <c r="D28" s="7">
        <v>14</v>
      </c>
      <c r="E28" s="7">
        <v>295</v>
      </c>
      <c r="F28" s="7">
        <v>59</v>
      </c>
      <c r="G28" s="7">
        <v>11</v>
      </c>
      <c r="H28" s="7">
        <v>105</v>
      </c>
      <c r="I28" s="7" t="s">
        <v>178</v>
      </c>
      <c r="J28" s="7">
        <v>46</v>
      </c>
      <c r="K28" s="7">
        <v>4</v>
      </c>
      <c r="L28" s="7">
        <v>11</v>
      </c>
      <c r="M28" s="7">
        <v>182</v>
      </c>
      <c r="N28" s="7">
        <v>5</v>
      </c>
      <c r="O28" s="7">
        <v>36</v>
      </c>
      <c r="P28" s="7">
        <v>38</v>
      </c>
      <c r="Q28" s="7">
        <v>6</v>
      </c>
      <c r="R28" s="7">
        <v>7.8</v>
      </c>
      <c r="S28" s="7">
        <v>4.448640000000001</v>
      </c>
      <c r="T28" s="7">
        <v>50</v>
      </c>
      <c r="U28" s="7">
        <v>1.04</v>
      </c>
    </row>
    <row r="29" spans="1:21" x14ac:dyDescent="0.3">
      <c r="A29" s="7" t="s">
        <v>96</v>
      </c>
      <c r="B29" s="7" t="s">
        <v>109</v>
      </c>
      <c r="C29" s="7" t="s">
        <v>144</v>
      </c>
      <c r="D29" s="7">
        <v>1</v>
      </c>
      <c r="E29" s="7">
        <v>360</v>
      </c>
      <c r="F29" s="7">
        <v>67</v>
      </c>
      <c r="G29" s="7">
        <v>13</v>
      </c>
      <c r="H29" s="7">
        <v>118</v>
      </c>
      <c r="I29" s="7" t="s">
        <v>177</v>
      </c>
      <c r="J29" s="7">
        <v>44</v>
      </c>
      <c r="K29" s="7">
        <v>2</v>
      </c>
      <c r="L29" s="7">
        <v>11</v>
      </c>
      <c r="M29" s="7">
        <v>190</v>
      </c>
      <c r="N29" s="7">
        <v>6</v>
      </c>
      <c r="O29" s="7">
        <v>48</v>
      </c>
      <c r="P29" s="7">
        <v>38</v>
      </c>
      <c r="Q29" s="7">
        <v>8</v>
      </c>
      <c r="R29" s="7">
        <v>8.4</v>
      </c>
      <c r="S29" s="7">
        <v>7.0161408000000014</v>
      </c>
      <c r="T29" s="7">
        <v>46</v>
      </c>
      <c r="U29" s="7">
        <v>1.130434782608696</v>
      </c>
    </row>
    <row r="30" spans="1:21" x14ac:dyDescent="0.3">
      <c r="A30" s="7" t="s">
        <v>96</v>
      </c>
      <c r="B30" s="7" t="s">
        <v>109</v>
      </c>
      <c r="C30" s="7" t="s">
        <v>144</v>
      </c>
      <c r="D30" s="7">
        <v>2</v>
      </c>
      <c r="E30" s="7">
        <v>330</v>
      </c>
      <c r="F30" s="7">
        <v>60</v>
      </c>
      <c r="G30" s="7">
        <v>12</v>
      </c>
      <c r="H30" s="7">
        <v>80</v>
      </c>
      <c r="I30" s="7" t="s">
        <v>176</v>
      </c>
      <c r="J30" s="7">
        <v>45</v>
      </c>
      <c r="K30" s="7">
        <v>3</v>
      </c>
      <c r="L30" s="7">
        <v>11</v>
      </c>
      <c r="M30" s="7">
        <v>170</v>
      </c>
      <c r="N30" s="7">
        <v>5</v>
      </c>
      <c r="O30" s="7">
        <v>40</v>
      </c>
      <c r="P30" s="7">
        <v>39</v>
      </c>
      <c r="Q30" s="7">
        <v>7</v>
      </c>
      <c r="R30" s="7">
        <v>8.1999999999999993</v>
      </c>
      <c r="S30" s="7">
        <v>5.4813599999999996</v>
      </c>
      <c r="T30" s="7">
        <v>48</v>
      </c>
      <c r="U30" s="7">
        <v>1.083333333333333</v>
      </c>
    </row>
    <row r="31" spans="1:21" x14ac:dyDescent="0.3">
      <c r="A31" s="7" t="s">
        <v>96</v>
      </c>
      <c r="B31" s="7" t="s">
        <v>109</v>
      </c>
      <c r="C31" s="7" t="s">
        <v>144</v>
      </c>
      <c r="D31" s="7">
        <v>3</v>
      </c>
      <c r="E31" s="7">
        <v>300</v>
      </c>
      <c r="F31" s="7">
        <v>62</v>
      </c>
      <c r="G31" s="7">
        <v>8</v>
      </c>
      <c r="H31" s="7">
        <v>125</v>
      </c>
      <c r="I31" s="7" t="s">
        <v>174</v>
      </c>
      <c r="J31" s="7">
        <v>50</v>
      </c>
      <c r="K31" s="7">
        <v>8</v>
      </c>
      <c r="L31" s="7"/>
      <c r="M31" s="7"/>
      <c r="N31" s="7"/>
      <c r="O31" s="7"/>
      <c r="P31" s="7"/>
      <c r="Q31" s="7"/>
      <c r="R31" s="7"/>
      <c r="S31" s="7"/>
      <c r="T31" s="7">
        <v>58</v>
      </c>
      <c r="U31" s="7">
        <v>0.89655172413793105</v>
      </c>
    </row>
    <row r="32" spans="1:21" x14ac:dyDescent="0.3">
      <c r="A32" s="7" t="s">
        <v>96</v>
      </c>
      <c r="B32" s="7" t="s">
        <v>109</v>
      </c>
      <c r="C32" s="7" t="s">
        <v>144</v>
      </c>
      <c r="D32" s="7">
        <v>4</v>
      </c>
      <c r="E32" s="7">
        <v>357</v>
      </c>
      <c r="F32" s="7">
        <v>72</v>
      </c>
      <c r="G32" s="7">
        <v>13</v>
      </c>
      <c r="H32" s="7">
        <v>125</v>
      </c>
      <c r="I32" s="7" t="s">
        <v>176</v>
      </c>
      <c r="J32" s="7">
        <v>45</v>
      </c>
      <c r="K32" s="7">
        <v>3</v>
      </c>
      <c r="L32" s="7">
        <v>11</v>
      </c>
      <c r="M32" s="7">
        <v>235</v>
      </c>
      <c r="N32" s="7">
        <v>5</v>
      </c>
      <c r="O32" s="7">
        <v>50</v>
      </c>
      <c r="P32" s="7">
        <v>39</v>
      </c>
      <c r="Q32" s="7">
        <v>8</v>
      </c>
      <c r="R32" s="7">
        <v>8.1999999999999993</v>
      </c>
      <c r="S32" s="7">
        <v>6.2890000000000006</v>
      </c>
      <c r="T32" s="7">
        <v>48</v>
      </c>
      <c r="U32" s="7">
        <v>1.083333333333333</v>
      </c>
    </row>
    <row r="33" spans="1:21" x14ac:dyDescent="0.3">
      <c r="A33" s="7" t="s">
        <v>96</v>
      </c>
      <c r="B33" s="7" t="s">
        <v>109</v>
      </c>
      <c r="C33" s="7" t="s">
        <v>144</v>
      </c>
      <c r="D33" s="7">
        <v>5</v>
      </c>
      <c r="E33" s="7">
        <v>355</v>
      </c>
      <c r="F33" s="7">
        <v>64</v>
      </c>
      <c r="G33" s="7">
        <v>13</v>
      </c>
      <c r="H33" s="7">
        <v>125</v>
      </c>
      <c r="I33" s="7" t="s">
        <v>174</v>
      </c>
      <c r="J33" s="7">
        <v>42</v>
      </c>
      <c r="K33" s="7">
        <v>52</v>
      </c>
      <c r="L33" s="7">
        <v>11</v>
      </c>
      <c r="M33" s="7">
        <v>213</v>
      </c>
      <c r="N33" s="7">
        <v>5</v>
      </c>
      <c r="O33" s="7">
        <v>46.2</v>
      </c>
      <c r="P33" s="7">
        <v>40</v>
      </c>
      <c r="Q33" s="7">
        <v>8</v>
      </c>
      <c r="R33" s="7">
        <v>8.4</v>
      </c>
      <c r="S33" s="7">
        <v>5.3860320000000002</v>
      </c>
      <c r="T33" s="7">
        <v>94</v>
      </c>
      <c r="U33" s="7">
        <v>0.55319148936170215</v>
      </c>
    </row>
    <row r="34" spans="1:21" x14ac:dyDescent="0.3">
      <c r="A34" s="7" t="s">
        <v>96</v>
      </c>
      <c r="B34" s="7" t="s">
        <v>109</v>
      </c>
      <c r="C34" s="7" t="s">
        <v>144</v>
      </c>
      <c r="D34" s="7">
        <v>6</v>
      </c>
      <c r="E34" s="7">
        <v>345</v>
      </c>
      <c r="F34" s="7">
        <v>66</v>
      </c>
      <c r="G34" s="7">
        <v>13</v>
      </c>
      <c r="H34" s="7">
        <v>148</v>
      </c>
      <c r="I34" s="7" t="s">
        <v>175</v>
      </c>
      <c r="J34" s="7">
        <v>43</v>
      </c>
      <c r="K34" s="7">
        <v>1</v>
      </c>
      <c r="L34" s="7">
        <v>11</v>
      </c>
      <c r="M34" s="7">
        <v>215</v>
      </c>
      <c r="N34" s="7">
        <v>6</v>
      </c>
      <c r="O34" s="7">
        <v>42.2</v>
      </c>
      <c r="P34" s="7">
        <v>39</v>
      </c>
      <c r="Q34" s="7">
        <v>8</v>
      </c>
      <c r="R34" s="7">
        <v>7.6</v>
      </c>
      <c r="S34" s="7">
        <v>7.4355840000000022</v>
      </c>
      <c r="T34" s="7">
        <v>44</v>
      </c>
      <c r="U34" s="7">
        <v>1.1818181818181821</v>
      </c>
    </row>
    <row r="35" spans="1:21" x14ac:dyDescent="0.3">
      <c r="A35" s="7" t="s">
        <v>96</v>
      </c>
      <c r="B35" s="7" t="s">
        <v>109</v>
      </c>
      <c r="C35" s="7" t="s">
        <v>144</v>
      </c>
      <c r="D35" s="7">
        <v>7</v>
      </c>
      <c r="E35" s="7">
        <v>360</v>
      </c>
      <c r="F35" s="7">
        <v>70</v>
      </c>
      <c r="G35" s="7">
        <v>10</v>
      </c>
      <c r="H35" s="7">
        <v>164</v>
      </c>
      <c r="I35" s="7" t="s">
        <v>179</v>
      </c>
      <c r="J35" s="7">
        <v>49</v>
      </c>
      <c r="K35" s="7">
        <v>7</v>
      </c>
      <c r="L35" s="7"/>
      <c r="M35" s="7"/>
      <c r="N35" s="7"/>
      <c r="O35" s="7"/>
      <c r="P35" s="7"/>
      <c r="Q35" s="7"/>
      <c r="R35" s="7"/>
      <c r="S35" s="7"/>
      <c r="T35" s="7">
        <v>56</v>
      </c>
      <c r="U35" s="7">
        <v>0.9285714285714286</v>
      </c>
    </row>
    <row r="36" spans="1:21" x14ac:dyDescent="0.3">
      <c r="A36" s="7" t="s">
        <v>96</v>
      </c>
      <c r="B36" s="7" t="s">
        <v>109</v>
      </c>
      <c r="C36" s="7" t="s">
        <v>144</v>
      </c>
      <c r="D36" s="7">
        <v>8</v>
      </c>
      <c r="E36" s="7">
        <v>344</v>
      </c>
      <c r="F36" s="7">
        <v>69</v>
      </c>
      <c r="G36" s="7">
        <v>10</v>
      </c>
      <c r="H36" s="7">
        <v>128</v>
      </c>
      <c r="I36" s="7" t="s">
        <v>179</v>
      </c>
      <c r="J36" s="7">
        <v>49</v>
      </c>
      <c r="K36" s="7">
        <v>7</v>
      </c>
      <c r="L36" s="7"/>
      <c r="M36" s="7"/>
      <c r="N36" s="7"/>
      <c r="O36" s="7"/>
      <c r="P36" s="7"/>
      <c r="Q36" s="7"/>
      <c r="R36" s="7"/>
      <c r="S36" s="7"/>
      <c r="T36" s="7">
        <v>56</v>
      </c>
      <c r="U36" s="7">
        <v>0.9285714285714286</v>
      </c>
    </row>
    <row r="37" spans="1:21" x14ac:dyDescent="0.3">
      <c r="A37" s="7" t="s">
        <v>96</v>
      </c>
      <c r="B37" s="7" t="s">
        <v>109</v>
      </c>
      <c r="C37" s="7" t="s">
        <v>144</v>
      </c>
      <c r="D37" s="7">
        <v>9</v>
      </c>
      <c r="E37" s="7">
        <v>315</v>
      </c>
      <c r="F37" s="7">
        <v>60</v>
      </c>
      <c r="G37" s="7">
        <v>12</v>
      </c>
      <c r="H37" s="7">
        <v>122</v>
      </c>
      <c r="I37" s="7" t="s">
        <v>180</v>
      </c>
      <c r="J37" s="7">
        <v>48</v>
      </c>
      <c r="K37" s="7">
        <v>6</v>
      </c>
      <c r="L37" s="7"/>
      <c r="M37" s="7"/>
      <c r="N37" s="7"/>
      <c r="O37" s="7"/>
      <c r="P37" s="7"/>
      <c r="Q37" s="7"/>
      <c r="R37" s="7"/>
      <c r="S37" s="7"/>
      <c r="T37" s="7">
        <v>54</v>
      </c>
      <c r="U37" s="7">
        <v>0.96296296296296291</v>
      </c>
    </row>
    <row r="38" spans="1:21" x14ac:dyDescent="0.3">
      <c r="A38" s="7" t="s">
        <v>96</v>
      </c>
      <c r="B38" s="7" t="s">
        <v>109</v>
      </c>
      <c r="C38" s="7" t="s">
        <v>144</v>
      </c>
      <c r="D38" s="7">
        <v>10</v>
      </c>
      <c r="E38" s="7">
        <v>336</v>
      </c>
      <c r="F38" s="7">
        <v>67</v>
      </c>
      <c r="G38" s="7">
        <v>12</v>
      </c>
      <c r="H38" s="7">
        <v>124</v>
      </c>
      <c r="I38" s="7" t="s">
        <v>179</v>
      </c>
      <c r="J38" s="7">
        <v>41</v>
      </c>
      <c r="K38" s="7">
        <v>51</v>
      </c>
      <c r="L38" s="7">
        <v>11</v>
      </c>
      <c r="M38" s="7">
        <v>190</v>
      </c>
      <c r="N38" s="7">
        <v>7</v>
      </c>
      <c r="O38" s="7">
        <v>52</v>
      </c>
      <c r="P38" s="7">
        <v>40</v>
      </c>
      <c r="Q38" s="7">
        <v>8</v>
      </c>
      <c r="R38" s="7">
        <v>8</v>
      </c>
      <c r="S38" s="7">
        <v>7.6739039999999994</v>
      </c>
      <c r="T38" s="7">
        <v>92</v>
      </c>
      <c r="U38" s="7">
        <v>0.56521739130434778</v>
      </c>
    </row>
    <row r="39" spans="1:21" x14ac:dyDescent="0.3">
      <c r="A39" s="7" t="s">
        <v>96</v>
      </c>
      <c r="B39" s="7" t="s">
        <v>109</v>
      </c>
      <c r="C39" s="7" t="s">
        <v>144</v>
      </c>
      <c r="D39" s="7">
        <v>11</v>
      </c>
      <c r="E39" s="7">
        <v>305</v>
      </c>
      <c r="F39" s="7">
        <v>62</v>
      </c>
      <c r="G39" s="7">
        <v>13</v>
      </c>
      <c r="H39" s="7">
        <v>110</v>
      </c>
      <c r="I39" s="7" t="s">
        <v>178</v>
      </c>
      <c r="J39" s="7">
        <v>46</v>
      </c>
      <c r="K39" s="7">
        <v>4</v>
      </c>
      <c r="L39" s="7">
        <v>11</v>
      </c>
      <c r="M39" s="7">
        <v>173</v>
      </c>
      <c r="N39" s="7">
        <v>5</v>
      </c>
      <c r="O39" s="7">
        <v>39</v>
      </c>
      <c r="P39" s="7">
        <v>38</v>
      </c>
      <c r="Q39" s="7">
        <v>7</v>
      </c>
      <c r="R39" s="7">
        <v>7.8</v>
      </c>
      <c r="S39" s="7">
        <v>4.448640000000001</v>
      </c>
      <c r="T39" s="7">
        <v>50</v>
      </c>
      <c r="U39" s="7">
        <v>1.04</v>
      </c>
    </row>
    <row r="40" spans="1:21" x14ac:dyDescent="0.3">
      <c r="A40" s="7" t="s">
        <v>96</v>
      </c>
      <c r="B40" s="7" t="s">
        <v>109</v>
      </c>
      <c r="C40" s="7" t="s">
        <v>144</v>
      </c>
      <c r="D40" s="7">
        <v>12</v>
      </c>
      <c r="E40" s="7">
        <v>305</v>
      </c>
      <c r="F40" s="7">
        <v>62</v>
      </c>
      <c r="G40" s="7">
        <v>13</v>
      </c>
      <c r="H40" s="7">
        <v>110</v>
      </c>
      <c r="I40" s="7" t="s">
        <v>178</v>
      </c>
      <c r="J40" s="7">
        <v>46</v>
      </c>
      <c r="K40" s="7">
        <v>4</v>
      </c>
      <c r="L40" s="7">
        <v>11</v>
      </c>
      <c r="M40" s="7">
        <v>184</v>
      </c>
      <c r="N40" s="7">
        <v>4</v>
      </c>
      <c r="O40" s="7">
        <v>38.9</v>
      </c>
      <c r="P40" s="7">
        <v>37</v>
      </c>
      <c r="Q40" s="7">
        <v>7</v>
      </c>
      <c r="R40" s="7">
        <v>8.1999999999999993</v>
      </c>
      <c r="S40" s="7">
        <v>4.3952563200000014</v>
      </c>
      <c r="T40" s="7">
        <v>50</v>
      </c>
      <c r="U40" s="7">
        <v>1.04</v>
      </c>
    </row>
    <row r="41" spans="1:21" x14ac:dyDescent="0.3">
      <c r="A41" s="7" t="s">
        <v>96</v>
      </c>
      <c r="B41" s="7" t="s">
        <v>109</v>
      </c>
      <c r="C41" s="7" t="s">
        <v>144</v>
      </c>
      <c r="D41" s="7">
        <v>13</v>
      </c>
      <c r="E41" s="7">
        <v>298</v>
      </c>
      <c r="F41" s="7">
        <v>58</v>
      </c>
      <c r="G41" s="7">
        <v>13</v>
      </c>
      <c r="H41" s="7">
        <v>102</v>
      </c>
      <c r="I41" s="7" t="s">
        <v>176</v>
      </c>
      <c r="J41" s="7">
        <v>45</v>
      </c>
      <c r="K41" s="7">
        <v>3</v>
      </c>
      <c r="L41" s="7">
        <v>11</v>
      </c>
      <c r="M41" s="7">
        <v>160</v>
      </c>
      <c r="N41" s="7">
        <v>5</v>
      </c>
      <c r="O41" s="7">
        <v>36</v>
      </c>
      <c r="P41" s="7">
        <v>38</v>
      </c>
      <c r="Q41" s="7">
        <v>6</v>
      </c>
      <c r="R41" s="7">
        <v>7.8</v>
      </c>
      <c r="S41" s="7">
        <v>5.2960000000000003</v>
      </c>
      <c r="T41" s="7">
        <v>48</v>
      </c>
      <c r="U41" s="7">
        <v>1.083333333333333</v>
      </c>
    </row>
    <row r="42" spans="1:21" x14ac:dyDescent="0.3">
      <c r="A42" s="7" t="s">
        <v>96</v>
      </c>
      <c r="B42" s="7" t="s">
        <v>109</v>
      </c>
      <c r="C42" s="7" t="s">
        <v>144</v>
      </c>
      <c r="D42" s="7">
        <v>14</v>
      </c>
      <c r="E42" s="7">
        <v>318</v>
      </c>
      <c r="F42" s="7">
        <v>65</v>
      </c>
      <c r="G42" s="7">
        <v>13</v>
      </c>
      <c r="H42" s="7">
        <v>105</v>
      </c>
      <c r="I42" s="7" t="s">
        <v>176</v>
      </c>
      <c r="J42" s="7">
        <v>45</v>
      </c>
      <c r="K42" s="7">
        <v>3</v>
      </c>
      <c r="L42" s="7">
        <v>10</v>
      </c>
      <c r="M42" s="7">
        <v>175</v>
      </c>
      <c r="N42" s="7">
        <v>6</v>
      </c>
      <c r="O42" s="7">
        <v>42.7</v>
      </c>
      <c r="P42" s="7">
        <v>37</v>
      </c>
      <c r="Q42" s="7">
        <v>7</v>
      </c>
      <c r="R42" s="7">
        <v>7.8</v>
      </c>
      <c r="S42" s="7">
        <v>6.7238016000000007</v>
      </c>
      <c r="T42" s="7">
        <v>48</v>
      </c>
      <c r="U42" s="7">
        <v>1.083333333333333</v>
      </c>
    </row>
    <row r="43" spans="1:21" x14ac:dyDescent="0.3">
      <c r="A43" s="7" t="s">
        <v>96</v>
      </c>
      <c r="B43" s="7" t="s">
        <v>99</v>
      </c>
      <c r="C43" s="7" t="s">
        <v>147</v>
      </c>
      <c r="D43" s="7">
        <v>1</v>
      </c>
      <c r="E43" s="7">
        <v>380</v>
      </c>
      <c r="F43" s="7">
        <v>73</v>
      </c>
      <c r="G43" s="7">
        <v>12</v>
      </c>
      <c r="H43" s="7">
        <v>185</v>
      </c>
      <c r="I43" s="7" t="s">
        <v>173</v>
      </c>
      <c r="J43" s="7">
        <v>47</v>
      </c>
      <c r="K43" s="7">
        <v>5</v>
      </c>
      <c r="L43" s="7">
        <v>11</v>
      </c>
      <c r="M43" s="7">
        <v>235</v>
      </c>
      <c r="N43" s="7">
        <v>7</v>
      </c>
      <c r="O43" s="7">
        <v>50</v>
      </c>
      <c r="P43" s="7">
        <v>37</v>
      </c>
      <c r="Q43" s="7">
        <v>8</v>
      </c>
      <c r="R43" s="7">
        <v>8</v>
      </c>
      <c r="S43" s="7">
        <v>7.6739039999999994</v>
      </c>
      <c r="T43" s="7">
        <v>52</v>
      </c>
      <c r="U43" s="7">
        <v>1</v>
      </c>
    </row>
    <row r="44" spans="1:21" x14ac:dyDescent="0.3">
      <c r="A44" s="7" t="s">
        <v>96</v>
      </c>
      <c r="B44" s="7" t="s">
        <v>99</v>
      </c>
      <c r="C44" s="7" t="s">
        <v>147</v>
      </c>
      <c r="D44" s="7">
        <v>2</v>
      </c>
      <c r="E44" s="7">
        <v>327</v>
      </c>
      <c r="F44" s="7">
        <v>66</v>
      </c>
      <c r="G44" s="7">
        <v>12</v>
      </c>
      <c r="H44" s="7">
        <v>88</v>
      </c>
      <c r="I44" s="7" t="s">
        <v>180</v>
      </c>
      <c r="J44" s="7">
        <v>48</v>
      </c>
      <c r="K44" s="7">
        <v>6</v>
      </c>
      <c r="L44" s="7">
        <v>11</v>
      </c>
      <c r="M44" s="7">
        <v>140</v>
      </c>
      <c r="N44" s="7">
        <v>7</v>
      </c>
      <c r="O44" s="7">
        <v>40</v>
      </c>
      <c r="P44" s="7">
        <v>39</v>
      </c>
      <c r="Q44" s="7">
        <v>8</v>
      </c>
      <c r="R44" s="7">
        <v>8</v>
      </c>
      <c r="S44" s="7">
        <v>8.2707631999999993</v>
      </c>
      <c r="T44" s="7">
        <v>54</v>
      </c>
      <c r="U44" s="7">
        <v>0.96296296296296291</v>
      </c>
    </row>
    <row r="45" spans="1:21" x14ac:dyDescent="0.3">
      <c r="A45" s="7" t="s">
        <v>96</v>
      </c>
      <c r="B45" s="7" t="s">
        <v>99</v>
      </c>
      <c r="C45" s="7" t="s">
        <v>147</v>
      </c>
      <c r="D45" s="7">
        <v>3</v>
      </c>
      <c r="E45" s="7">
        <v>378</v>
      </c>
      <c r="F45" s="7">
        <v>74</v>
      </c>
      <c r="G45" s="7">
        <v>16</v>
      </c>
      <c r="H45" s="7">
        <v>100</v>
      </c>
      <c r="I45" s="7" t="s">
        <v>176</v>
      </c>
      <c r="J45" s="7">
        <v>45</v>
      </c>
      <c r="K45" s="7">
        <v>3</v>
      </c>
      <c r="L45" s="7">
        <v>11</v>
      </c>
      <c r="M45" s="7">
        <v>183</v>
      </c>
      <c r="N45" s="7">
        <v>7</v>
      </c>
      <c r="O45" s="7">
        <v>51</v>
      </c>
      <c r="P45" s="7">
        <v>39</v>
      </c>
      <c r="Q45" s="7">
        <v>8</v>
      </c>
      <c r="R45" s="7">
        <v>8</v>
      </c>
      <c r="S45" s="7">
        <v>9.1567840000000018</v>
      </c>
      <c r="T45" s="7">
        <v>48</v>
      </c>
      <c r="U45" s="7">
        <v>1.083333333333333</v>
      </c>
    </row>
    <row r="46" spans="1:21" x14ac:dyDescent="0.3">
      <c r="A46" s="7" t="s">
        <v>96</v>
      </c>
      <c r="B46" s="7" t="s">
        <v>99</v>
      </c>
      <c r="C46" s="7" t="s">
        <v>147</v>
      </c>
      <c r="D46" s="7">
        <v>4</v>
      </c>
      <c r="E46" s="7">
        <v>305</v>
      </c>
      <c r="F46" s="7">
        <v>63</v>
      </c>
      <c r="G46" s="7">
        <v>13</v>
      </c>
      <c r="H46" s="7">
        <v>130</v>
      </c>
      <c r="I46" s="7" t="s">
        <v>175</v>
      </c>
      <c r="J46" s="7">
        <v>43</v>
      </c>
      <c r="K46" s="7">
        <v>1</v>
      </c>
      <c r="L46" s="7">
        <v>11</v>
      </c>
      <c r="M46" s="7">
        <v>195</v>
      </c>
      <c r="N46" s="7">
        <v>5</v>
      </c>
      <c r="O46" s="7">
        <v>35.1</v>
      </c>
      <c r="P46" s="7">
        <v>37</v>
      </c>
      <c r="Q46" s="7">
        <v>7</v>
      </c>
      <c r="R46" s="7">
        <v>8.1999999999999993</v>
      </c>
      <c r="S46" s="7">
        <v>5.3595520000000008</v>
      </c>
      <c r="T46" s="7">
        <v>44</v>
      </c>
      <c r="U46" s="7">
        <v>1.1818181818181821</v>
      </c>
    </row>
    <row r="47" spans="1:21" x14ac:dyDescent="0.3">
      <c r="A47" s="7" t="s">
        <v>96</v>
      </c>
      <c r="B47" s="7" t="s">
        <v>99</v>
      </c>
      <c r="C47" s="7" t="s">
        <v>147</v>
      </c>
      <c r="D47" s="7">
        <v>5</v>
      </c>
      <c r="E47" s="7">
        <v>360</v>
      </c>
      <c r="F47" s="7">
        <v>71</v>
      </c>
      <c r="G47" s="7">
        <v>13</v>
      </c>
      <c r="H47" s="7">
        <v>140</v>
      </c>
      <c r="I47" s="7" t="s">
        <v>175</v>
      </c>
      <c r="J47" s="7">
        <v>43</v>
      </c>
      <c r="K47" s="7">
        <v>1</v>
      </c>
      <c r="L47" s="7">
        <v>11</v>
      </c>
      <c r="M47" s="7">
        <v>210</v>
      </c>
      <c r="N47" s="7">
        <v>4</v>
      </c>
      <c r="O47" s="7">
        <v>51.5</v>
      </c>
      <c r="P47" s="7">
        <v>39</v>
      </c>
      <c r="Q47" s="7">
        <v>8</v>
      </c>
      <c r="R47" s="7">
        <v>8</v>
      </c>
      <c r="S47" s="7">
        <v>5.9315199999999999</v>
      </c>
      <c r="T47" s="7">
        <v>44</v>
      </c>
      <c r="U47" s="7">
        <v>1.1818181818181821</v>
      </c>
    </row>
    <row r="48" spans="1:21" x14ac:dyDescent="0.3">
      <c r="A48" s="7" t="s">
        <v>96</v>
      </c>
      <c r="B48" s="7" t="s">
        <v>99</v>
      </c>
      <c r="C48" s="7" t="s">
        <v>147</v>
      </c>
      <c r="D48" s="7">
        <v>6</v>
      </c>
      <c r="E48" s="7">
        <v>366</v>
      </c>
      <c r="F48" s="7">
        <v>69</v>
      </c>
      <c r="G48" s="7">
        <v>13</v>
      </c>
      <c r="H48" s="7">
        <v>120</v>
      </c>
      <c r="I48" s="7" t="s">
        <v>177</v>
      </c>
      <c r="J48" s="7">
        <v>44</v>
      </c>
      <c r="K48" s="7">
        <v>2</v>
      </c>
      <c r="L48" s="7">
        <v>11</v>
      </c>
      <c r="M48" s="7">
        <v>200</v>
      </c>
      <c r="N48" s="7">
        <v>5</v>
      </c>
      <c r="O48" s="7">
        <v>51.3</v>
      </c>
      <c r="P48" s="7">
        <v>39</v>
      </c>
      <c r="Q48" s="7">
        <v>8</v>
      </c>
      <c r="R48" s="7">
        <v>8.1999999999999993</v>
      </c>
      <c r="S48" s="7">
        <v>5.8467840000000004</v>
      </c>
      <c r="T48" s="7">
        <v>46</v>
      </c>
      <c r="U48" s="7">
        <v>1.130434782608696</v>
      </c>
    </row>
    <row r="49" spans="1:21" x14ac:dyDescent="0.3">
      <c r="A49" s="7" t="s">
        <v>96</v>
      </c>
      <c r="B49" s="7" t="s">
        <v>99</v>
      </c>
      <c r="C49" s="7" t="s">
        <v>147</v>
      </c>
      <c r="D49" s="7">
        <v>7</v>
      </c>
      <c r="E49" s="7">
        <v>361</v>
      </c>
      <c r="F49" s="7">
        <v>62</v>
      </c>
      <c r="G49" s="7">
        <v>12</v>
      </c>
      <c r="H49" s="7">
        <v>90</v>
      </c>
      <c r="I49" s="7" t="s">
        <v>177</v>
      </c>
      <c r="J49" s="7">
        <v>44</v>
      </c>
      <c r="K49" s="7">
        <v>2</v>
      </c>
      <c r="L49" s="7">
        <v>11</v>
      </c>
      <c r="M49" s="7">
        <v>155</v>
      </c>
      <c r="N49" s="7">
        <v>6</v>
      </c>
      <c r="O49" s="7">
        <v>40.700000000000003</v>
      </c>
      <c r="P49" s="7">
        <v>38</v>
      </c>
      <c r="Q49" s="7">
        <v>7</v>
      </c>
      <c r="R49" s="7">
        <v>8</v>
      </c>
      <c r="S49" s="7">
        <v>7.0161408000000014</v>
      </c>
      <c r="T49" s="7">
        <v>46</v>
      </c>
      <c r="U49" s="7">
        <v>1.130434782608696</v>
      </c>
    </row>
    <row r="50" spans="1:21" x14ac:dyDescent="0.3">
      <c r="A50" s="7" t="s">
        <v>96</v>
      </c>
      <c r="B50" s="7" t="s">
        <v>99</v>
      </c>
      <c r="C50" s="7" t="s">
        <v>147</v>
      </c>
      <c r="D50" s="7">
        <v>8</v>
      </c>
      <c r="E50" s="7">
        <v>325</v>
      </c>
      <c r="F50" s="7">
        <v>65</v>
      </c>
      <c r="G50" s="7">
        <v>14</v>
      </c>
      <c r="H50" s="7">
        <v>110</v>
      </c>
      <c r="I50" s="7" t="s">
        <v>178</v>
      </c>
      <c r="J50" s="7">
        <v>46</v>
      </c>
      <c r="K50" s="7">
        <v>4</v>
      </c>
      <c r="L50" s="7">
        <v>12</v>
      </c>
      <c r="M50" s="7">
        <v>170</v>
      </c>
      <c r="N50" s="7">
        <v>5</v>
      </c>
      <c r="O50" s="7">
        <v>31.3</v>
      </c>
      <c r="P50" s="7">
        <v>36</v>
      </c>
      <c r="Q50" s="7">
        <v>7</v>
      </c>
      <c r="R50" s="7">
        <v>7.4</v>
      </c>
      <c r="S50" s="7">
        <v>5.3595520000000008</v>
      </c>
      <c r="T50" s="7">
        <v>50</v>
      </c>
      <c r="U50" s="7">
        <v>1.04</v>
      </c>
    </row>
    <row r="51" spans="1:21" x14ac:dyDescent="0.3">
      <c r="A51" s="7" t="s">
        <v>96</v>
      </c>
      <c r="B51" s="7" t="s">
        <v>99</v>
      </c>
      <c r="C51" s="7" t="s">
        <v>147</v>
      </c>
      <c r="D51" s="7">
        <v>12</v>
      </c>
      <c r="E51" s="7">
        <v>330</v>
      </c>
      <c r="F51" s="7">
        <v>64</v>
      </c>
      <c r="G51" s="7">
        <v>12</v>
      </c>
      <c r="H51" s="7">
        <v>135</v>
      </c>
      <c r="I51" s="7" t="s">
        <v>176</v>
      </c>
      <c r="J51" s="7">
        <v>45</v>
      </c>
      <c r="K51" s="7">
        <v>3</v>
      </c>
      <c r="L51" s="7">
        <v>11</v>
      </c>
      <c r="M51" s="7">
        <v>190</v>
      </c>
      <c r="N51" s="7">
        <v>5</v>
      </c>
      <c r="O51" s="7">
        <v>48.1</v>
      </c>
      <c r="P51" s="7">
        <v>38</v>
      </c>
      <c r="Q51" s="7">
        <v>8</v>
      </c>
      <c r="R51" s="7">
        <v>8</v>
      </c>
      <c r="S51" s="7">
        <v>4.7875839999999998</v>
      </c>
      <c r="T51" s="7">
        <v>48</v>
      </c>
      <c r="U51" s="7">
        <v>1.083333333333333</v>
      </c>
    </row>
    <row r="52" spans="1:21" x14ac:dyDescent="0.3">
      <c r="A52" s="7" t="s">
        <v>96</v>
      </c>
      <c r="B52" s="7" t="s">
        <v>99</v>
      </c>
      <c r="C52" s="7" t="s">
        <v>147</v>
      </c>
      <c r="D52" s="7">
        <v>13</v>
      </c>
      <c r="E52" s="7">
        <v>362</v>
      </c>
      <c r="F52" s="7">
        <v>69</v>
      </c>
      <c r="G52" s="7">
        <v>14</v>
      </c>
      <c r="H52" s="7">
        <v>83</v>
      </c>
      <c r="I52" s="7" t="s">
        <v>177</v>
      </c>
      <c r="J52" s="7">
        <v>44</v>
      </c>
      <c r="K52" s="7">
        <v>2</v>
      </c>
      <c r="L52" s="7">
        <v>11</v>
      </c>
      <c r="M52" s="7">
        <v>172</v>
      </c>
      <c r="N52" s="7">
        <v>7</v>
      </c>
      <c r="O52" s="7">
        <v>50.5</v>
      </c>
      <c r="P52" s="7">
        <v>39</v>
      </c>
      <c r="Q52" s="7">
        <v>8</v>
      </c>
      <c r="R52" s="7">
        <v>8</v>
      </c>
      <c r="S52" s="7">
        <v>8.0965248000000027</v>
      </c>
      <c r="T52" s="7">
        <v>46</v>
      </c>
      <c r="U52" s="7">
        <v>1.130434782608696</v>
      </c>
    </row>
    <row r="53" spans="1:21" x14ac:dyDescent="0.3">
      <c r="A53" s="7" t="s">
        <v>96</v>
      </c>
      <c r="B53" s="7" t="s">
        <v>99</v>
      </c>
      <c r="C53" s="7" t="s">
        <v>147</v>
      </c>
      <c r="D53" s="7">
        <v>14</v>
      </c>
      <c r="E53" s="7">
        <v>337</v>
      </c>
      <c r="F53" s="7">
        <v>69</v>
      </c>
      <c r="G53" s="7">
        <v>13</v>
      </c>
      <c r="H53" s="7">
        <v>95</v>
      </c>
      <c r="I53" s="7" t="s">
        <v>175</v>
      </c>
      <c r="J53" s="7">
        <v>43</v>
      </c>
      <c r="K53" s="7">
        <v>1</v>
      </c>
      <c r="L53" s="7">
        <v>11</v>
      </c>
      <c r="M53" s="7">
        <v>158</v>
      </c>
      <c r="N53" s="7">
        <v>7</v>
      </c>
      <c r="O53" s="7">
        <v>46.7</v>
      </c>
      <c r="P53" s="7">
        <v>37</v>
      </c>
      <c r="Q53" s="7">
        <v>8</v>
      </c>
      <c r="R53" s="7">
        <v>7.6</v>
      </c>
      <c r="S53" s="7">
        <v>9.3243494400000024</v>
      </c>
      <c r="T53" s="7">
        <v>44</v>
      </c>
      <c r="U53" s="7">
        <v>1.1818181818181821</v>
      </c>
    </row>
    <row r="54" spans="1:21" x14ac:dyDescent="0.3">
      <c r="A54" s="7" t="s">
        <v>96</v>
      </c>
      <c r="B54" s="7" t="s">
        <v>109</v>
      </c>
      <c r="C54" s="7" t="s">
        <v>146</v>
      </c>
      <c r="D54" s="7">
        <v>1</v>
      </c>
      <c r="E54" s="7">
        <v>383</v>
      </c>
      <c r="F54" s="7">
        <v>78</v>
      </c>
      <c r="G54" s="7">
        <v>15</v>
      </c>
      <c r="H54" s="7">
        <v>180</v>
      </c>
      <c r="I54" s="7" t="s">
        <v>176</v>
      </c>
      <c r="J54" s="7">
        <v>45</v>
      </c>
      <c r="K54" s="7">
        <v>3</v>
      </c>
      <c r="L54" s="7">
        <v>10</v>
      </c>
      <c r="M54" s="7">
        <v>237</v>
      </c>
      <c r="N54" s="7">
        <v>7</v>
      </c>
      <c r="O54" s="7">
        <v>58.7</v>
      </c>
      <c r="P54" s="7">
        <v>39</v>
      </c>
      <c r="Q54" s="7">
        <v>8</v>
      </c>
      <c r="R54" s="7">
        <v>9</v>
      </c>
      <c r="S54" s="7">
        <v>9.8314944000000004</v>
      </c>
      <c r="T54" s="7">
        <v>48</v>
      </c>
      <c r="U54" s="7">
        <v>1.083333333333333</v>
      </c>
    </row>
    <row r="55" spans="1:21" x14ac:dyDescent="0.3">
      <c r="A55" s="7" t="s">
        <v>96</v>
      </c>
      <c r="B55" s="7" t="s">
        <v>109</v>
      </c>
      <c r="C55" s="7" t="s">
        <v>146</v>
      </c>
      <c r="D55" s="7">
        <v>2</v>
      </c>
      <c r="E55" s="7">
        <v>336</v>
      </c>
      <c r="F55" s="7">
        <v>72</v>
      </c>
      <c r="G55" s="7">
        <v>11</v>
      </c>
      <c r="H55" s="7">
        <v>114</v>
      </c>
      <c r="I55" s="7" t="s">
        <v>177</v>
      </c>
      <c r="J55" s="7">
        <v>52</v>
      </c>
      <c r="K55" s="7">
        <v>10</v>
      </c>
      <c r="L55" s="7"/>
      <c r="M55" s="7"/>
      <c r="N55" s="7"/>
      <c r="O55" s="7"/>
      <c r="P55" s="7"/>
      <c r="Q55" s="7"/>
      <c r="R55" s="7"/>
      <c r="S55" s="7"/>
      <c r="T55" s="7">
        <v>62</v>
      </c>
      <c r="U55" s="7">
        <v>0.83870967741935487</v>
      </c>
    </row>
    <row r="56" spans="1:21" x14ac:dyDescent="0.3">
      <c r="A56" s="7" t="s">
        <v>96</v>
      </c>
      <c r="B56" s="7" t="s">
        <v>109</v>
      </c>
      <c r="C56" s="7" t="s">
        <v>146</v>
      </c>
      <c r="D56" s="7">
        <v>3</v>
      </c>
      <c r="E56" s="7">
        <v>334</v>
      </c>
      <c r="F56" s="7">
        <v>68</v>
      </c>
      <c r="G56" s="7">
        <v>14</v>
      </c>
      <c r="H56" s="7">
        <v>130</v>
      </c>
      <c r="I56" s="7" t="s">
        <v>178</v>
      </c>
      <c r="J56" s="7">
        <v>46</v>
      </c>
      <c r="K56" s="7">
        <v>4</v>
      </c>
      <c r="L56" s="7">
        <v>11</v>
      </c>
      <c r="M56" s="7">
        <v>190</v>
      </c>
      <c r="N56" s="7">
        <v>5</v>
      </c>
      <c r="O56" s="7">
        <v>46</v>
      </c>
      <c r="P56" s="7">
        <v>38</v>
      </c>
      <c r="Q56" s="7">
        <v>7</v>
      </c>
      <c r="R56" s="7">
        <v>8.4</v>
      </c>
      <c r="S56" s="7">
        <v>6.2386879999999998</v>
      </c>
      <c r="T56" s="7">
        <v>50</v>
      </c>
      <c r="U56" s="7">
        <v>1.04</v>
      </c>
    </row>
    <row r="57" spans="1:21" x14ac:dyDescent="0.3">
      <c r="A57" s="7" t="s">
        <v>96</v>
      </c>
      <c r="B57" s="7" t="s">
        <v>109</v>
      </c>
      <c r="C57" s="7" t="s">
        <v>146</v>
      </c>
      <c r="D57" s="7">
        <v>4</v>
      </c>
      <c r="E57" s="7">
        <v>350</v>
      </c>
      <c r="F57" s="7">
        <v>71</v>
      </c>
      <c r="G57" s="7">
        <v>12</v>
      </c>
      <c r="H57" s="7">
        <v>168</v>
      </c>
      <c r="I57" s="7" t="s">
        <v>180</v>
      </c>
      <c r="J57" s="7">
        <v>40</v>
      </c>
      <c r="K57" s="7">
        <v>50</v>
      </c>
      <c r="L57" s="7">
        <v>11</v>
      </c>
      <c r="M57" s="7">
        <v>215</v>
      </c>
      <c r="N57" s="7">
        <v>6</v>
      </c>
      <c r="O57" s="7">
        <v>52.4</v>
      </c>
      <c r="P57" s="7">
        <v>39</v>
      </c>
      <c r="Q57" s="7">
        <v>8</v>
      </c>
      <c r="R57" s="7">
        <v>8</v>
      </c>
      <c r="S57" s="7">
        <v>7.7851200000000018</v>
      </c>
      <c r="T57" s="7">
        <v>90</v>
      </c>
      <c r="U57" s="7">
        <v>0.57777777777777772</v>
      </c>
    </row>
    <row r="58" spans="1:21" x14ac:dyDescent="0.3">
      <c r="A58" s="7" t="s">
        <v>96</v>
      </c>
      <c r="B58" s="7" t="s">
        <v>109</v>
      </c>
      <c r="C58" s="7" t="s">
        <v>146</v>
      </c>
      <c r="D58" s="7">
        <v>5</v>
      </c>
      <c r="E58" s="7">
        <v>330</v>
      </c>
      <c r="F58" s="7">
        <v>64</v>
      </c>
      <c r="G58" s="7">
        <v>11</v>
      </c>
      <c r="H58" s="7">
        <v>165</v>
      </c>
      <c r="I58" s="7" t="s">
        <v>180</v>
      </c>
      <c r="J58" s="7">
        <v>40</v>
      </c>
      <c r="K58" s="7">
        <v>50</v>
      </c>
      <c r="L58" s="7">
        <v>11</v>
      </c>
      <c r="M58" s="7">
        <v>215</v>
      </c>
      <c r="N58" s="7">
        <v>6</v>
      </c>
      <c r="O58" s="7">
        <v>48</v>
      </c>
      <c r="P58" s="7">
        <v>40</v>
      </c>
      <c r="Q58" s="7">
        <v>8</v>
      </c>
      <c r="R58" s="7">
        <v>7.8</v>
      </c>
      <c r="S58" s="7">
        <v>6.7206240000000008</v>
      </c>
      <c r="T58" s="7">
        <v>90</v>
      </c>
      <c r="U58" s="7">
        <v>0.57777777777777772</v>
      </c>
    </row>
    <row r="59" spans="1:21" x14ac:dyDescent="0.3">
      <c r="A59" s="7" t="s">
        <v>96</v>
      </c>
      <c r="B59" s="7" t="s">
        <v>109</v>
      </c>
      <c r="C59" s="7" t="s">
        <v>146</v>
      </c>
      <c r="D59" s="7">
        <v>6</v>
      </c>
      <c r="E59" s="7">
        <v>325</v>
      </c>
      <c r="F59" s="7">
        <v>61</v>
      </c>
      <c r="G59" s="7">
        <v>13</v>
      </c>
      <c r="H59" s="7">
        <v>95</v>
      </c>
      <c r="I59" s="7" t="s">
        <v>176</v>
      </c>
      <c r="J59" s="7">
        <v>45</v>
      </c>
      <c r="K59" s="7">
        <v>3</v>
      </c>
      <c r="L59" s="7">
        <v>11</v>
      </c>
      <c r="M59" s="7">
        <v>164</v>
      </c>
      <c r="N59" s="7">
        <v>4</v>
      </c>
      <c r="O59" s="7">
        <v>43.3</v>
      </c>
      <c r="P59" s="7">
        <v>39</v>
      </c>
      <c r="Q59" s="7">
        <v>7</v>
      </c>
      <c r="R59" s="7">
        <v>8.1999999999999993</v>
      </c>
      <c r="S59" s="7">
        <v>4.0037760000000011</v>
      </c>
      <c r="T59" s="7">
        <v>48</v>
      </c>
      <c r="U59" s="7">
        <v>1.083333333333333</v>
      </c>
    </row>
    <row r="60" spans="1:21" x14ac:dyDescent="0.3">
      <c r="A60" s="7" t="s">
        <v>96</v>
      </c>
      <c r="B60" s="7" t="s">
        <v>109</v>
      </c>
      <c r="C60" s="7" t="s">
        <v>146</v>
      </c>
      <c r="D60" s="7">
        <v>7</v>
      </c>
      <c r="E60" s="7">
        <v>345</v>
      </c>
      <c r="F60" s="7">
        <v>66</v>
      </c>
      <c r="G60" s="7">
        <v>11</v>
      </c>
      <c r="H60" s="7">
        <v>144</v>
      </c>
      <c r="I60" s="7" t="s">
        <v>173</v>
      </c>
      <c r="J60" s="7">
        <v>39</v>
      </c>
      <c r="K60" s="7">
        <v>49</v>
      </c>
      <c r="L60" s="7">
        <v>11</v>
      </c>
      <c r="M60" s="7">
        <v>175</v>
      </c>
      <c r="N60" s="7">
        <v>8</v>
      </c>
      <c r="O60" s="7">
        <v>49</v>
      </c>
      <c r="P60" s="7">
        <v>40</v>
      </c>
      <c r="Q60" s="7">
        <v>8</v>
      </c>
      <c r="R60" s="7">
        <v>8.1999999999999993</v>
      </c>
      <c r="S60" s="7">
        <v>9.5497472000000023</v>
      </c>
      <c r="T60" s="7">
        <v>88</v>
      </c>
      <c r="U60" s="7">
        <v>0.59090909090909094</v>
      </c>
    </row>
    <row r="61" spans="1:21" x14ac:dyDescent="0.3">
      <c r="A61" s="7" t="s">
        <v>96</v>
      </c>
      <c r="B61" s="7" t="s">
        <v>109</v>
      </c>
      <c r="C61" s="7" t="s">
        <v>146</v>
      </c>
      <c r="D61" s="7">
        <v>8</v>
      </c>
      <c r="E61" s="7">
        <v>370</v>
      </c>
      <c r="F61" s="7">
        <v>69</v>
      </c>
      <c r="G61" s="7">
        <v>14</v>
      </c>
      <c r="H61" s="7">
        <v>125</v>
      </c>
      <c r="I61" s="7" t="s">
        <v>175</v>
      </c>
      <c r="J61" s="7">
        <v>42</v>
      </c>
      <c r="K61" s="7">
        <v>52</v>
      </c>
      <c r="L61" s="7">
        <v>11</v>
      </c>
      <c r="M61" s="7">
        <v>198</v>
      </c>
      <c r="N61" s="7">
        <v>4</v>
      </c>
      <c r="O61" s="7">
        <v>53.5</v>
      </c>
      <c r="P61" s="7">
        <v>39</v>
      </c>
      <c r="Q61" s="7">
        <v>8</v>
      </c>
      <c r="R61" s="7">
        <v>7.6</v>
      </c>
      <c r="S61" s="7">
        <v>4.1414720000000003</v>
      </c>
      <c r="T61" s="7">
        <v>94</v>
      </c>
      <c r="U61" s="7">
        <v>0.55319148936170215</v>
      </c>
    </row>
    <row r="62" spans="1:21" x14ac:dyDescent="0.3">
      <c r="A62" s="7" t="s">
        <v>96</v>
      </c>
      <c r="B62" s="7" t="s">
        <v>109</v>
      </c>
      <c r="C62" s="7" t="s">
        <v>146</v>
      </c>
      <c r="D62" s="7">
        <v>9</v>
      </c>
      <c r="E62" s="7">
        <v>363</v>
      </c>
      <c r="F62" s="7">
        <v>70</v>
      </c>
      <c r="G62" s="7">
        <v>12</v>
      </c>
      <c r="H62" s="7">
        <v>100</v>
      </c>
      <c r="I62" s="7" t="s">
        <v>174</v>
      </c>
      <c r="J62" s="7">
        <v>42</v>
      </c>
      <c r="K62" s="7">
        <v>52</v>
      </c>
      <c r="L62" s="7">
        <v>11</v>
      </c>
      <c r="M62" s="7">
        <v>180</v>
      </c>
      <c r="N62" s="7">
        <v>5</v>
      </c>
      <c r="O62" s="7">
        <v>52</v>
      </c>
      <c r="P62" s="7">
        <v>39</v>
      </c>
      <c r="Q62" s="7">
        <v>8</v>
      </c>
      <c r="R62" s="7">
        <v>8</v>
      </c>
      <c r="S62" s="7">
        <v>5.9421119999999998</v>
      </c>
      <c r="T62" s="7">
        <v>94</v>
      </c>
      <c r="U62" s="7">
        <v>0.55319148936170215</v>
      </c>
    </row>
    <row r="63" spans="1:21" x14ac:dyDescent="0.3">
      <c r="A63" s="7" t="s">
        <v>96</v>
      </c>
      <c r="B63" s="7" t="s">
        <v>109</v>
      </c>
      <c r="C63" s="7" t="s">
        <v>146</v>
      </c>
      <c r="D63" s="7">
        <v>10</v>
      </c>
      <c r="E63" s="7">
        <v>300</v>
      </c>
      <c r="F63" s="7">
        <v>60</v>
      </c>
      <c r="G63" s="7">
        <v>7</v>
      </c>
      <c r="H63" s="7">
        <v>161</v>
      </c>
      <c r="I63" s="7" t="s">
        <v>175</v>
      </c>
      <c r="J63" s="7">
        <v>51</v>
      </c>
      <c r="K63" s="7">
        <v>9</v>
      </c>
      <c r="L63" s="7"/>
      <c r="M63" s="7"/>
      <c r="N63" s="7"/>
      <c r="O63" s="7"/>
      <c r="P63" s="7"/>
      <c r="Q63" s="7"/>
      <c r="R63" s="7"/>
      <c r="S63" s="7"/>
      <c r="T63" s="7">
        <v>60</v>
      </c>
      <c r="U63" s="7">
        <v>0.8666666666666667</v>
      </c>
    </row>
    <row r="64" spans="1:21" x14ac:dyDescent="0.3">
      <c r="A64" s="7" t="s">
        <v>96</v>
      </c>
      <c r="B64" s="7" t="s">
        <v>109</v>
      </c>
      <c r="C64" s="7" t="s">
        <v>146</v>
      </c>
      <c r="D64" s="7">
        <v>11</v>
      </c>
      <c r="E64" s="7">
        <v>340</v>
      </c>
      <c r="F64" s="7">
        <v>71</v>
      </c>
      <c r="G64" s="7">
        <v>12</v>
      </c>
      <c r="H64" s="7">
        <v>80</v>
      </c>
      <c r="I64" s="7" t="s">
        <v>177</v>
      </c>
      <c r="J64" s="7">
        <v>52</v>
      </c>
      <c r="K64" s="7">
        <v>10</v>
      </c>
      <c r="L64" s="7"/>
      <c r="M64" s="7"/>
      <c r="N64" s="7"/>
      <c r="O64" s="7"/>
      <c r="P64" s="7"/>
      <c r="Q64" s="7"/>
      <c r="R64" s="7"/>
      <c r="S64" s="7"/>
      <c r="T64" s="7">
        <v>62</v>
      </c>
      <c r="U64" s="7">
        <v>0.83870967741935487</v>
      </c>
    </row>
    <row r="65" spans="1:21" x14ac:dyDescent="0.3">
      <c r="A65" s="7" t="s">
        <v>96</v>
      </c>
      <c r="B65" s="7" t="s">
        <v>109</v>
      </c>
      <c r="C65" s="7" t="s">
        <v>146</v>
      </c>
      <c r="D65" s="7">
        <v>12</v>
      </c>
      <c r="E65" s="7">
        <v>350</v>
      </c>
      <c r="F65" s="7">
        <v>63</v>
      </c>
      <c r="G65" s="7">
        <v>12</v>
      </c>
      <c r="H65" s="7">
        <v>156</v>
      </c>
      <c r="I65" s="7" t="s">
        <v>174</v>
      </c>
      <c r="J65" s="7">
        <v>42</v>
      </c>
      <c r="K65" s="7">
        <v>52</v>
      </c>
      <c r="L65" s="7">
        <v>11</v>
      </c>
      <c r="M65" s="7">
        <v>185</v>
      </c>
      <c r="N65" s="7">
        <v>6</v>
      </c>
      <c r="O65" s="7">
        <v>42</v>
      </c>
      <c r="P65" s="7">
        <v>39</v>
      </c>
      <c r="Q65" s="7">
        <v>7</v>
      </c>
      <c r="R65" s="7">
        <v>7.4</v>
      </c>
      <c r="S65" s="7">
        <v>6.7110912000000011</v>
      </c>
      <c r="T65" s="7">
        <v>94</v>
      </c>
      <c r="U65" s="7">
        <v>0.55319148936170215</v>
      </c>
    </row>
    <row r="66" spans="1:21" x14ac:dyDescent="0.3">
      <c r="A66" s="7" t="s">
        <v>96</v>
      </c>
      <c r="B66" s="7" t="s">
        <v>109</v>
      </c>
      <c r="C66" s="7" t="s">
        <v>146</v>
      </c>
      <c r="D66" s="7">
        <v>13</v>
      </c>
      <c r="E66" s="7">
        <v>365</v>
      </c>
      <c r="F66" s="7">
        <v>72</v>
      </c>
      <c r="G66" s="7">
        <v>13</v>
      </c>
      <c r="H66" s="7">
        <v>110</v>
      </c>
      <c r="I66" s="7" t="s">
        <v>178</v>
      </c>
      <c r="J66" s="7">
        <v>46</v>
      </c>
      <c r="K66" s="7">
        <v>4</v>
      </c>
      <c r="L66" s="7">
        <v>11</v>
      </c>
      <c r="M66" s="7">
        <v>200</v>
      </c>
      <c r="N66" s="7">
        <v>5</v>
      </c>
      <c r="O66" s="7">
        <v>49.5</v>
      </c>
      <c r="P66" s="7">
        <v>38</v>
      </c>
      <c r="Q66" s="7">
        <v>8</v>
      </c>
      <c r="R66" s="7">
        <v>8.1999999999999993</v>
      </c>
      <c r="S66" s="7">
        <v>5.9580000000000002</v>
      </c>
      <c r="T66" s="7">
        <v>50</v>
      </c>
      <c r="U66" s="7">
        <v>1.04</v>
      </c>
    </row>
    <row r="67" spans="1:21" x14ac:dyDescent="0.3">
      <c r="A67" s="7" t="s">
        <v>96</v>
      </c>
      <c r="B67" s="7" t="s">
        <v>109</v>
      </c>
      <c r="C67" s="7" t="s">
        <v>146</v>
      </c>
      <c r="D67" s="7">
        <v>14</v>
      </c>
      <c r="E67" s="7">
        <v>367</v>
      </c>
      <c r="F67" s="7">
        <v>68</v>
      </c>
      <c r="G67" s="7">
        <v>12</v>
      </c>
      <c r="H67" s="7">
        <v>170</v>
      </c>
      <c r="I67" s="7" t="s">
        <v>179</v>
      </c>
      <c r="J67" s="7">
        <v>41</v>
      </c>
      <c r="K67" s="7">
        <v>51</v>
      </c>
      <c r="L67" s="7">
        <v>11</v>
      </c>
      <c r="M67" s="7">
        <v>230</v>
      </c>
      <c r="N67" s="7">
        <v>8</v>
      </c>
      <c r="O67" s="7">
        <v>53.5</v>
      </c>
      <c r="P67" s="7">
        <v>40</v>
      </c>
      <c r="Q67" s="7">
        <v>8</v>
      </c>
      <c r="R67" s="7">
        <v>8.4</v>
      </c>
      <c r="S67" s="7">
        <v>8.7701759999999993</v>
      </c>
      <c r="T67" s="7">
        <v>92</v>
      </c>
      <c r="U67" s="7">
        <v>0.56521739130434778</v>
      </c>
    </row>
    <row r="68" spans="1:21" x14ac:dyDescent="0.3">
      <c r="A68" s="7" t="s">
        <v>96</v>
      </c>
      <c r="B68" s="7" t="s">
        <v>99</v>
      </c>
      <c r="C68" s="7" t="s">
        <v>144</v>
      </c>
      <c r="D68" s="7">
        <v>1</v>
      </c>
      <c r="E68" s="7">
        <v>351</v>
      </c>
      <c r="F68" s="7">
        <v>70</v>
      </c>
      <c r="G68" s="7">
        <v>13</v>
      </c>
      <c r="H68" s="7">
        <v>110</v>
      </c>
      <c r="I68" s="7" t="s">
        <v>175</v>
      </c>
      <c r="J68" s="7">
        <v>43</v>
      </c>
      <c r="K68" s="7">
        <v>1</v>
      </c>
      <c r="L68" s="7">
        <v>11</v>
      </c>
      <c r="M68" s="7">
        <v>170</v>
      </c>
      <c r="N68" s="7">
        <v>5</v>
      </c>
      <c r="O68" s="7">
        <v>52</v>
      </c>
      <c r="P68" s="7">
        <v>39</v>
      </c>
      <c r="Q68" s="7">
        <v>8</v>
      </c>
      <c r="R68" s="7">
        <v>8.1999999999999993</v>
      </c>
      <c r="S68" s="7">
        <v>6.3578480000000006</v>
      </c>
      <c r="T68" s="7">
        <v>44</v>
      </c>
      <c r="U68" s="7">
        <v>1.1818181818181821</v>
      </c>
    </row>
    <row r="69" spans="1:21" x14ac:dyDescent="0.3">
      <c r="A69" s="7" t="s">
        <v>96</v>
      </c>
      <c r="B69" s="7" t="s">
        <v>99</v>
      </c>
      <c r="C69" s="7" t="s">
        <v>144</v>
      </c>
      <c r="D69" s="7">
        <v>2</v>
      </c>
      <c r="E69" s="7">
        <v>305</v>
      </c>
      <c r="F69" s="7">
        <v>60</v>
      </c>
      <c r="G69" s="7">
        <v>12</v>
      </c>
      <c r="H69" s="7">
        <v>125</v>
      </c>
      <c r="I69" s="7" t="s">
        <v>180</v>
      </c>
      <c r="J69" s="7">
        <v>48</v>
      </c>
      <c r="K69" s="7">
        <v>6</v>
      </c>
      <c r="L69" s="7">
        <v>11</v>
      </c>
      <c r="M69" s="7">
        <v>177</v>
      </c>
      <c r="N69" s="7">
        <v>6</v>
      </c>
      <c r="O69" s="7">
        <v>33</v>
      </c>
      <c r="P69" s="7">
        <v>38</v>
      </c>
      <c r="Q69" s="7">
        <v>7</v>
      </c>
      <c r="R69" s="7">
        <v>8.6</v>
      </c>
      <c r="S69" s="7">
        <v>6.0520569600000007</v>
      </c>
      <c r="T69" s="7">
        <v>54</v>
      </c>
      <c r="U69" s="7">
        <v>0.96296296296296291</v>
      </c>
    </row>
    <row r="70" spans="1:21" x14ac:dyDescent="0.3">
      <c r="A70" s="7" t="s">
        <v>96</v>
      </c>
      <c r="B70" s="7" t="s">
        <v>99</v>
      </c>
      <c r="C70" s="7" t="s">
        <v>144</v>
      </c>
      <c r="D70" s="7">
        <v>3</v>
      </c>
      <c r="E70" s="7">
        <v>362</v>
      </c>
      <c r="F70" s="7">
        <v>72</v>
      </c>
      <c r="G70" s="7">
        <v>11</v>
      </c>
      <c r="H70" s="7">
        <v>160</v>
      </c>
      <c r="I70" s="7" t="s">
        <v>174</v>
      </c>
      <c r="J70" s="7">
        <v>50</v>
      </c>
      <c r="K70" s="7">
        <v>8</v>
      </c>
      <c r="L70" s="7"/>
      <c r="M70" s="7"/>
      <c r="N70" s="7"/>
      <c r="O70" s="7"/>
      <c r="P70" s="7"/>
      <c r="Q70" s="7"/>
      <c r="R70" s="7"/>
      <c r="S70" s="7"/>
      <c r="T70" s="7">
        <v>58</v>
      </c>
      <c r="U70" s="7">
        <v>0.89655172413793105</v>
      </c>
    </row>
    <row r="71" spans="1:21" x14ac:dyDescent="0.3">
      <c r="A71" s="7" t="s">
        <v>96</v>
      </c>
      <c r="B71" s="7" t="s">
        <v>99</v>
      </c>
      <c r="C71" s="7" t="s">
        <v>144</v>
      </c>
      <c r="D71" s="7">
        <v>4</v>
      </c>
      <c r="E71" s="7">
        <v>336</v>
      </c>
      <c r="F71" s="7">
        <v>69</v>
      </c>
      <c r="G71" s="7">
        <v>10</v>
      </c>
      <c r="H71" s="7">
        <v>80</v>
      </c>
      <c r="I71" s="7" t="s">
        <v>175</v>
      </c>
      <c r="J71" s="7">
        <v>51</v>
      </c>
      <c r="K71" s="7">
        <v>9</v>
      </c>
      <c r="L71" s="7"/>
      <c r="M71" s="7"/>
      <c r="N71" s="7"/>
      <c r="O71" s="7"/>
      <c r="P71" s="7"/>
      <c r="Q71" s="7"/>
      <c r="R71" s="7"/>
      <c r="S71" s="7"/>
      <c r="T71" s="7">
        <v>60</v>
      </c>
      <c r="U71" s="7">
        <v>0.8666666666666667</v>
      </c>
    </row>
    <row r="72" spans="1:21" x14ac:dyDescent="0.3">
      <c r="A72" s="7" t="s">
        <v>96</v>
      </c>
      <c r="B72" s="7" t="s">
        <v>99</v>
      </c>
      <c r="C72" s="7" t="s">
        <v>144</v>
      </c>
      <c r="D72" s="7">
        <v>5</v>
      </c>
      <c r="E72" s="7">
        <v>336</v>
      </c>
      <c r="F72" s="7">
        <v>62</v>
      </c>
      <c r="G72" s="7">
        <v>13</v>
      </c>
      <c r="H72" s="7">
        <v>90</v>
      </c>
      <c r="I72" s="7" t="s">
        <v>178</v>
      </c>
      <c r="J72" s="7">
        <v>46</v>
      </c>
      <c r="K72" s="7">
        <v>4</v>
      </c>
      <c r="L72" s="7">
        <v>12</v>
      </c>
      <c r="M72" s="7">
        <v>144</v>
      </c>
      <c r="N72" s="7">
        <v>4</v>
      </c>
      <c r="O72" s="7">
        <v>39.6</v>
      </c>
      <c r="P72" s="7">
        <v>39</v>
      </c>
      <c r="Q72" s="7">
        <v>7</v>
      </c>
      <c r="R72" s="7">
        <v>7.6</v>
      </c>
      <c r="S72" s="7">
        <v>4.6604800000000006</v>
      </c>
      <c r="T72" s="7">
        <v>50</v>
      </c>
      <c r="U72" s="7">
        <v>1.04</v>
      </c>
    </row>
    <row r="73" spans="1:21" x14ac:dyDescent="0.3">
      <c r="A73" s="7" t="s">
        <v>96</v>
      </c>
      <c r="B73" s="7" t="s">
        <v>99</v>
      </c>
      <c r="C73" s="7" t="s">
        <v>144</v>
      </c>
      <c r="D73" s="7">
        <v>6</v>
      </c>
      <c r="E73" s="7">
        <v>320</v>
      </c>
      <c r="F73" s="7">
        <v>66</v>
      </c>
      <c r="G73" s="7">
        <v>13</v>
      </c>
      <c r="H73" s="7">
        <v>86</v>
      </c>
      <c r="I73" s="7" t="s">
        <v>178</v>
      </c>
      <c r="J73" s="7">
        <v>46</v>
      </c>
      <c r="K73" s="7">
        <v>4</v>
      </c>
      <c r="L73" s="7">
        <v>11</v>
      </c>
      <c r="M73" s="7">
        <v>180</v>
      </c>
      <c r="N73" s="7">
        <v>4</v>
      </c>
      <c r="O73" s="7">
        <v>48</v>
      </c>
      <c r="P73" s="7">
        <v>37</v>
      </c>
      <c r="Q73" s="7">
        <v>8</v>
      </c>
      <c r="R73" s="7">
        <v>7.4</v>
      </c>
      <c r="S73" s="7">
        <v>4.1446496000000002</v>
      </c>
      <c r="T73" s="7">
        <v>50</v>
      </c>
      <c r="U73" s="7">
        <v>1.04</v>
      </c>
    </row>
    <row r="74" spans="1:21" x14ac:dyDescent="0.3">
      <c r="A74" s="7" t="s">
        <v>96</v>
      </c>
      <c r="B74" s="7" t="s">
        <v>99</v>
      </c>
      <c r="C74" s="7" t="s">
        <v>144</v>
      </c>
      <c r="D74" s="7">
        <v>7</v>
      </c>
      <c r="E74" s="7">
        <v>346</v>
      </c>
      <c r="F74" s="7">
        <v>69</v>
      </c>
      <c r="G74" s="7">
        <v>14</v>
      </c>
      <c r="H74" s="7">
        <v>78</v>
      </c>
      <c r="I74" s="7" t="s">
        <v>173</v>
      </c>
      <c r="J74" s="7">
        <v>3</v>
      </c>
      <c r="K74" s="7">
        <v>13</v>
      </c>
      <c r="L74" s="7">
        <v>11</v>
      </c>
      <c r="M74" s="7">
        <v>153</v>
      </c>
      <c r="N74" s="7">
        <v>6</v>
      </c>
      <c r="O74" s="7">
        <v>49.6</v>
      </c>
      <c r="P74" s="7">
        <v>39</v>
      </c>
      <c r="Q74" s="7">
        <v>8</v>
      </c>
      <c r="R74" s="7">
        <v>8.4</v>
      </c>
      <c r="S74" s="7">
        <v>7.9440000000000008</v>
      </c>
      <c r="T74" s="7">
        <v>16</v>
      </c>
      <c r="U74" s="7">
        <v>3.25</v>
      </c>
    </row>
    <row r="75" spans="1:21" x14ac:dyDescent="0.3">
      <c r="A75" s="7" t="s">
        <v>96</v>
      </c>
      <c r="B75" s="7" t="s">
        <v>99</v>
      </c>
      <c r="C75" s="7" t="s">
        <v>144</v>
      </c>
      <c r="D75" s="7">
        <v>8</v>
      </c>
      <c r="E75" s="7">
        <v>325</v>
      </c>
      <c r="F75" s="7">
        <v>63</v>
      </c>
      <c r="G75" s="7">
        <v>12</v>
      </c>
      <c r="H75" s="7">
        <v>60</v>
      </c>
      <c r="I75" s="7" t="s">
        <v>176</v>
      </c>
      <c r="J75" s="7">
        <v>45</v>
      </c>
      <c r="K75" s="7">
        <v>3</v>
      </c>
      <c r="L75" s="7">
        <v>11</v>
      </c>
      <c r="M75" s="7">
        <v>130</v>
      </c>
      <c r="N75" s="7">
        <v>5</v>
      </c>
      <c r="O75" s="7">
        <v>45.3</v>
      </c>
      <c r="P75" s="7">
        <v>38</v>
      </c>
      <c r="Q75" s="7">
        <v>7</v>
      </c>
      <c r="R75" s="7">
        <v>8</v>
      </c>
      <c r="S75" s="7">
        <v>4.4910080000000008</v>
      </c>
      <c r="T75" s="7">
        <v>48</v>
      </c>
      <c r="U75" s="7">
        <v>1.083333333333333</v>
      </c>
    </row>
    <row r="76" spans="1:21" x14ac:dyDescent="0.3">
      <c r="A76" s="7" t="s">
        <v>96</v>
      </c>
      <c r="B76" s="7" t="s">
        <v>99</v>
      </c>
      <c r="C76" s="7" t="s">
        <v>144</v>
      </c>
      <c r="D76" s="7">
        <v>9</v>
      </c>
      <c r="E76" s="7">
        <v>331</v>
      </c>
      <c r="F76" s="7">
        <v>64</v>
      </c>
      <c r="G76" s="7">
        <v>12</v>
      </c>
      <c r="H76" s="7">
        <v>85</v>
      </c>
      <c r="I76" s="7" t="s">
        <v>177</v>
      </c>
      <c r="J76" s="7">
        <v>44</v>
      </c>
      <c r="K76" s="7">
        <v>2</v>
      </c>
      <c r="L76" s="7">
        <v>11</v>
      </c>
      <c r="M76" s="7">
        <v>170</v>
      </c>
      <c r="N76" s="7">
        <v>5</v>
      </c>
      <c r="O76" s="7">
        <v>42</v>
      </c>
      <c r="P76" s="7">
        <v>38</v>
      </c>
      <c r="Q76" s="7">
        <v>7</v>
      </c>
      <c r="R76" s="7">
        <v>8</v>
      </c>
      <c r="S76" s="7">
        <v>5.6243520000000018</v>
      </c>
      <c r="T76" s="7">
        <v>46</v>
      </c>
      <c r="U76" s="7">
        <v>1.130434782608696</v>
      </c>
    </row>
    <row r="77" spans="1:21" x14ac:dyDescent="0.3">
      <c r="A77" s="7" t="s">
        <v>96</v>
      </c>
      <c r="B77" s="7" t="s">
        <v>99</v>
      </c>
      <c r="C77" s="7" t="s">
        <v>144</v>
      </c>
      <c r="D77" s="7">
        <v>10</v>
      </c>
      <c r="E77" s="7">
        <v>330</v>
      </c>
      <c r="F77" s="7">
        <v>66</v>
      </c>
      <c r="G77" s="7">
        <v>10</v>
      </c>
      <c r="H77" s="7">
        <v>130</v>
      </c>
      <c r="I77" s="7" t="s">
        <v>176</v>
      </c>
      <c r="J77" s="7">
        <v>45</v>
      </c>
      <c r="K77" s="7">
        <v>3</v>
      </c>
      <c r="L77" s="7">
        <v>11</v>
      </c>
      <c r="M77" s="7">
        <v>220</v>
      </c>
      <c r="N77" s="7">
        <v>2</v>
      </c>
      <c r="O77" s="7">
        <v>43.4</v>
      </c>
      <c r="P77" s="7">
        <v>38</v>
      </c>
      <c r="Q77" s="7">
        <v>8</v>
      </c>
      <c r="R77" s="7">
        <v>8.1999999999999993</v>
      </c>
      <c r="S77" s="7">
        <v>2.2412671999999998</v>
      </c>
      <c r="T77" s="7">
        <v>48</v>
      </c>
      <c r="U77" s="7">
        <v>1.083333333333333</v>
      </c>
    </row>
    <row r="78" spans="1:21" x14ac:dyDescent="0.3">
      <c r="A78" s="7" t="s">
        <v>96</v>
      </c>
      <c r="B78" s="7" t="s">
        <v>99</v>
      </c>
      <c r="C78" s="7" t="s">
        <v>144</v>
      </c>
      <c r="D78" s="7">
        <v>11</v>
      </c>
      <c r="E78" s="7">
        <v>316</v>
      </c>
      <c r="F78" s="7">
        <v>60</v>
      </c>
      <c r="G78" s="7">
        <v>9</v>
      </c>
      <c r="H78" s="7">
        <v>86</v>
      </c>
      <c r="I78" s="7" t="s">
        <v>179</v>
      </c>
      <c r="J78" s="7">
        <v>49</v>
      </c>
      <c r="K78" s="7">
        <v>7</v>
      </c>
      <c r="L78" s="7"/>
      <c r="M78" s="7"/>
      <c r="N78" s="7"/>
      <c r="O78" s="7"/>
      <c r="P78" s="7"/>
      <c r="Q78" s="7"/>
      <c r="R78" s="7"/>
      <c r="S78" s="7"/>
      <c r="T78" s="7">
        <v>56</v>
      </c>
      <c r="U78" s="7">
        <v>0.9285714285714286</v>
      </c>
    </row>
    <row r="79" spans="1:21" x14ac:dyDescent="0.3">
      <c r="A79" s="7" t="s">
        <v>96</v>
      </c>
      <c r="B79" s="7" t="s">
        <v>99</v>
      </c>
      <c r="C79" s="7" t="s">
        <v>144</v>
      </c>
      <c r="D79" s="7">
        <v>12</v>
      </c>
      <c r="E79" s="7">
        <v>272</v>
      </c>
      <c r="F79" s="7">
        <v>55</v>
      </c>
      <c r="G79" s="7">
        <v>7</v>
      </c>
      <c r="H79" s="7">
        <v>95</v>
      </c>
      <c r="I79" s="7" t="s">
        <v>175</v>
      </c>
      <c r="J79" s="7">
        <v>51</v>
      </c>
      <c r="K79" s="7">
        <v>9</v>
      </c>
      <c r="L79" s="7"/>
      <c r="M79" s="7"/>
      <c r="N79" s="7"/>
      <c r="O79" s="7"/>
      <c r="P79" s="7"/>
      <c r="Q79" s="7"/>
      <c r="R79" s="7"/>
      <c r="S79" s="7"/>
      <c r="T79" s="7">
        <v>60</v>
      </c>
      <c r="U79" s="7">
        <v>0.8666666666666667</v>
      </c>
    </row>
    <row r="80" spans="1:21" x14ac:dyDescent="0.3">
      <c r="A80" s="7" t="s">
        <v>96</v>
      </c>
      <c r="B80" s="7" t="s">
        <v>99</v>
      </c>
      <c r="C80" s="7" t="s">
        <v>144</v>
      </c>
      <c r="D80" s="7">
        <v>13</v>
      </c>
      <c r="E80" s="7">
        <v>282</v>
      </c>
      <c r="F80" s="7">
        <v>57</v>
      </c>
      <c r="G80" s="7">
        <v>7</v>
      </c>
      <c r="H80" s="7">
        <v>124</v>
      </c>
      <c r="I80" s="7" t="s">
        <v>179</v>
      </c>
      <c r="J80" s="7">
        <v>49</v>
      </c>
      <c r="K80" s="7">
        <v>7</v>
      </c>
      <c r="L80" s="7"/>
      <c r="M80" s="7"/>
      <c r="N80" s="7"/>
      <c r="O80" s="7"/>
      <c r="P80" s="7"/>
      <c r="Q80" s="7"/>
      <c r="R80" s="7"/>
      <c r="S80" s="7"/>
      <c r="T80" s="7">
        <v>56</v>
      </c>
      <c r="U80" s="7">
        <v>0.9285714285714286</v>
      </c>
    </row>
    <row r="81" spans="1:21" x14ac:dyDescent="0.3">
      <c r="A81" s="7" t="s">
        <v>96</v>
      </c>
      <c r="B81" s="7" t="s">
        <v>99</v>
      </c>
      <c r="C81" s="7" t="s">
        <v>144</v>
      </c>
      <c r="D81" s="7">
        <v>14</v>
      </c>
      <c r="E81" s="7">
        <v>266</v>
      </c>
      <c r="F81" s="7">
        <v>53</v>
      </c>
      <c r="G81" s="7">
        <v>11</v>
      </c>
      <c r="H81" s="7">
        <v>87</v>
      </c>
      <c r="I81" s="7" t="s">
        <v>177</v>
      </c>
      <c r="J81" s="7">
        <v>44</v>
      </c>
      <c r="K81" s="7">
        <v>2</v>
      </c>
      <c r="L81" s="7">
        <v>11</v>
      </c>
      <c r="M81" s="7">
        <v>148</v>
      </c>
      <c r="N81" s="7">
        <v>5</v>
      </c>
      <c r="O81" s="7">
        <v>28.6</v>
      </c>
      <c r="P81" s="7">
        <v>38</v>
      </c>
      <c r="Q81" s="7">
        <v>6</v>
      </c>
      <c r="R81" s="7">
        <v>7.8</v>
      </c>
      <c r="S81" s="7">
        <v>4.1798679999999999</v>
      </c>
      <c r="T81" s="7">
        <v>46</v>
      </c>
      <c r="U81" s="7">
        <v>1.130434782608696</v>
      </c>
    </row>
    <row r="82" spans="1:21" x14ac:dyDescent="0.3">
      <c r="A82" s="7" t="s">
        <v>96</v>
      </c>
      <c r="B82" s="7" t="s">
        <v>97</v>
      </c>
      <c r="C82" s="7" t="s">
        <v>144</v>
      </c>
      <c r="D82" s="7">
        <v>1</v>
      </c>
      <c r="E82" s="7">
        <v>320</v>
      </c>
      <c r="F82" s="7">
        <v>64</v>
      </c>
      <c r="G82" s="7">
        <v>13</v>
      </c>
      <c r="H82" s="7">
        <v>100</v>
      </c>
      <c r="I82" s="7" t="s">
        <v>180</v>
      </c>
      <c r="J82" s="7">
        <v>48</v>
      </c>
      <c r="K82" s="7">
        <v>6</v>
      </c>
      <c r="L82" s="7"/>
      <c r="M82" s="7"/>
      <c r="N82" s="7"/>
      <c r="O82" s="7"/>
      <c r="P82" s="7"/>
      <c r="Q82" s="7"/>
      <c r="R82" s="7"/>
      <c r="S82" s="7"/>
      <c r="T82" s="7">
        <v>54</v>
      </c>
      <c r="U82" s="7">
        <v>0.96296296296296291</v>
      </c>
    </row>
    <row r="83" spans="1:21" x14ac:dyDescent="0.3">
      <c r="A83" s="7" t="s">
        <v>96</v>
      </c>
      <c r="B83" s="7" t="s">
        <v>97</v>
      </c>
      <c r="C83" s="7" t="s">
        <v>144</v>
      </c>
      <c r="D83" s="7">
        <v>2</v>
      </c>
      <c r="E83" s="7">
        <v>340</v>
      </c>
      <c r="F83" s="7">
        <v>64</v>
      </c>
      <c r="G83" s="7">
        <v>12</v>
      </c>
      <c r="H83" s="7">
        <v>70</v>
      </c>
      <c r="I83" s="7" t="s">
        <v>180</v>
      </c>
      <c r="J83" s="7">
        <v>48</v>
      </c>
      <c r="K83" s="7">
        <v>6</v>
      </c>
      <c r="L83" s="7"/>
      <c r="M83" s="7"/>
      <c r="N83" s="7"/>
      <c r="O83" s="7"/>
      <c r="P83" s="7"/>
      <c r="Q83" s="7"/>
      <c r="R83" s="7"/>
      <c r="S83" s="7"/>
      <c r="T83" s="7">
        <v>54</v>
      </c>
      <c r="U83" s="7">
        <v>0.96296296296296291</v>
      </c>
    </row>
    <row r="84" spans="1:21" x14ac:dyDescent="0.3">
      <c r="A84" s="7" t="s">
        <v>96</v>
      </c>
      <c r="B84" s="7" t="s">
        <v>97</v>
      </c>
      <c r="C84" s="7" t="s">
        <v>144</v>
      </c>
      <c r="D84" s="7">
        <v>3</v>
      </c>
      <c r="E84" s="7">
        <v>320</v>
      </c>
      <c r="F84" s="7">
        <v>62</v>
      </c>
      <c r="G84" s="7">
        <v>9</v>
      </c>
      <c r="H84" s="7">
        <v>203</v>
      </c>
      <c r="I84" s="7" t="s">
        <v>179</v>
      </c>
      <c r="J84" s="7">
        <v>49</v>
      </c>
      <c r="K84" s="7">
        <v>7</v>
      </c>
      <c r="L84" s="7"/>
      <c r="M84" s="7"/>
      <c r="N84" s="7"/>
      <c r="O84" s="7"/>
      <c r="P84" s="7"/>
      <c r="Q84" s="7"/>
      <c r="R84" s="7"/>
      <c r="S84" s="7"/>
      <c r="T84" s="7">
        <v>56</v>
      </c>
      <c r="U84" s="7">
        <v>0.9285714285714286</v>
      </c>
    </row>
    <row r="85" spans="1:21" x14ac:dyDescent="0.3">
      <c r="A85" s="7" t="s">
        <v>96</v>
      </c>
      <c r="B85" s="7" t="s">
        <v>97</v>
      </c>
      <c r="C85" s="7" t="s">
        <v>144</v>
      </c>
      <c r="D85" s="7">
        <v>4</v>
      </c>
      <c r="E85" s="7">
        <v>325</v>
      </c>
      <c r="F85" s="7">
        <v>67</v>
      </c>
      <c r="G85" s="7">
        <v>10</v>
      </c>
      <c r="H85" s="7">
        <v>103</v>
      </c>
      <c r="I85" s="7" t="s">
        <v>173</v>
      </c>
      <c r="J85" s="7">
        <v>3</v>
      </c>
      <c r="K85" s="7">
        <v>13</v>
      </c>
      <c r="L85" s="7">
        <v>11</v>
      </c>
      <c r="M85" s="7">
        <v>150</v>
      </c>
      <c r="N85" s="7">
        <v>6</v>
      </c>
      <c r="O85" s="7">
        <v>33.9</v>
      </c>
      <c r="P85" s="7">
        <v>37</v>
      </c>
      <c r="Q85" s="7">
        <v>7</v>
      </c>
      <c r="R85" s="7">
        <v>7.4</v>
      </c>
      <c r="S85" s="7">
        <v>6.7307923200000008</v>
      </c>
      <c r="T85" s="7">
        <v>16</v>
      </c>
      <c r="U85" s="7">
        <v>3.25</v>
      </c>
    </row>
    <row r="86" spans="1:21" x14ac:dyDescent="0.3">
      <c r="A86" s="7" t="s">
        <v>96</v>
      </c>
      <c r="B86" s="7" t="s">
        <v>97</v>
      </c>
      <c r="C86" s="7" t="s">
        <v>144</v>
      </c>
      <c r="D86" s="7">
        <v>5</v>
      </c>
      <c r="E86" s="7">
        <v>294</v>
      </c>
      <c r="F86" s="7">
        <v>55</v>
      </c>
      <c r="G86" s="7">
        <v>8</v>
      </c>
      <c r="H86" s="7">
        <v>110</v>
      </c>
      <c r="I86" s="7" t="s">
        <v>175</v>
      </c>
      <c r="J86" s="7">
        <v>43</v>
      </c>
      <c r="K86" s="7">
        <v>1</v>
      </c>
      <c r="L86" s="7">
        <v>11</v>
      </c>
      <c r="M86" s="7">
        <v>154</v>
      </c>
      <c r="N86" s="7">
        <v>7</v>
      </c>
      <c r="O86" s="7">
        <v>34</v>
      </c>
      <c r="P86" s="7">
        <v>39</v>
      </c>
      <c r="Q86" s="7">
        <v>6</v>
      </c>
      <c r="R86" s="7">
        <v>7.8</v>
      </c>
      <c r="S86" s="7">
        <v>6.6507168000000014</v>
      </c>
      <c r="T86" s="7">
        <v>44</v>
      </c>
      <c r="U86" s="7">
        <v>1.1818181818181821</v>
      </c>
    </row>
    <row r="87" spans="1:21" x14ac:dyDescent="0.3">
      <c r="A87" s="7" t="s">
        <v>96</v>
      </c>
      <c r="B87" s="7" t="s">
        <v>97</v>
      </c>
      <c r="C87" s="7" t="s">
        <v>144</v>
      </c>
      <c r="D87" s="7">
        <v>6</v>
      </c>
      <c r="E87" s="7">
        <v>360</v>
      </c>
      <c r="F87" s="7">
        <v>67</v>
      </c>
      <c r="G87" s="7">
        <v>12</v>
      </c>
      <c r="H87" s="7">
        <v>103</v>
      </c>
      <c r="I87" s="7" t="s">
        <v>173</v>
      </c>
      <c r="J87" s="7">
        <v>3</v>
      </c>
      <c r="K87" s="7">
        <v>13</v>
      </c>
      <c r="L87" s="7">
        <v>11</v>
      </c>
      <c r="M87" s="7">
        <v>210</v>
      </c>
      <c r="N87" s="7">
        <v>7</v>
      </c>
      <c r="O87" s="7">
        <v>45.9</v>
      </c>
      <c r="P87" s="7">
        <v>37</v>
      </c>
      <c r="Q87" s="7">
        <v>8</v>
      </c>
      <c r="R87" s="7">
        <v>8.1999999999999993</v>
      </c>
      <c r="S87" s="7">
        <v>9.6387200000000011</v>
      </c>
      <c r="T87" s="7">
        <v>16</v>
      </c>
      <c r="U87" s="7">
        <v>3.25</v>
      </c>
    </row>
    <row r="88" spans="1:21" x14ac:dyDescent="0.3">
      <c r="A88" s="7" t="s">
        <v>96</v>
      </c>
      <c r="B88" s="7" t="s">
        <v>97</v>
      </c>
      <c r="C88" s="7" t="s">
        <v>144</v>
      </c>
      <c r="D88" s="7">
        <v>7</v>
      </c>
      <c r="E88" s="7">
        <v>310</v>
      </c>
      <c r="F88" s="7">
        <v>57</v>
      </c>
      <c r="G88" s="7">
        <v>10</v>
      </c>
      <c r="H88" s="7">
        <v>60</v>
      </c>
      <c r="I88" s="7" t="s">
        <v>178</v>
      </c>
      <c r="J88" s="7">
        <v>46</v>
      </c>
      <c r="K88" s="7">
        <v>4</v>
      </c>
      <c r="L88" s="7">
        <v>11</v>
      </c>
      <c r="M88" s="7">
        <v>145</v>
      </c>
      <c r="N88" s="7">
        <v>6</v>
      </c>
      <c r="O88" s="7">
        <v>28.1</v>
      </c>
      <c r="P88" s="7">
        <v>38</v>
      </c>
      <c r="Q88" s="7">
        <v>6</v>
      </c>
      <c r="R88" s="7">
        <v>7.4</v>
      </c>
      <c r="S88" s="7">
        <v>7.2067968000000002</v>
      </c>
      <c r="T88" s="7">
        <v>50</v>
      </c>
      <c r="U88" s="7">
        <v>1.04</v>
      </c>
    </row>
    <row r="89" spans="1:21" x14ac:dyDescent="0.3">
      <c r="A89" s="7" t="s">
        <v>96</v>
      </c>
      <c r="B89" s="7" t="s">
        <v>97</v>
      </c>
      <c r="C89" s="7" t="s">
        <v>144</v>
      </c>
      <c r="D89" s="7">
        <v>8</v>
      </c>
      <c r="E89" s="7">
        <v>327</v>
      </c>
      <c r="F89" s="7">
        <v>63</v>
      </c>
      <c r="G89" s="7">
        <v>11</v>
      </c>
      <c r="H89" s="7">
        <v>102</v>
      </c>
      <c r="I89" s="7" t="s">
        <v>179</v>
      </c>
      <c r="J89" s="7">
        <v>49</v>
      </c>
      <c r="K89" s="7">
        <v>7</v>
      </c>
      <c r="L89" s="7"/>
      <c r="M89" s="7"/>
      <c r="N89" s="7"/>
      <c r="O89" s="7"/>
      <c r="P89" s="7"/>
      <c r="Q89" s="7"/>
      <c r="R89" s="7"/>
      <c r="S89" s="7"/>
      <c r="T89" s="7">
        <v>56</v>
      </c>
      <c r="U89" s="7">
        <v>0.9285714285714286</v>
      </c>
    </row>
    <row r="90" spans="1:21" x14ac:dyDescent="0.3">
      <c r="A90" s="7" t="s">
        <v>96</v>
      </c>
      <c r="B90" s="7" t="s">
        <v>97</v>
      </c>
      <c r="C90" s="7" t="s">
        <v>144</v>
      </c>
      <c r="D90" s="7">
        <v>9</v>
      </c>
      <c r="E90" s="7">
        <v>312</v>
      </c>
      <c r="F90" s="7">
        <v>58</v>
      </c>
      <c r="G90" s="7">
        <v>12</v>
      </c>
      <c r="H90" s="7">
        <v>88</v>
      </c>
      <c r="I90" s="7" t="s">
        <v>173</v>
      </c>
      <c r="J90" s="7">
        <v>3</v>
      </c>
      <c r="K90" s="7">
        <v>13</v>
      </c>
      <c r="L90" s="7">
        <v>11</v>
      </c>
      <c r="M90" s="7">
        <v>133</v>
      </c>
      <c r="N90" s="7">
        <v>6</v>
      </c>
      <c r="O90" s="7">
        <v>27.8</v>
      </c>
      <c r="P90" s="7">
        <v>38</v>
      </c>
      <c r="Q90" s="7">
        <v>6</v>
      </c>
      <c r="R90" s="7">
        <v>7.8</v>
      </c>
      <c r="S90" s="7">
        <v>5.8722047999999996</v>
      </c>
      <c r="T90" s="7">
        <v>16</v>
      </c>
      <c r="U90" s="7">
        <v>3.25</v>
      </c>
    </row>
    <row r="91" spans="1:21" x14ac:dyDescent="0.3">
      <c r="A91" s="7" t="s">
        <v>96</v>
      </c>
      <c r="B91" s="7" t="s">
        <v>97</v>
      </c>
      <c r="C91" s="7" t="s">
        <v>144</v>
      </c>
      <c r="D91" s="7">
        <v>10</v>
      </c>
      <c r="E91" s="7">
        <v>338</v>
      </c>
      <c r="F91" s="7">
        <v>61</v>
      </c>
      <c r="G91" s="7">
        <v>13</v>
      </c>
      <c r="H91" s="7">
        <v>55</v>
      </c>
      <c r="I91" s="7" t="s">
        <v>176</v>
      </c>
      <c r="J91" s="7">
        <v>45</v>
      </c>
      <c r="K91" s="7">
        <v>3</v>
      </c>
      <c r="L91" s="7">
        <v>11</v>
      </c>
      <c r="M91" s="7">
        <v>130</v>
      </c>
      <c r="N91" s="7">
        <v>5</v>
      </c>
      <c r="O91" s="7">
        <v>41</v>
      </c>
      <c r="P91" s="7">
        <v>38</v>
      </c>
      <c r="Q91" s="7">
        <v>7</v>
      </c>
      <c r="R91" s="7">
        <v>8.1999999999999993</v>
      </c>
      <c r="S91" s="7">
        <v>5.0841599999999998</v>
      </c>
      <c r="T91" s="7">
        <v>48</v>
      </c>
      <c r="U91" s="7">
        <v>1.083333333333333</v>
      </c>
    </row>
    <row r="92" spans="1:21" x14ac:dyDescent="0.3">
      <c r="A92" s="7" t="s">
        <v>96</v>
      </c>
      <c r="B92" s="7" t="s">
        <v>97</v>
      </c>
      <c r="C92" s="7" t="s">
        <v>144</v>
      </c>
      <c r="D92" s="7">
        <v>11</v>
      </c>
      <c r="E92" s="7">
        <v>303</v>
      </c>
      <c r="F92" s="7">
        <v>60</v>
      </c>
      <c r="G92" s="7">
        <v>12</v>
      </c>
      <c r="H92" s="7">
        <v>90</v>
      </c>
      <c r="I92" s="7" t="s">
        <v>177</v>
      </c>
      <c r="J92" s="7">
        <v>44</v>
      </c>
      <c r="K92" s="7">
        <v>2</v>
      </c>
      <c r="L92" s="7">
        <v>11</v>
      </c>
      <c r="M92" s="7">
        <v>150</v>
      </c>
      <c r="N92" s="7">
        <v>4</v>
      </c>
      <c r="O92" s="7">
        <v>40.5</v>
      </c>
      <c r="P92" s="7">
        <v>38</v>
      </c>
      <c r="Q92" s="7">
        <v>7</v>
      </c>
      <c r="R92" s="7">
        <v>8</v>
      </c>
      <c r="S92" s="7">
        <v>3.914803200000001</v>
      </c>
      <c r="T92" s="7">
        <v>46</v>
      </c>
      <c r="U92" s="7">
        <v>1.130434782608696</v>
      </c>
    </row>
    <row r="93" spans="1:21" x14ac:dyDescent="0.3">
      <c r="A93" s="7" t="s">
        <v>96</v>
      </c>
      <c r="B93" s="7" t="s">
        <v>97</v>
      </c>
      <c r="C93" s="7" t="s">
        <v>144</v>
      </c>
      <c r="D93" s="7">
        <v>12</v>
      </c>
      <c r="E93" s="7">
        <v>315</v>
      </c>
      <c r="F93" s="7">
        <v>59</v>
      </c>
      <c r="G93" s="7">
        <v>13</v>
      </c>
      <c r="H93" s="7">
        <v>87</v>
      </c>
      <c r="I93" s="7" t="s">
        <v>176</v>
      </c>
      <c r="J93" s="7">
        <v>45</v>
      </c>
      <c r="K93" s="7">
        <v>3</v>
      </c>
      <c r="L93" s="7">
        <v>11</v>
      </c>
      <c r="M93" s="7">
        <v>142</v>
      </c>
      <c r="N93" s="7">
        <v>5</v>
      </c>
      <c r="O93" s="7">
        <v>32.200000000000003</v>
      </c>
      <c r="P93" s="7">
        <v>38</v>
      </c>
      <c r="Q93" s="7">
        <v>6</v>
      </c>
      <c r="R93" s="7">
        <v>7.8</v>
      </c>
      <c r="S93" s="7">
        <v>4.5545600000000004</v>
      </c>
      <c r="T93" s="7">
        <v>48</v>
      </c>
      <c r="U93" s="7">
        <v>1.083333333333333</v>
      </c>
    </row>
    <row r="94" spans="1:21" x14ac:dyDescent="0.3">
      <c r="A94" s="7" t="s">
        <v>96</v>
      </c>
      <c r="B94" s="7" t="s">
        <v>97</v>
      </c>
      <c r="C94" s="7" t="s">
        <v>144</v>
      </c>
      <c r="D94" s="7">
        <v>13</v>
      </c>
      <c r="E94" s="7">
        <v>311</v>
      </c>
      <c r="F94" s="7">
        <v>61</v>
      </c>
      <c r="G94" s="7">
        <v>12</v>
      </c>
      <c r="H94" s="7">
        <v>127</v>
      </c>
      <c r="I94" s="7" t="s">
        <v>177</v>
      </c>
      <c r="J94" s="7">
        <v>44</v>
      </c>
      <c r="K94" s="7">
        <v>2</v>
      </c>
      <c r="L94" s="7">
        <v>11</v>
      </c>
      <c r="M94" s="7">
        <v>180</v>
      </c>
      <c r="N94" s="7">
        <v>5</v>
      </c>
      <c r="O94" s="7">
        <v>40</v>
      </c>
      <c r="P94" s="7">
        <v>39</v>
      </c>
      <c r="Q94" s="7">
        <v>7</v>
      </c>
      <c r="R94" s="7">
        <v>8</v>
      </c>
      <c r="S94" s="7">
        <v>5.6481840000000014</v>
      </c>
      <c r="T94" s="7">
        <v>46</v>
      </c>
      <c r="U94" s="7">
        <v>1.130434782608696</v>
      </c>
    </row>
    <row r="95" spans="1:21" x14ac:dyDescent="0.3">
      <c r="A95" s="7" t="s">
        <v>96</v>
      </c>
      <c r="B95" s="7" t="s">
        <v>97</v>
      </c>
      <c r="C95" s="7" t="s">
        <v>144</v>
      </c>
      <c r="D95" s="7">
        <v>14</v>
      </c>
      <c r="E95" s="7">
        <v>262</v>
      </c>
      <c r="F95" s="7">
        <v>53</v>
      </c>
      <c r="G95" s="7">
        <v>8</v>
      </c>
      <c r="H95" s="7">
        <v>97</v>
      </c>
      <c r="I95" s="7" t="s">
        <v>174</v>
      </c>
      <c r="J95" s="7">
        <v>50</v>
      </c>
      <c r="K95" s="7">
        <v>8</v>
      </c>
      <c r="L95" s="7"/>
      <c r="M95" s="7"/>
      <c r="N95" s="7"/>
      <c r="O95" s="7"/>
      <c r="P95" s="7"/>
      <c r="Q95" s="7"/>
      <c r="R95" s="7"/>
      <c r="S95" s="7"/>
      <c r="T95" s="7">
        <v>58</v>
      </c>
      <c r="U95" s="7">
        <v>0.89655172413793105</v>
      </c>
    </row>
    <row r="96" spans="1:21" x14ac:dyDescent="0.3">
      <c r="A96" s="7" t="s">
        <v>96</v>
      </c>
      <c r="B96" s="7" t="s">
        <v>172</v>
      </c>
      <c r="C96" s="7" t="s">
        <v>146</v>
      </c>
      <c r="D96" s="7">
        <v>1</v>
      </c>
      <c r="E96" s="7">
        <v>342</v>
      </c>
      <c r="F96" s="7">
        <v>70</v>
      </c>
      <c r="G96" s="7">
        <v>14</v>
      </c>
      <c r="H96" s="7">
        <v>130</v>
      </c>
      <c r="I96" s="7" t="s">
        <v>178</v>
      </c>
      <c r="J96" s="7">
        <v>46</v>
      </c>
      <c r="K96" s="7">
        <v>4</v>
      </c>
      <c r="L96" s="7">
        <v>11</v>
      </c>
      <c r="M96" s="7">
        <v>190</v>
      </c>
      <c r="N96" s="7">
        <v>5</v>
      </c>
      <c r="O96" s="7">
        <v>49.5</v>
      </c>
      <c r="P96" s="7">
        <v>39</v>
      </c>
      <c r="Q96" s="7">
        <v>8</v>
      </c>
      <c r="R96" s="7">
        <v>8.1999999999999993</v>
      </c>
      <c r="S96" s="7">
        <v>5.7196800000000003</v>
      </c>
      <c r="T96" s="7">
        <v>50</v>
      </c>
      <c r="U96" s="7">
        <v>1.04</v>
      </c>
    </row>
    <row r="97" spans="1:21" x14ac:dyDescent="0.3">
      <c r="A97" s="7" t="s">
        <v>96</v>
      </c>
      <c r="B97" s="7" t="s">
        <v>172</v>
      </c>
      <c r="C97" s="7" t="s">
        <v>146</v>
      </c>
      <c r="D97" s="7">
        <v>2</v>
      </c>
      <c r="E97" s="7">
        <v>300</v>
      </c>
      <c r="F97" s="7">
        <v>60</v>
      </c>
      <c r="G97" s="7">
        <v>12</v>
      </c>
      <c r="H97" s="7">
        <v>80</v>
      </c>
      <c r="I97" s="7" t="s">
        <v>176</v>
      </c>
      <c r="J97" s="7">
        <v>1</v>
      </c>
      <c r="K97" s="7">
        <v>11</v>
      </c>
      <c r="L97" s="7"/>
      <c r="M97" s="7"/>
      <c r="N97" s="7"/>
      <c r="O97" s="7"/>
      <c r="P97" s="7"/>
      <c r="Q97" s="7"/>
      <c r="R97" s="7"/>
      <c r="S97" s="7"/>
      <c r="T97" s="7">
        <v>12</v>
      </c>
      <c r="U97" s="7">
        <v>4.333333333333333</v>
      </c>
    </row>
    <row r="98" spans="1:21" x14ac:dyDescent="0.3">
      <c r="A98" s="7" t="s">
        <v>96</v>
      </c>
      <c r="B98" s="7" t="s">
        <v>172</v>
      </c>
      <c r="C98" s="7" t="s">
        <v>146</v>
      </c>
      <c r="D98" s="7">
        <v>3</v>
      </c>
      <c r="E98" s="7">
        <v>335</v>
      </c>
      <c r="F98" s="7">
        <v>67</v>
      </c>
      <c r="G98" s="7">
        <v>12</v>
      </c>
      <c r="H98" s="7">
        <v>100</v>
      </c>
      <c r="I98" s="7" t="s">
        <v>177</v>
      </c>
      <c r="J98" s="7">
        <v>44</v>
      </c>
      <c r="K98" s="7">
        <v>2</v>
      </c>
      <c r="L98" s="7">
        <v>11</v>
      </c>
      <c r="M98" s="7">
        <v>165</v>
      </c>
      <c r="N98" s="7">
        <v>6</v>
      </c>
      <c r="O98" s="7">
        <v>44</v>
      </c>
      <c r="P98" s="7">
        <v>39</v>
      </c>
      <c r="Q98" s="7">
        <v>7</v>
      </c>
      <c r="R98" s="7">
        <v>8.1999999999999993</v>
      </c>
      <c r="S98" s="7">
        <v>6.8636160000000022</v>
      </c>
      <c r="T98" s="7">
        <v>46</v>
      </c>
      <c r="U98" s="7">
        <v>1.130434782608696</v>
      </c>
    </row>
    <row r="99" spans="1:21" x14ac:dyDescent="0.3">
      <c r="A99" s="7" t="s">
        <v>96</v>
      </c>
      <c r="B99" s="7" t="s">
        <v>172</v>
      </c>
      <c r="C99" s="7" t="s">
        <v>146</v>
      </c>
      <c r="D99" s="7">
        <v>4</v>
      </c>
      <c r="E99" s="7">
        <v>296</v>
      </c>
      <c r="F99" s="7">
        <v>61</v>
      </c>
      <c r="G99" s="7">
        <v>11</v>
      </c>
      <c r="H99" s="7">
        <v>64</v>
      </c>
      <c r="I99" s="7" t="s">
        <v>173</v>
      </c>
      <c r="J99" s="7">
        <v>3</v>
      </c>
      <c r="K99" s="7">
        <v>13</v>
      </c>
      <c r="L99" s="7">
        <v>11</v>
      </c>
      <c r="M99" s="7">
        <v>105</v>
      </c>
      <c r="N99" s="7">
        <v>4</v>
      </c>
      <c r="O99" s="7">
        <v>41</v>
      </c>
      <c r="P99" s="7">
        <v>38</v>
      </c>
      <c r="Q99" s="7">
        <v>7</v>
      </c>
      <c r="R99" s="7">
        <v>8.1999999999999993</v>
      </c>
      <c r="S99" s="7">
        <v>4.2876416000000006</v>
      </c>
      <c r="T99" s="7">
        <v>16</v>
      </c>
      <c r="U99" s="7">
        <v>3.25</v>
      </c>
    </row>
    <row r="100" spans="1:21" x14ac:dyDescent="0.3">
      <c r="A100" s="7" t="s">
        <v>96</v>
      </c>
      <c r="B100" s="7" t="s">
        <v>172</v>
      </c>
      <c r="C100" s="7" t="s">
        <v>146</v>
      </c>
      <c r="D100" s="7">
        <v>5</v>
      </c>
      <c r="E100" s="7">
        <v>352</v>
      </c>
      <c r="F100" s="7">
        <v>65</v>
      </c>
      <c r="G100" s="7">
        <v>12</v>
      </c>
      <c r="H100" s="7">
        <v>95</v>
      </c>
      <c r="I100" s="7" t="s">
        <v>176</v>
      </c>
      <c r="J100" s="7">
        <v>45</v>
      </c>
      <c r="K100" s="7">
        <v>3</v>
      </c>
      <c r="L100" s="7">
        <v>10</v>
      </c>
      <c r="M100" s="7">
        <v>164</v>
      </c>
      <c r="N100" s="7">
        <v>5</v>
      </c>
      <c r="O100" s="7">
        <v>44.4</v>
      </c>
      <c r="P100" s="7">
        <v>39</v>
      </c>
      <c r="Q100" s="7">
        <v>7</v>
      </c>
      <c r="R100" s="7">
        <v>8.4</v>
      </c>
      <c r="S100" s="7">
        <v>6.0374400000000001</v>
      </c>
      <c r="T100" s="7">
        <v>48</v>
      </c>
      <c r="U100" s="7">
        <v>1.083333333333333</v>
      </c>
    </row>
    <row r="101" spans="1:21" x14ac:dyDescent="0.3">
      <c r="A101" s="7" t="s">
        <v>96</v>
      </c>
      <c r="B101" s="7" t="s">
        <v>172</v>
      </c>
      <c r="C101" s="7" t="s">
        <v>146</v>
      </c>
      <c r="D101" s="7">
        <v>6</v>
      </c>
      <c r="E101" s="7">
        <v>300</v>
      </c>
      <c r="F101" s="7">
        <v>56</v>
      </c>
      <c r="G101" s="7">
        <v>13</v>
      </c>
      <c r="H101" s="7">
        <v>58</v>
      </c>
      <c r="I101" s="7" t="s">
        <v>178</v>
      </c>
      <c r="J101" s="7">
        <v>46</v>
      </c>
      <c r="K101" s="7">
        <v>4</v>
      </c>
      <c r="L101" s="7">
        <v>11</v>
      </c>
      <c r="M101" s="7">
        <v>126</v>
      </c>
      <c r="N101" s="7">
        <v>4</v>
      </c>
      <c r="O101" s="7">
        <v>34</v>
      </c>
      <c r="P101" s="7">
        <v>39</v>
      </c>
      <c r="Q101" s="7">
        <v>6</v>
      </c>
      <c r="R101" s="7">
        <v>7.6</v>
      </c>
      <c r="S101" s="7">
        <v>3.914803200000001</v>
      </c>
      <c r="T101" s="7">
        <v>50</v>
      </c>
      <c r="U101" s="7">
        <v>1.04</v>
      </c>
    </row>
    <row r="102" spans="1:21" x14ac:dyDescent="0.3">
      <c r="A102" s="7" t="s">
        <v>96</v>
      </c>
      <c r="B102" s="7" t="s">
        <v>172</v>
      </c>
      <c r="C102" s="7" t="s">
        <v>146</v>
      </c>
      <c r="D102" s="7">
        <v>7</v>
      </c>
      <c r="E102" s="7">
        <v>338</v>
      </c>
      <c r="F102" s="7">
        <v>64</v>
      </c>
      <c r="G102" s="7">
        <v>11</v>
      </c>
      <c r="H102" s="7">
        <v>110</v>
      </c>
      <c r="I102" s="7" t="s">
        <v>175</v>
      </c>
      <c r="J102" s="7">
        <v>43</v>
      </c>
      <c r="K102" s="7">
        <v>1</v>
      </c>
      <c r="L102" s="7">
        <v>11</v>
      </c>
      <c r="M102" s="7">
        <v>185</v>
      </c>
      <c r="N102" s="7">
        <v>6</v>
      </c>
      <c r="O102" s="7">
        <v>41</v>
      </c>
      <c r="P102" s="7">
        <v>39</v>
      </c>
      <c r="Q102" s="7">
        <v>7</v>
      </c>
      <c r="R102" s="7">
        <v>7.6</v>
      </c>
      <c r="S102" s="7">
        <v>6.7206240000000008</v>
      </c>
      <c r="T102" s="7">
        <v>44</v>
      </c>
      <c r="U102" s="7">
        <v>1.1818181818181821</v>
      </c>
    </row>
    <row r="103" spans="1:21" x14ac:dyDescent="0.3">
      <c r="A103" s="7" t="s">
        <v>96</v>
      </c>
      <c r="B103" s="7" t="s">
        <v>172</v>
      </c>
      <c r="C103" s="7" t="s">
        <v>146</v>
      </c>
      <c r="D103" s="7">
        <v>8</v>
      </c>
      <c r="E103" s="7">
        <v>284</v>
      </c>
      <c r="F103" s="7">
        <v>57</v>
      </c>
      <c r="G103" s="7">
        <v>14</v>
      </c>
      <c r="H103" s="7">
        <v>96</v>
      </c>
      <c r="I103" s="7" t="s">
        <v>180</v>
      </c>
      <c r="J103" s="7">
        <v>48</v>
      </c>
      <c r="K103" s="7">
        <v>6</v>
      </c>
      <c r="L103" s="7"/>
      <c r="M103" s="7"/>
      <c r="N103" s="7"/>
      <c r="O103" s="7"/>
      <c r="P103" s="7"/>
      <c r="Q103" s="7"/>
      <c r="R103" s="7"/>
      <c r="S103" s="7"/>
      <c r="T103" s="7">
        <v>54</v>
      </c>
      <c r="U103" s="7">
        <v>0.96296296296296291</v>
      </c>
    </row>
    <row r="104" spans="1:21" x14ac:dyDescent="0.3">
      <c r="A104" s="7" t="s">
        <v>96</v>
      </c>
      <c r="B104" s="7" t="s">
        <v>172</v>
      </c>
      <c r="C104" s="7" t="s">
        <v>146</v>
      </c>
      <c r="D104" s="7">
        <v>9</v>
      </c>
      <c r="E104" s="7">
        <v>355</v>
      </c>
      <c r="F104" s="7">
        <v>66</v>
      </c>
      <c r="G104" s="7">
        <v>12</v>
      </c>
      <c r="H104" s="7">
        <v>150</v>
      </c>
      <c r="I104" s="7" t="s">
        <v>175</v>
      </c>
      <c r="J104" s="7">
        <v>43</v>
      </c>
      <c r="K104" s="7">
        <v>1</v>
      </c>
      <c r="L104" s="7">
        <v>12</v>
      </c>
      <c r="M104" s="7">
        <v>240</v>
      </c>
      <c r="N104" s="7">
        <v>6</v>
      </c>
      <c r="O104" s="7">
        <v>47.3</v>
      </c>
      <c r="P104" s="7">
        <v>40</v>
      </c>
      <c r="Q104" s="7">
        <v>7</v>
      </c>
      <c r="R104" s="7">
        <v>8.4</v>
      </c>
      <c r="S104" s="7">
        <v>6.3552000000000008</v>
      </c>
      <c r="T104" s="7">
        <v>44</v>
      </c>
      <c r="U104" s="7">
        <v>1.1818181818181821</v>
      </c>
    </row>
    <row r="105" spans="1:21" x14ac:dyDescent="0.3">
      <c r="A105" s="7" t="s">
        <v>96</v>
      </c>
      <c r="B105" s="7" t="s">
        <v>172</v>
      </c>
      <c r="C105" s="7" t="s">
        <v>146</v>
      </c>
      <c r="D105" s="7">
        <v>11</v>
      </c>
      <c r="E105" s="7">
        <v>352</v>
      </c>
      <c r="F105" s="7">
        <v>72</v>
      </c>
      <c r="G105" s="7">
        <v>15</v>
      </c>
      <c r="H105" s="7">
        <v>84</v>
      </c>
      <c r="I105" s="7" t="s">
        <v>180</v>
      </c>
      <c r="J105" s="7">
        <v>48</v>
      </c>
      <c r="K105" s="7">
        <v>6</v>
      </c>
      <c r="L105" s="7">
        <v>11</v>
      </c>
      <c r="M105" s="7">
        <v>230</v>
      </c>
      <c r="N105" s="7">
        <v>7</v>
      </c>
      <c r="O105" s="7">
        <v>46</v>
      </c>
      <c r="P105" s="7">
        <v>38</v>
      </c>
      <c r="Q105" s="7">
        <v>8</v>
      </c>
      <c r="R105" s="7">
        <v>8.1999999999999993</v>
      </c>
      <c r="S105" s="7">
        <v>10.65004416</v>
      </c>
      <c r="T105" s="7">
        <v>54</v>
      </c>
      <c r="U105" s="7">
        <v>0.96296296296296291</v>
      </c>
    </row>
    <row r="106" spans="1:21" x14ac:dyDescent="0.3">
      <c r="A106" s="7" t="s">
        <v>96</v>
      </c>
      <c r="B106" s="7" t="s">
        <v>172</v>
      </c>
      <c r="C106" s="7" t="s">
        <v>146</v>
      </c>
      <c r="D106" s="7">
        <v>12</v>
      </c>
      <c r="E106" s="7">
        <v>360</v>
      </c>
      <c r="F106" s="7">
        <v>70</v>
      </c>
      <c r="G106" s="7">
        <v>12</v>
      </c>
      <c r="H106" s="7">
        <v>144</v>
      </c>
      <c r="I106" s="7" t="s">
        <v>175</v>
      </c>
      <c r="J106" s="7">
        <v>43</v>
      </c>
      <c r="K106" s="7">
        <v>1</v>
      </c>
      <c r="L106" s="7">
        <v>12</v>
      </c>
      <c r="M106" s="7">
        <v>183</v>
      </c>
      <c r="N106" s="7">
        <v>5</v>
      </c>
      <c r="O106" s="7">
        <v>49.9</v>
      </c>
      <c r="P106" s="7">
        <v>38</v>
      </c>
      <c r="Q106" s="7">
        <v>8</v>
      </c>
      <c r="R106" s="7">
        <v>8.1999999999999993</v>
      </c>
      <c r="S106" s="7">
        <v>5.5300832</v>
      </c>
      <c r="T106" s="7">
        <v>44</v>
      </c>
      <c r="U106" s="7">
        <v>1.1818181818181821</v>
      </c>
    </row>
    <row r="107" spans="1:21" x14ac:dyDescent="0.3">
      <c r="A107" s="7" t="s">
        <v>96</v>
      </c>
      <c r="B107" s="7" t="s">
        <v>172</v>
      </c>
      <c r="C107" s="7" t="s">
        <v>146</v>
      </c>
      <c r="D107" s="7">
        <v>13</v>
      </c>
      <c r="E107" s="7">
        <v>370</v>
      </c>
      <c r="F107" s="7">
        <v>72</v>
      </c>
      <c r="G107" s="7">
        <v>14</v>
      </c>
      <c r="H107" s="7">
        <v>153</v>
      </c>
      <c r="I107" s="7" t="s">
        <v>181</v>
      </c>
      <c r="J107" s="7">
        <v>45</v>
      </c>
      <c r="K107" s="7">
        <v>3</v>
      </c>
      <c r="L107" s="7">
        <v>11</v>
      </c>
      <c r="M107" s="7">
        <v>215</v>
      </c>
      <c r="N107" s="7">
        <v>6</v>
      </c>
      <c r="O107" s="7">
        <v>43.4</v>
      </c>
      <c r="P107" s="7">
        <v>38</v>
      </c>
      <c r="Q107" s="7">
        <v>7</v>
      </c>
      <c r="R107" s="7">
        <v>7.8</v>
      </c>
      <c r="S107" s="7">
        <v>6.5776320000000004</v>
      </c>
      <c r="T107" s="7">
        <v>48</v>
      </c>
      <c r="U107" s="7">
        <v>1.083333333333333</v>
      </c>
    </row>
    <row r="108" spans="1:21" x14ac:dyDescent="0.3">
      <c r="A108" s="7" t="s">
        <v>96</v>
      </c>
      <c r="B108" s="7" t="s">
        <v>172</v>
      </c>
      <c r="C108" s="7" t="s">
        <v>146</v>
      </c>
      <c r="D108" s="7">
        <v>14</v>
      </c>
      <c r="E108" s="7">
        <v>340</v>
      </c>
      <c r="F108" s="7">
        <v>66</v>
      </c>
      <c r="G108" s="7">
        <v>10</v>
      </c>
      <c r="H108" s="7">
        <v>80</v>
      </c>
      <c r="I108" s="7" t="s">
        <v>179</v>
      </c>
      <c r="J108" s="7">
        <v>49</v>
      </c>
      <c r="K108" s="7">
        <v>7</v>
      </c>
      <c r="L108" s="7"/>
      <c r="M108" s="7"/>
      <c r="N108" s="7"/>
      <c r="O108" s="7"/>
      <c r="P108" s="7"/>
      <c r="Q108" s="7"/>
      <c r="R108" s="7"/>
      <c r="S108" s="7"/>
      <c r="T108" s="7">
        <v>56</v>
      </c>
      <c r="U108" s="7">
        <v>0.9285714285714286</v>
      </c>
    </row>
    <row r="109" spans="1:21" x14ac:dyDescent="0.3">
      <c r="A109" s="7" t="s">
        <v>96</v>
      </c>
      <c r="B109" s="7" t="s">
        <v>109</v>
      </c>
      <c r="C109" s="7" t="s">
        <v>147</v>
      </c>
      <c r="D109" s="7">
        <v>1</v>
      </c>
      <c r="E109" s="7">
        <v>345</v>
      </c>
      <c r="F109" s="7">
        <v>72</v>
      </c>
      <c r="G109" s="7">
        <v>14</v>
      </c>
      <c r="H109" s="7">
        <v>100</v>
      </c>
      <c r="I109" s="7" t="s">
        <v>180</v>
      </c>
      <c r="J109" s="7">
        <v>48</v>
      </c>
      <c r="K109" s="7">
        <v>6</v>
      </c>
      <c r="L109" s="7">
        <v>11</v>
      </c>
      <c r="M109" s="7">
        <v>212</v>
      </c>
      <c r="N109" s="7">
        <v>6</v>
      </c>
      <c r="O109" s="7">
        <v>39</v>
      </c>
      <c r="P109" s="7">
        <v>37</v>
      </c>
      <c r="Q109" s="7">
        <v>7</v>
      </c>
      <c r="R109" s="7">
        <v>8.1999999999999993</v>
      </c>
      <c r="S109" s="7">
        <v>7.3211904000000017</v>
      </c>
      <c r="T109" s="7">
        <v>54</v>
      </c>
      <c r="U109" s="7">
        <v>0.96296296296296291</v>
      </c>
    </row>
    <row r="110" spans="1:21" x14ac:dyDescent="0.3">
      <c r="A110" s="7" t="s">
        <v>96</v>
      </c>
      <c r="B110" s="7" t="s">
        <v>109</v>
      </c>
      <c r="C110" s="7" t="s">
        <v>147</v>
      </c>
      <c r="D110" s="7">
        <v>2</v>
      </c>
      <c r="E110" s="7">
        <v>324</v>
      </c>
      <c r="F110" s="7">
        <v>64</v>
      </c>
      <c r="G110" s="7">
        <v>12</v>
      </c>
      <c r="H110" s="7">
        <v>96</v>
      </c>
      <c r="I110" s="7" t="s">
        <v>180</v>
      </c>
      <c r="J110" s="7">
        <v>48</v>
      </c>
      <c r="K110" s="7">
        <v>6</v>
      </c>
      <c r="L110" s="7"/>
      <c r="M110" s="7"/>
      <c r="N110" s="7"/>
      <c r="O110" s="7"/>
      <c r="P110" s="7"/>
      <c r="Q110" s="7"/>
      <c r="R110" s="7"/>
      <c r="S110" s="7"/>
      <c r="T110" s="7">
        <v>54</v>
      </c>
      <c r="U110" s="7">
        <v>0.96296296296296291</v>
      </c>
    </row>
    <row r="111" spans="1:21" x14ac:dyDescent="0.3">
      <c r="A111" s="7" t="s">
        <v>96</v>
      </c>
      <c r="B111" s="7" t="s">
        <v>109</v>
      </c>
      <c r="C111" s="7" t="s">
        <v>147</v>
      </c>
      <c r="D111" s="7">
        <v>3</v>
      </c>
      <c r="E111" s="7">
        <v>320</v>
      </c>
      <c r="F111" s="7">
        <v>61</v>
      </c>
      <c r="G111" s="7">
        <v>13</v>
      </c>
      <c r="H111" s="7">
        <v>115</v>
      </c>
      <c r="I111" s="7" t="s">
        <v>177</v>
      </c>
      <c r="J111" s="7">
        <v>44</v>
      </c>
      <c r="K111" s="7">
        <v>2</v>
      </c>
      <c r="L111" s="7">
        <v>11</v>
      </c>
      <c r="M111" s="7">
        <v>165</v>
      </c>
      <c r="N111" s="7">
        <v>5</v>
      </c>
      <c r="O111" s="7">
        <v>41</v>
      </c>
      <c r="P111" s="7">
        <v>39</v>
      </c>
      <c r="Q111" s="7">
        <v>7</v>
      </c>
      <c r="R111" s="7">
        <v>8</v>
      </c>
      <c r="S111" s="7">
        <v>4.951760000000001</v>
      </c>
      <c r="T111" s="7">
        <v>46</v>
      </c>
      <c r="U111" s="7">
        <v>1.130434782608696</v>
      </c>
    </row>
    <row r="112" spans="1:21" x14ac:dyDescent="0.3">
      <c r="A112" s="7" t="s">
        <v>96</v>
      </c>
      <c r="B112" s="7" t="s">
        <v>109</v>
      </c>
      <c r="C112" s="7" t="s">
        <v>147</v>
      </c>
      <c r="D112" s="7">
        <v>4</v>
      </c>
      <c r="E112" s="7">
        <v>328</v>
      </c>
      <c r="F112" s="7">
        <v>62</v>
      </c>
      <c r="G112" s="7">
        <v>12</v>
      </c>
      <c r="H112" s="7">
        <v>97</v>
      </c>
      <c r="I112" s="7" t="s">
        <v>173</v>
      </c>
      <c r="J112" s="7">
        <v>3</v>
      </c>
      <c r="K112" s="7">
        <v>13</v>
      </c>
      <c r="L112" s="7">
        <v>11</v>
      </c>
      <c r="M112" s="7">
        <v>152</v>
      </c>
      <c r="N112" s="7">
        <v>5</v>
      </c>
      <c r="O112" s="7">
        <v>40.1</v>
      </c>
      <c r="P112" s="7">
        <v>38</v>
      </c>
      <c r="Q112" s="7">
        <v>7</v>
      </c>
      <c r="R112" s="7">
        <v>8</v>
      </c>
      <c r="S112" s="7">
        <v>5.9580000000000002</v>
      </c>
      <c r="T112" s="7">
        <v>16</v>
      </c>
      <c r="U112" s="7">
        <v>3.25</v>
      </c>
    </row>
    <row r="113" spans="1:21" x14ac:dyDescent="0.3">
      <c r="A113" s="7" t="s">
        <v>96</v>
      </c>
      <c r="B113" s="7" t="s">
        <v>109</v>
      </c>
      <c r="C113" s="7" t="s">
        <v>147</v>
      </c>
      <c r="D113" s="7">
        <v>5</v>
      </c>
      <c r="E113" s="7">
        <v>330</v>
      </c>
      <c r="F113" s="7">
        <v>58</v>
      </c>
      <c r="G113" s="7">
        <v>13</v>
      </c>
      <c r="H113" s="7">
        <v>100</v>
      </c>
      <c r="I113" s="7" t="s">
        <v>177</v>
      </c>
      <c r="J113" s="7">
        <v>44</v>
      </c>
      <c r="K113" s="7">
        <v>2</v>
      </c>
      <c r="L113" s="7">
        <v>11</v>
      </c>
      <c r="M113" s="7">
        <v>160</v>
      </c>
      <c r="N113" s="7">
        <v>5</v>
      </c>
      <c r="O113" s="7">
        <v>41</v>
      </c>
      <c r="P113" s="7">
        <v>39</v>
      </c>
      <c r="Q113" s="7">
        <v>7</v>
      </c>
      <c r="R113" s="7">
        <v>8</v>
      </c>
      <c r="S113" s="7">
        <v>5.3622000000000014</v>
      </c>
      <c r="T113" s="7">
        <v>46</v>
      </c>
      <c r="U113" s="7">
        <v>1.130434782608696</v>
      </c>
    </row>
    <row r="114" spans="1:21" x14ac:dyDescent="0.3">
      <c r="A114" s="7" t="s">
        <v>96</v>
      </c>
      <c r="B114" s="7" t="s">
        <v>109</v>
      </c>
      <c r="C114" s="7" t="s">
        <v>147</v>
      </c>
      <c r="D114" s="7">
        <v>6</v>
      </c>
      <c r="E114" s="7">
        <v>366</v>
      </c>
      <c r="F114" s="7">
        <v>58</v>
      </c>
      <c r="G114" s="7">
        <v>14</v>
      </c>
      <c r="H114" s="7">
        <v>108</v>
      </c>
      <c r="I114" s="7" t="s">
        <v>177</v>
      </c>
      <c r="J114" s="7">
        <v>44</v>
      </c>
      <c r="K114" s="7">
        <v>2</v>
      </c>
      <c r="L114" s="7">
        <v>11</v>
      </c>
      <c r="M114" s="7">
        <v>195</v>
      </c>
      <c r="N114" s="7">
        <v>5</v>
      </c>
      <c r="O114" s="7">
        <v>38</v>
      </c>
      <c r="P114" s="7">
        <v>39</v>
      </c>
      <c r="Q114" s="7">
        <v>6</v>
      </c>
      <c r="R114" s="7">
        <v>8.1999999999999993</v>
      </c>
      <c r="S114" s="7">
        <v>5.1768400000000003</v>
      </c>
      <c r="T114" s="7">
        <v>46</v>
      </c>
      <c r="U114" s="7">
        <v>1.130434782608696</v>
      </c>
    </row>
    <row r="115" spans="1:21" x14ac:dyDescent="0.3">
      <c r="A115" s="7" t="s">
        <v>96</v>
      </c>
      <c r="B115" s="7" t="s">
        <v>109</v>
      </c>
      <c r="C115" s="7" t="s">
        <v>147</v>
      </c>
      <c r="D115" s="7">
        <v>7</v>
      </c>
      <c r="E115" s="7">
        <v>305</v>
      </c>
      <c r="F115" s="7">
        <v>63</v>
      </c>
      <c r="G115" s="7">
        <v>10</v>
      </c>
      <c r="H115" s="7">
        <v>174</v>
      </c>
      <c r="I115" s="7" t="s">
        <v>175</v>
      </c>
      <c r="J115" s="7">
        <v>51</v>
      </c>
      <c r="K115" s="7">
        <v>9</v>
      </c>
      <c r="L115" s="7"/>
      <c r="M115" s="7"/>
      <c r="N115" s="7"/>
      <c r="O115" s="7"/>
      <c r="P115" s="7"/>
      <c r="Q115" s="7"/>
      <c r="R115" s="7"/>
      <c r="S115" s="7"/>
      <c r="T115" s="7">
        <v>60</v>
      </c>
      <c r="U115" s="7">
        <v>0.8666666666666667</v>
      </c>
    </row>
    <row r="116" spans="1:21" x14ac:dyDescent="0.3">
      <c r="A116" s="7" t="s">
        <v>96</v>
      </c>
      <c r="B116" s="7" t="s">
        <v>109</v>
      </c>
      <c r="C116" s="7" t="s">
        <v>147</v>
      </c>
      <c r="D116" s="7">
        <v>8</v>
      </c>
      <c r="E116" s="7">
        <v>311</v>
      </c>
      <c r="F116" s="7">
        <v>65</v>
      </c>
      <c r="G116" s="7">
        <v>8</v>
      </c>
      <c r="H116" s="7">
        <v>190</v>
      </c>
      <c r="I116" s="7" t="s">
        <v>175</v>
      </c>
      <c r="J116" s="7">
        <v>51</v>
      </c>
      <c r="K116" s="7">
        <v>9</v>
      </c>
      <c r="L116" s="7"/>
      <c r="M116" s="7"/>
      <c r="N116" s="7"/>
      <c r="O116" s="7"/>
      <c r="P116" s="7"/>
      <c r="Q116" s="7"/>
      <c r="R116" s="7"/>
      <c r="S116" s="7"/>
      <c r="T116" s="7">
        <v>60</v>
      </c>
      <c r="U116" s="7">
        <v>0.8666666666666667</v>
      </c>
    </row>
    <row r="117" spans="1:21" x14ac:dyDescent="0.3">
      <c r="A117" s="7" t="s">
        <v>96</v>
      </c>
      <c r="B117" s="7" t="s">
        <v>109</v>
      </c>
      <c r="C117" s="7" t="s">
        <v>147</v>
      </c>
      <c r="D117" s="7">
        <v>9</v>
      </c>
      <c r="E117" s="7">
        <v>354</v>
      </c>
      <c r="F117" s="7">
        <v>72</v>
      </c>
      <c r="G117" s="7">
        <v>12</v>
      </c>
      <c r="H117" s="7">
        <v>190</v>
      </c>
      <c r="I117" s="7" t="s">
        <v>178</v>
      </c>
      <c r="J117" s="7">
        <v>46</v>
      </c>
      <c r="K117" s="7">
        <v>4</v>
      </c>
      <c r="L117" s="7">
        <v>11</v>
      </c>
      <c r="M117" s="7">
        <v>205</v>
      </c>
      <c r="N117" s="7">
        <v>6</v>
      </c>
      <c r="O117" s="7">
        <v>48.5</v>
      </c>
      <c r="P117" s="7">
        <v>39</v>
      </c>
      <c r="Q117" s="7">
        <v>8</v>
      </c>
      <c r="R117" s="7">
        <v>8.1999999999999993</v>
      </c>
      <c r="S117" s="7">
        <v>6.8636160000000022</v>
      </c>
      <c r="T117" s="7">
        <v>50</v>
      </c>
      <c r="U117" s="7">
        <v>1.04</v>
      </c>
    </row>
    <row r="118" spans="1:21" x14ac:dyDescent="0.3">
      <c r="A118" s="7" t="s">
        <v>96</v>
      </c>
      <c r="B118" s="7" t="s">
        <v>109</v>
      </c>
      <c r="C118" s="7" t="s">
        <v>147</v>
      </c>
      <c r="D118" s="7">
        <v>10</v>
      </c>
      <c r="E118" s="7">
        <v>311</v>
      </c>
      <c r="F118" s="7">
        <v>64</v>
      </c>
      <c r="G118" s="7">
        <v>10</v>
      </c>
      <c r="H118" s="7">
        <v>171</v>
      </c>
      <c r="I118" s="7" t="s">
        <v>179</v>
      </c>
      <c r="J118" s="7">
        <v>49</v>
      </c>
      <c r="K118" s="7">
        <v>7</v>
      </c>
      <c r="L118" s="7"/>
      <c r="M118" s="7"/>
      <c r="N118" s="7"/>
      <c r="O118" s="7"/>
      <c r="P118" s="7"/>
      <c r="Q118" s="7"/>
      <c r="R118" s="7"/>
      <c r="S118" s="7"/>
      <c r="T118" s="7">
        <v>56</v>
      </c>
      <c r="U118" s="7">
        <v>0.9285714285714286</v>
      </c>
    </row>
    <row r="119" spans="1:21" x14ac:dyDescent="0.3">
      <c r="A119" s="7" t="s">
        <v>96</v>
      </c>
      <c r="B119" s="7" t="s">
        <v>109</v>
      </c>
      <c r="C119" s="7" t="s">
        <v>147</v>
      </c>
      <c r="D119" s="7">
        <v>11</v>
      </c>
      <c r="E119" s="7">
        <v>335</v>
      </c>
      <c r="F119" s="7">
        <v>67</v>
      </c>
      <c r="G119" s="7">
        <v>12</v>
      </c>
      <c r="H119" s="7">
        <v>95</v>
      </c>
      <c r="I119" s="7" t="s">
        <v>178</v>
      </c>
      <c r="J119" s="7">
        <v>46</v>
      </c>
      <c r="K119" s="7">
        <v>4</v>
      </c>
      <c r="L119" s="7">
        <v>11</v>
      </c>
      <c r="M119" s="7">
        <v>177</v>
      </c>
      <c r="N119" s="7">
        <v>5</v>
      </c>
      <c r="O119" s="7">
        <v>43</v>
      </c>
      <c r="P119" s="7">
        <v>38</v>
      </c>
      <c r="Q119" s="7">
        <v>7</v>
      </c>
      <c r="R119" s="7">
        <v>8.1999999999999993</v>
      </c>
      <c r="S119" s="7">
        <v>5.7196800000000003</v>
      </c>
      <c r="T119" s="7">
        <v>50</v>
      </c>
      <c r="U119" s="7">
        <v>1.04</v>
      </c>
    </row>
    <row r="120" spans="1:21" x14ac:dyDescent="0.3">
      <c r="A120" s="7" t="s">
        <v>96</v>
      </c>
      <c r="B120" s="7" t="s">
        <v>109</v>
      </c>
      <c r="C120" s="7" t="s">
        <v>147</v>
      </c>
      <c r="D120" s="7">
        <v>12</v>
      </c>
      <c r="E120" s="7">
        <v>316</v>
      </c>
      <c r="F120" s="7">
        <v>61</v>
      </c>
      <c r="G120" s="7">
        <v>11</v>
      </c>
      <c r="H120" s="7">
        <v>80</v>
      </c>
      <c r="I120" s="7" t="s">
        <v>175</v>
      </c>
      <c r="J120" s="7">
        <v>43</v>
      </c>
      <c r="K120" s="7">
        <v>1</v>
      </c>
      <c r="L120" s="7">
        <v>11</v>
      </c>
      <c r="M120" s="7">
        <v>184</v>
      </c>
      <c r="N120" s="7">
        <v>7</v>
      </c>
      <c r="O120" s="7">
        <v>42</v>
      </c>
      <c r="P120" s="7">
        <v>39</v>
      </c>
      <c r="Q120" s="7">
        <v>7</v>
      </c>
      <c r="R120" s="7">
        <v>7.8</v>
      </c>
      <c r="S120" s="7">
        <v>6.5246720000000016</v>
      </c>
      <c r="T120" s="7">
        <v>44</v>
      </c>
      <c r="U120" s="7">
        <v>1.1818181818181821</v>
      </c>
    </row>
    <row r="121" spans="1:21" x14ac:dyDescent="0.3">
      <c r="A121" s="7" t="s">
        <v>96</v>
      </c>
      <c r="B121" s="7" t="s">
        <v>109</v>
      </c>
      <c r="C121" s="7" t="s">
        <v>147</v>
      </c>
      <c r="D121" s="7">
        <v>13</v>
      </c>
      <c r="E121" s="7">
        <v>325</v>
      </c>
      <c r="F121" s="7">
        <v>60</v>
      </c>
      <c r="G121" s="7">
        <v>10</v>
      </c>
      <c r="H121" s="7">
        <v>100</v>
      </c>
      <c r="I121" s="7" t="s">
        <v>177</v>
      </c>
      <c r="J121" s="7">
        <v>44</v>
      </c>
      <c r="K121" s="7">
        <v>1</v>
      </c>
      <c r="L121" s="7">
        <v>10</v>
      </c>
      <c r="M121" s="7">
        <v>190</v>
      </c>
      <c r="N121" s="7">
        <v>6</v>
      </c>
      <c r="O121" s="7">
        <v>38</v>
      </c>
      <c r="P121" s="7">
        <v>39</v>
      </c>
      <c r="Q121" s="7">
        <v>7</v>
      </c>
      <c r="R121" s="7">
        <v>8</v>
      </c>
      <c r="S121" s="7">
        <v>6.2122080000000004</v>
      </c>
      <c r="T121" s="7">
        <v>45</v>
      </c>
      <c r="U121" s="7">
        <v>1.155555555555555</v>
      </c>
    </row>
    <row r="122" spans="1:21" x14ac:dyDescent="0.3">
      <c r="A122" s="7" t="s">
        <v>96</v>
      </c>
      <c r="B122" s="7" t="s">
        <v>109</v>
      </c>
      <c r="C122" s="7" t="s">
        <v>147</v>
      </c>
      <c r="D122" s="7">
        <v>14</v>
      </c>
      <c r="E122" s="7">
        <v>325</v>
      </c>
      <c r="F122" s="7">
        <v>70</v>
      </c>
      <c r="G122" s="7">
        <v>11</v>
      </c>
      <c r="H122" s="7">
        <v>140</v>
      </c>
      <c r="I122" s="7" t="s">
        <v>179</v>
      </c>
      <c r="J122" s="7">
        <v>49</v>
      </c>
      <c r="K122" s="7">
        <v>7</v>
      </c>
      <c r="L122" s="7"/>
      <c r="M122" s="7"/>
      <c r="N122" s="7"/>
      <c r="O122" s="7"/>
      <c r="P122" s="7"/>
      <c r="Q122" s="7"/>
      <c r="R122" s="7"/>
      <c r="S122" s="7"/>
      <c r="T122" s="7">
        <v>56</v>
      </c>
      <c r="U122" s="7">
        <v>0.9285714285714286</v>
      </c>
    </row>
    <row r="123" spans="1:21" x14ac:dyDescent="0.3">
      <c r="A123" s="7" t="s">
        <v>96</v>
      </c>
      <c r="B123" s="7" t="s">
        <v>97</v>
      </c>
      <c r="C123" s="7" t="s">
        <v>146</v>
      </c>
      <c r="D123" s="7">
        <v>2</v>
      </c>
      <c r="E123" s="7">
        <v>285</v>
      </c>
      <c r="F123" s="7">
        <v>57</v>
      </c>
      <c r="G123" s="7">
        <v>11</v>
      </c>
      <c r="H123" s="7">
        <v>100</v>
      </c>
      <c r="I123" s="7" t="s">
        <v>173</v>
      </c>
      <c r="J123" s="7">
        <v>47</v>
      </c>
      <c r="K123" s="7">
        <v>5</v>
      </c>
      <c r="L123" s="7">
        <v>11</v>
      </c>
      <c r="M123" s="7">
        <v>180</v>
      </c>
      <c r="N123" s="7">
        <v>5</v>
      </c>
      <c r="O123" s="7">
        <v>31.2</v>
      </c>
      <c r="P123" s="7">
        <v>38</v>
      </c>
      <c r="Q123" s="7">
        <v>6</v>
      </c>
      <c r="R123" s="7">
        <v>8</v>
      </c>
      <c r="S123" s="7">
        <v>4.5685944000000012</v>
      </c>
      <c r="T123" s="7">
        <v>52</v>
      </c>
      <c r="U123" s="7">
        <v>1</v>
      </c>
    </row>
    <row r="124" spans="1:21" x14ac:dyDescent="0.3">
      <c r="A124" s="7" t="s">
        <v>96</v>
      </c>
      <c r="B124" s="7" t="s">
        <v>97</v>
      </c>
      <c r="C124" s="7" t="s">
        <v>146</v>
      </c>
      <c r="D124" s="7">
        <v>3</v>
      </c>
      <c r="E124" s="7">
        <v>330</v>
      </c>
      <c r="F124" s="7">
        <v>64</v>
      </c>
      <c r="G124" s="7">
        <v>12</v>
      </c>
      <c r="H124" s="7">
        <v>84</v>
      </c>
      <c r="I124" s="7" t="s">
        <v>175</v>
      </c>
      <c r="J124" s="7">
        <v>43</v>
      </c>
      <c r="K124" s="7">
        <v>1</v>
      </c>
      <c r="L124" s="7">
        <v>11</v>
      </c>
      <c r="M124" s="7">
        <v>165</v>
      </c>
      <c r="N124" s="7">
        <v>7</v>
      </c>
      <c r="O124" s="7">
        <v>41</v>
      </c>
      <c r="P124" s="7">
        <v>39</v>
      </c>
      <c r="Q124" s="7">
        <v>7</v>
      </c>
      <c r="R124" s="7">
        <v>8.1999999999999993</v>
      </c>
      <c r="S124" s="7">
        <v>6.7749079999999999</v>
      </c>
      <c r="T124" s="7">
        <v>44</v>
      </c>
      <c r="U124" s="7">
        <v>1.1818181818181821</v>
      </c>
    </row>
    <row r="125" spans="1:21" x14ac:dyDescent="0.3">
      <c r="A125" s="7" t="s">
        <v>96</v>
      </c>
      <c r="B125" s="7" t="s">
        <v>97</v>
      </c>
      <c r="C125" s="7" t="s">
        <v>146</v>
      </c>
      <c r="D125" s="7">
        <v>4</v>
      </c>
      <c r="E125" s="7">
        <v>307</v>
      </c>
      <c r="F125" s="7">
        <v>63</v>
      </c>
      <c r="G125" s="7">
        <v>13</v>
      </c>
      <c r="H125" s="7">
        <v>105</v>
      </c>
      <c r="I125" s="7" t="s">
        <v>173</v>
      </c>
      <c r="J125" s="7">
        <v>47</v>
      </c>
      <c r="K125" s="7">
        <v>5</v>
      </c>
      <c r="L125" s="7">
        <v>11</v>
      </c>
      <c r="M125" s="7">
        <v>190</v>
      </c>
      <c r="N125" s="7">
        <v>4</v>
      </c>
      <c r="O125" s="7">
        <v>40</v>
      </c>
      <c r="P125" s="7">
        <v>39</v>
      </c>
      <c r="Q125" s="7">
        <v>7</v>
      </c>
      <c r="R125" s="7">
        <v>8</v>
      </c>
      <c r="S125" s="7">
        <v>3.8681983999999998</v>
      </c>
      <c r="T125" s="7">
        <v>52</v>
      </c>
      <c r="U125" s="7">
        <v>1</v>
      </c>
    </row>
    <row r="126" spans="1:21" x14ac:dyDescent="0.3">
      <c r="A126" s="7" t="s">
        <v>96</v>
      </c>
      <c r="B126" s="7" t="s">
        <v>97</v>
      </c>
      <c r="C126" s="7" t="s">
        <v>146</v>
      </c>
      <c r="D126" s="7">
        <v>5</v>
      </c>
      <c r="E126" s="7">
        <v>310</v>
      </c>
      <c r="F126" s="7">
        <v>66</v>
      </c>
      <c r="G126" s="7">
        <v>13</v>
      </c>
      <c r="H126" s="7">
        <v>107</v>
      </c>
      <c r="I126" s="7" t="s">
        <v>173</v>
      </c>
      <c r="J126" s="7">
        <v>47</v>
      </c>
      <c r="K126" s="7">
        <v>5</v>
      </c>
      <c r="L126" s="7">
        <v>11</v>
      </c>
      <c r="M126" s="7">
        <v>195</v>
      </c>
      <c r="N126" s="7">
        <v>5</v>
      </c>
      <c r="O126" s="7">
        <v>43</v>
      </c>
      <c r="P126" s="7">
        <v>39</v>
      </c>
      <c r="Q126" s="7">
        <v>7</v>
      </c>
      <c r="R126" s="7">
        <v>8</v>
      </c>
      <c r="S126" s="7">
        <v>5.3595520000000008</v>
      </c>
      <c r="T126" s="7">
        <v>52</v>
      </c>
      <c r="U126" s="7">
        <v>1</v>
      </c>
    </row>
    <row r="127" spans="1:21" x14ac:dyDescent="0.3">
      <c r="A127" s="7" t="s">
        <v>96</v>
      </c>
      <c r="B127" s="7" t="s">
        <v>97</v>
      </c>
      <c r="C127" s="7" t="s">
        <v>146</v>
      </c>
      <c r="D127" s="7">
        <v>6</v>
      </c>
      <c r="E127" s="7">
        <v>314</v>
      </c>
      <c r="F127" s="7">
        <v>62</v>
      </c>
      <c r="G127" s="7">
        <v>12</v>
      </c>
      <c r="H127" s="7">
        <v>94</v>
      </c>
      <c r="I127" s="7" t="s">
        <v>173</v>
      </c>
      <c r="J127" s="7">
        <v>47</v>
      </c>
      <c r="K127" s="7">
        <v>5</v>
      </c>
      <c r="L127" s="7">
        <v>11</v>
      </c>
      <c r="M127" s="7">
        <v>155</v>
      </c>
      <c r="N127" s="7">
        <v>5</v>
      </c>
      <c r="O127" s="7">
        <v>38.9</v>
      </c>
      <c r="P127" s="7">
        <v>37</v>
      </c>
      <c r="Q127" s="7">
        <v>7</v>
      </c>
      <c r="R127" s="7">
        <v>8</v>
      </c>
      <c r="S127" s="7">
        <v>5.9580000000000002</v>
      </c>
      <c r="T127" s="7">
        <v>52</v>
      </c>
      <c r="U127" s="7">
        <v>1</v>
      </c>
    </row>
    <row r="128" spans="1:21" x14ac:dyDescent="0.3">
      <c r="A128" s="7" t="s">
        <v>96</v>
      </c>
      <c r="B128" s="7" t="s">
        <v>97</v>
      </c>
      <c r="C128" s="7" t="s">
        <v>146</v>
      </c>
      <c r="D128" s="7">
        <v>7</v>
      </c>
      <c r="E128" s="7">
        <v>330</v>
      </c>
      <c r="F128" s="7">
        <v>64</v>
      </c>
      <c r="G128" s="7">
        <v>14</v>
      </c>
      <c r="H128" s="7">
        <v>110</v>
      </c>
      <c r="I128" s="7" t="s">
        <v>177</v>
      </c>
      <c r="J128" s="7">
        <v>44</v>
      </c>
      <c r="K128" s="7">
        <v>2</v>
      </c>
      <c r="L128" s="7">
        <v>11</v>
      </c>
      <c r="M128" s="7">
        <v>180</v>
      </c>
      <c r="N128" s="7">
        <v>6</v>
      </c>
      <c r="O128" s="7">
        <v>42.2</v>
      </c>
      <c r="P128" s="7">
        <v>39</v>
      </c>
      <c r="Q128" s="7">
        <v>7</v>
      </c>
      <c r="R128" s="7">
        <v>8</v>
      </c>
      <c r="S128" s="7">
        <v>5.5385568000000003</v>
      </c>
      <c r="T128" s="7">
        <v>46</v>
      </c>
      <c r="U128" s="7">
        <v>1.130434782608696</v>
      </c>
    </row>
    <row r="129" spans="1:21" x14ac:dyDescent="0.3">
      <c r="A129" s="7" t="s">
        <v>96</v>
      </c>
      <c r="B129" s="7" t="s">
        <v>97</v>
      </c>
      <c r="C129" s="7" t="s">
        <v>146</v>
      </c>
      <c r="D129" s="7">
        <v>8</v>
      </c>
      <c r="E129" s="7">
        <v>336</v>
      </c>
      <c r="F129" s="7">
        <v>64</v>
      </c>
      <c r="G129" s="7">
        <v>14</v>
      </c>
      <c r="H129" s="7">
        <v>110</v>
      </c>
      <c r="I129" s="7" t="s">
        <v>177</v>
      </c>
      <c r="J129" s="7">
        <v>44</v>
      </c>
      <c r="K129" s="7">
        <v>2</v>
      </c>
      <c r="L129" s="7">
        <v>11</v>
      </c>
      <c r="M129" s="7">
        <v>172</v>
      </c>
      <c r="N129" s="7">
        <v>4</v>
      </c>
      <c r="O129" s="7">
        <v>41.5</v>
      </c>
      <c r="P129" s="7">
        <v>39</v>
      </c>
      <c r="Q129" s="7">
        <v>7</v>
      </c>
      <c r="R129" s="7">
        <v>8.1999999999999993</v>
      </c>
      <c r="S129" s="7">
        <v>3.9084479999999999</v>
      </c>
      <c r="T129" s="7">
        <v>46</v>
      </c>
      <c r="U129" s="7">
        <v>1.130434782608696</v>
      </c>
    </row>
    <row r="130" spans="1:21" x14ac:dyDescent="0.3">
      <c r="A130" s="7" t="s">
        <v>96</v>
      </c>
      <c r="B130" s="7" t="s">
        <v>97</v>
      </c>
      <c r="C130" s="7" t="s">
        <v>146</v>
      </c>
      <c r="D130" s="7">
        <v>9</v>
      </c>
      <c r="E130" s="7">
        <v>326</v>
      </c>
      <c r="F130" s="7">
        <v>60</v>
      </c>
      <c r="G130" s="7">
        <v>11</v>
      </c>
      <c r="H130" s="7">
        <v>100</v>
      </c>
      <c r="I130" s="7" t="s">
        <v>174</v>
      </c>
      <c r="J130" s="7">
        <v>42</v>
      </c>
      <c r="K130" s="7">
        <v>52</v>
      </c>
      <c r="L130" s="7">
        <v>11</v>
      </c>
      <c r="M130" s="7">
        <v>190</v>
      </c>
      <c r="N130" s="7">
        <v>4</v>
      </c>
      <c r="O130" s="7">
        <v>40</v>
      </c>
      <c r="P130" s="7">
        <v>39</v>
      </c>
      <c r="Q130" s="7">
        <v>7</v>
      </c>
      <c r="R130" s="7">
        <v>8</v>
      </c>
      <c r="S130" s="7">
        <v>4.0821568000000008</v>
      </c>
      <c r="T130" s="7">
        <v>94</v>
      </c>
      <c r="U130" s="7">
        <v>0.55319148936170215</v>
      </c>
    </row>
    <row r="131" spans="1:21" x14ac:dyDescent="0.3">
      <c r="A131" s="7" t="s">
        <v>96</v>
      </c>
      <c r="B131" s="7" t="s">
        <v>97</v>
      </c>
      <c r="C131" s="7" t="s">
        <v>146</v>
      </c>
      <c r="D131" s="7">
        <v>10</v>
      </c>
      <c r="E131" s="7">
        <v>323</v>
      </c>
      <c r="F131" s="7">
        <v>61</v>
      </c>
      <c r="G131" s="7">
        <v>12</v>
      </c>
      <c r="H131" s="7">
        <v>90</v>
      </c>
      <c r="I131" s="7" t="s">
        <v>177</v>
      </c>
      <c r="J131" s="7">
        <v>44</v>
      </c>
      <c r="K131" s="7">
        <v>2</v>
      </c>
      <c r="L131" s="7">
        <v>11</v>
      </c>
      <c r="M131" s="7">
        <v>160</v>
      </c>
      <c r="N131" s="7">
        <v>5</v>
      </c>
      <c r="O131" s="7">
        <v>39.5</v>
      </c>
      <c r="P131" s="7">
        <v>38</v>
      </c>
      <c r="Q131" s="7">
        <v>7</v>
      </c>
      <c r="R131" s="7">
        <v>7.8</v>
      </c>
      <c r="S131" s="7">
        <v>5.2377439999999993</v>
      </c>
      <c r="T131" s="7">
        <v>46</v>
      </c>
      <c r="U131" s="7">
        <v>1.130434782608696</v>
      </c>
    </row>
    <row r="132" spans="1:21" x14ac:dyDescent="0.3">
      <c r="A132" s="7" t="s">
        <v>96</v>
      </c>
      <c r="B132" s="7" t="s">
        <v>97</v>
      </c>
      <c r="C132" s="7" t="s">
        <v>146</v>
      </c>
      <c r="D132" s="7">
        <v>11</v>
      </c>
      <c r="E132" s="7">
        <v>300</v>
      </c>
      <c r="F132" s="7">
        <v>62</v>
      </c>
      <c r="G132" s="7">
        <v>13</v>
      </c>
      <c r="H132" s="7">
        <v>110</v>
      </c>
      <c r="I132" s="7" t="s">
        <v>180</v>
      </c>
      <c r="J132" s="7">
        <v>48</v>
      </c>
      <c r="K132" s="7">
        <v>6</v>
      </c>
      <c r="L132" s="7">
        <v>11</v>
      </c>
      <c r="M132" s="7">
        <v>150</v>
      </c>
      <c r="N132" s="7">
        <v>5</v>
      </c>
      <c r="O132" s="7">
        <v>40</v>
      </c>
      <c r="P132" s="7">
        <v>38</v>
      </c>
      <c r="Q132" s="7">
        <v>7</v>
      </c>
      <c r="R132" s="7">
        <v>7.6</v>
      </c>
      <c r="S132" s="7">
        <v>4.9570560000000006</v>
      </c>
      <c r="T132" s="7">
        <v>54</v>
      </c>
      <c r="U132" s="7">
        <v>0.96296296296296291</v>
      </c>
    </row>
    <row r="133" spans="1:21" x14ac:dyDescent="0.3">
      <c r="A133" s="7" t="s">
        <v>96</v>
      </c>
      <c r="B133" s="7" t="s">
        <v>97</v>
      </c>
      <c r="C133" s="7" t="s">
        <v>146</v>
      </c>
      <c r="D133" s="7">
        <v>12</v>
      </c>
      <c r="E133" s="7">
        <v>350</v>
      </c>
      <c r="F133" s="7">
        <v>70</v>
      </c>
      <c r="G133" s="7">
        <v>12</v>
      </c>
      <c r="H133" s="7">
        <v>150</v>
      </c>
      <c r="I133" s="7" t="s">
        <v>176</v>
      </c>
      <c r="J133" s="7">
        <v>45</v>
      </c>
      <c r="K133" s="7">
        <v>3</v>
      </c>
      <c r="L133" s="7">
        <v>10</v>
      </c>
      <c r="M133" s="7">
        <v>200</v>
      </c>
      <c r="N133" s="7">
        <v>6</v>
      </c>
      <c r="O133" s="7">
        <v>50.2</v>
      </c>
      <c r="P133" s="7">
        <v>38</v>
      </c>
      <c r="Q133" s="7">
        <v>8</v>
      </c>
      <c r="R133" s="7">
        <v>8.1999999999999993</v>
      </c>
      <c r="S133" s="7">
        <v>7.7851200000000018</v>
      </c>
      <c r="T133" s="7">
        <v>48</v>
      </c>
      <c r="U133" s="7">
        <v>1.083333333333333</v>
      </c>
    </row>
    <row r="134" spans="1:21" x14ac:dyDescent="0.3">
      <c r="A134" s="7" t="s">
        <v>96</v>
      </c>
      <c r="B134" s="7" t="s">
        <v>97</v>
      </c>
      <c r="C134" s="7" t="s">
        <v>146</v>
      </c>
      <c r="D134" s="7">
        <v>13</v>
      </c>
      <c r="E134" s="7">
        <v>357</v>
      </c>
      <c r="F134" s="7">
        <v>68</v>
      </c>
      <c r="G134" s="7">
        <v>13</v>
      </c>
      <c r="H134" s="7">
        <v>130</v>
      </c>
      <c r="I134" s="7" t="s">
        <v>176</v>
      </c>
      <c r="J134" s="7">
        <v>45</v>
      </c>
      <c r="K134" s="7">
        <v>3</v>
      </c>
      <c r="L134" s="7">
        <v>11</v>
      </c>
      <c r="M134" s="7">
        <v>165</v>
      </c>
      <c r="N134" s="7">
        <v>5</v>
      </c>
      <c r="O134" s="7">
        <v>49</v>
      </c>
      <c r="P134" s="7">
        <v>39</v>
      </c>
      <c r="Q134" s="7">
        <v>8</v>
      </c>
      <c r="R134" s="7">
        <v>8</v>
      </c>
      <c r="S134" s="7">
        <v>6.0374400000000001</v>
      </c>
      <c r="T134" s="7">
        <v>48</v>
      </c>
      <c r="U134" s="7">
        <v>1.083333333333333</v>
      </c>
    </row>
    <row r="135" spans="1:21" x14ac:dyDescent="0.3">
      <c r="A135" s="7" t="s">
        <v>96</v>
      </c>
      <c r="B135" s="7" t="s">
        <v>97</v>
      </c>
      <c r="C135" s="7" t="s">
        <v>146</v>
      </c>
      <c r="D135" s="7">
        <v>14</v>
      </c>
      <c r="E135" s="7">
        <v>333</v>
      </c>
      <c r="F135" s="7">
        <v>61</v>
      </c>
      <c r="G135" s="7">
        <v>13</v>
      </c>
      <c r="H135" s="7">
        <v>100</v>
      </c>
      <c r="I135" s="7" t="s">
        <v>177</v>
      </c>
      <c r="J135" s="7">
        <v>44</v>
      </c>
      <c r="K135" s="7">
        <v>2</v>
      </c>
      <c r="L135" s="7">
        <v>11</v>
      </c>
      <c r="M135" s="7">
        <v>160</v>
      </c>
      <c r="N135" s="7">
        <v>5</v>
      </c>
      <c r="O135" s="7">
        <v>40.200000000000003</v>
      </c>
      <c r="P135" s="7">
        <v>39</v>
      </c>
      <c r="Q135" s="7">
        <v>7</v>
      </c>
      <c r="R135" s="7">
        <v>7.6</v>
      </c>
      <c r="S135" s="7">
        <v>5.4138360000000008</v>
      </c>
      <c r="T135" s="7">
        <v>46</v>
      </c>
      <c r="U135" s="7">
        <v>1.130434782608696</v>
      </c>
    </row>
    <row r="136" spans="1:21" x14ac:dyDescent="0.3">
      <c r="A136" s="7" t="s">
        <v>96</v>
      </c>
      <c r="B136" s="7" t="s">
        <v>172</v>
      </c>
      <c r="C136" s="7" t="s">
        <v>147</v>
      </c>
      <c r="D136" s="7">
        <v>1</v>
      </c>
      <c r="E136" s="7">
        <v>330</v>
      </c>
      <c r="F136" s="7">
        <v>66</v>
      </c>
      <c r="G136" s="7">
        <v>13</v>
      </c>
      <c r="H136" s="7">
        <v>130</v>
      </c>
      <c r="I136" s="7" t="s">
        <v>178</v>
      </c>
      <c r="J136" s="7">
        <v>46</v>
      </c>
      <c r="K136" s="7">
        <v>4</v>
      </c>
      <c r="L136" s="7">
        <v>11</v>
      </c>
      <c r="M136" s="7">
        <v>210</v>
      </c>
      <c r="N136" s="7">
        <v>5</v>
      </c>
      <c r="O136" s="7">
        <v>48.5</v>
      </c>
      <c r="P136" s="7">
        <v>39</v>
      </c>
      <c r="Q136" s="7">
        <v>8</v>
      </c>
      <c r="R136" s="7">
        <v>8</v>
      </c>
      <c r="S136" s="7">
        <v>5.8467840000000004</v>
      </c>
      <c r="T136" s="7">
        <v>50</v>
      </c>
      <c r="U136" s="7">
        <v>1.04</v>
      </c>
    </row>
    <row r="137" spans="1:21" x14ac:dyDescent="0.3">
      <c r="A137" s="7" t="s">
        <v>96</v>
      </c>
      <c r="B137" s="7" t="s">
        <v>172</v>
      </c>
      <c r="C137" s="7" t="s">
        <v>147</v>
      </c>
      <c r="D137" s="7">
        <v>2</v>
      </c>
      <c r="E137" s="7">
        <v>300</v>
      </c>
      <c r="F137" s="7">
        <v>66</v>
      </c>
      <c r="G137" s="7">
        <v>11</v>
      </c>
      <c r="H137" s="7">
        <v>140</v>
      </c>
      <c r="I137" s="7" t="s">
        <v>175</v>
      </c>
      <c r="J137" s="7">
        <v>51</v>
      </c>
      <c r="K137" s="7">
        <v>9</v>
      </c>
      <c r="L137" s="7"/>
      <c r="M137" s="7"/>
      <c r="N137" s="7"/>
      <c r="O137" s="7"/>
      <c r="P137" s="7"/>
      <c r="Q137" s="7"/>
      <c r="R137" s="7"/>
      <c r="S137" s="7"/>
      <c r="T137" s="7">
        <v>60</v>
      </c>
      <c r="U137" s="7">
        <v>0.8666666666666667</v>
      </c>
    </row>
    <row r="138" spans="1:21" x14ac:dyDescent="0.3">
      <c r="A138" s="7" t="s">
        <v>96</v>
      </c>
      <c r="B138" s="7" t="s">
        <v>172</v>
      </c>
      <c r="C138" s="7" t="s">
        <v>147</v>
      </c>
      <c r="D138" s="7">
        <v>4</v>
      </c>
      <c r="E138" s="7">
        <v>274</v>
      </c>
      <c r="F138" s="7">
        <v>60</v>
      </c>
      <c r="G138" s="7">
        <v>8</v>
      </c>
      <c r="H138" s="7">
        <v>76</v>
      </c>
      <c r="I138" s="7" t="s">
        <v>175</v>
      </c>
      <c r="J138" s="7">
        <v>51</v>
      </c>
      <c r="K138" s="7">
        <v>9</v>
      </c>
      <c r="L138" s="7"/>
      <c r="M138" s="7"/>
      <c r="N138" s="7"/>
      <c r="O138" s="7"/>
      <c r="P138" s="7"/>
      <c r="Q138" s="7"/>
      <c r="R138" s="7"/>
      <c r="S138" s="7"/>
      <c r="T138" s="7">
        <v>60</v>
      </c>
      <c r="U138" s="7">
        <v>0.8666666666666667</v>
      </c>
    </row>
    <row r="139" spans="1:21" x14ac:dyDescent="0.3">
      <c r="A139" s="7" t="s">
        <v>96</v>
      </c>
      <c r="B139" s="7" t="s">
        <v>172</v>
      </c>
      <c r="C139" s="7" t="s">
        <v>147</v>
      </c>
      <c r="D139" s="7">
        <v>5</v>
      </c>
      <c r="E139" s="7">
        <v>308</v>
      </c>
      <c r="F139" s="7">
        <v>62</v>
      </c>
      <c r="G139" s="7">
        <v>12</v>
      </c>
      <c r="H139" s="7">
        <v>90</v>
      </c>
      <c r="I139" s="7" t="s">
        <v>175</v>
      </c>
      <c r="J139" s="7">
        <v>43</v>
      </c>
      <c r="K139" s="7">
        <v>1</v>
      </c>
      <c r="L139" s="7">
        <v>11</v>
      </c>
      <c r="M139" s="7">
        <v>154</v>
      </c>
      <c r="N139" s="7">
        <v>6</v>
      </c>
      <c r="O139" s="7">
        <v>38</v>
      </c>
      <c r="P139" s="7">
        <v>39</v>
      </c>
      <c r="Q139" s="7">
        <v>7</v>
      </c>
      <c r="R139" s="7">
        <v>7.66</v>
      </c>
      <c r="S139" s="7">
        <v>7.4355840000000022</v>
      </c>
      <c r="T139" s="7">
        <v>44</v>
      </c>
      <c r="U139" s="7">
        <v>1.1818181818181821</v>
      </c>
    </row>
    <row r="140" spans="1:21" x14ac:dyDescent="0.3">
      <c r="A140" s="7" t="s">
        <v>96</v>
      </c>
      <c r="B140" s="7" t="s">
        <v>172</v>
      </c>
      <c r="C140" s="7" t="s">
        <v>147</v>
      </c>
      <c r="D140" s="7">
        <v>6</v>
      </c>
      <c r="E140" s="7">
        <v>313</v>
      </c>
      <c r="F140" s="7">
        <v>58</v>
      </c>
      <c r="G140" s="7">
        <v>12</v>
      </c>
      <c r="H140" s="7">
        <v>105</v>
      </c>
      <c r="I140" s="7" t="s">
        <v>176</v>
      </c>
      <c r="J140" s="7">
        <v>43</v>
      </c>
      <c r="K140" s="7">
        <v>1</v>
      </c>
      <c r="L140" s="7">
        <v>11</v>
      </c>
      <c r="M140" s="7">
        <v>147</v>
      </c>
      <c r="N140" s="7">
        <v>5</v>
      </c>
      <c r="O140" s="7">
        <v>34</v>
      </c>
      <c r="P140" s="7">
        <v>39</v>
      </c>
      <c r="Q140" s="7">
        <v>6</v>
      </c>
      <c r="R140" s="7">
        <v>8.1999999999999993</v>
      </c>
      <c r="S140" s="7">
        <v>4.6896080000000007</v>
      </c>
      <c r="T140" s="7">
        <v>44</v>
      </c>
      <c r="U140" s="7">
        <v>1.1818181818181821</v>
      </c>
    </row>
    <row r="141" spans="1:21" x14ac:dyDescent="0.3">
      <c r="A141" s="7" t="s">
        <v>96</v>
      </c>
      <c r="B141" s="7" t="s">
        <v>172</v>
      </c>
      <c r="C141" s="7" t="s">
        <v>147</v>
      </c>
      <c r="D141" s="7">
        <v>7</v>
      </c>
      <c r="E141" s="7">
        <v>320</v>
      </c>
      <c r="F141" s="7">
        <v>62</v>
      </c>
      <c r="G141" s="7">
        <v>13</v>
      </c>
      <c r="H141" s="7">
        <v>106</v>
      </c>
      <c r="I141" s="7" t="s">
        <v>175</v>
      </c>
      <c r="J141" s="7">
        <v>43</v>
      </c>
      <c r="K141" s="7">
        <v>1</v>
      </c>
      <c r="L141" s="7">
        <v>11</v>
      </c>
      <c r="M141" s="7">
        <v>200</v>
      </c>
      <c r="N141" s="7">
        <v>6</v>
      </c>
      <c r="O141" s="7">
        <v>40</v>
      </c>
      <c r="P141" s="7">
        <v>39</v>
      </c>
      <c r="Q141" s="7">
        <v>7</v>
      </c>
      <c r="R141" s="7">
        <v>8</v>
      </c>
      <c r="S141" s="7">
        <v>6.8229427200000003</v>
      </c>
      <c r="T141" s="7">
        <v>44</v>
      </c>
      <c r="U141" s="7">
        <v>1.1818181818181821</v>
      </c>
    </row>
    <row r="142" spans="1:21" x14ac:dyDescent="0.3">
      <c r="A142" s="7" t="s">
        <v>96</v>
      </c>
      <c r="B142" s="7" t="s">
        <v>172</v>
      </c>
      <c r="C142" s="7" t="s">
        <v>147</v>
      </c>
      <c r="D142" s="7">
        <v>8</v>
      </c>
      <c r="E142" s="7">
        <v>310</v>
      </c>
      <c r="F142" s="7">
        <v>64</v>
      </c>
      <c r="G142" s="7">
        <v>13</v>
      </c>
      <c r="H142" s="7">
        <v>65</v>
      </c>
      <c r="I142" s="7" t="s">
        <v>179</v>
      </c>
      <c r="J142" s="7">
        <v>49</v>
      </c>
      <c r="K142" s="7">
        <v>7</v>
      </c>
      <c r="L142" s="7"/>
      <c r="M142" s="7"/>
      <c r="N142" s="7"/>
      <c r="O142" s="7"/>
      <c r="P142" s="7"/>
      <c r="Q142" s="7"/>
      <c r="R142" s="7"/>
      <c r="S142" s="7"/>
      <c r="T142" s="7">
        <v>56</v>
      </c>
      <c r="U142" s="7">
        <v>0.9285714285714286</v>
      </c>
    </row>
    <row r="143" spans="1:21" x14ac:dyDescent="0.3">
      <c r="A143" s="7" t="s">
        <v>96</v>
      </c>
      <c r="B143" s="7" t="s">
        <v>172</v>
      </c>
      <c r="C143" s="7" t="s">
        <v>147</v>
      </c>
      <c r="D143" s="7">
        <v>9</v>
      </c>
      <c r="E143" s="7">
        <v>254</v>
      </c>
      <c r="F143" s="7">
        <v>54</v>
      </c>
      <c r="G143" s="7">
        <v>11</v>
      </c>
      <c r="H143" s="7">
        <v>45</v>
      </c>
      <c r="I143" s="7" t="s">
        <v>173</v>
      </c>
      <c r="J143" s="7">
        <v>47</v>
      </c>
      <c r="K143" s="7">
        <v>5</v>
      </c>
      <c r="L143" s="7"/>
      <c r="M143" s="7"/>
      <c r="N143" s="7"/>
      <c r="O143" s="7"/>
      <c r="P143" s="7"/>
      <c r="Q143" s="7"/>
      <c r="R143" s="7"/>
      <c r="S143" s="7"/>
      <c r="T143" s="7">
        <v>52</v>
      </c>
      <c r="U143" s="7">
        <v>1</v>
      </c>
    </row>
    <row r="144" spans="1:21" x14ac:dyDescent="0.3">
      <c r="A144" s="7" t="s">
        <v>96</v>
      </c>
      <c r="B144" s="7" t="s">
        <v>172</v>
      </c>
      <c r="C144" s="7" t="s">
        <v>147</v>
      </c>
      <c r="D144" s="7">
        <v>10</v>
      </c>
      <c r="E144" s="7">
        <v>340</v>
      </c>
      <c r="F144" s="7">
        <v>67</v>
      </c>
      <c r="G144" s="7">
        <v>13</v>
      </c>
      <c r="H144" s="7">
        <v>108</v>
      </c>
      <c r="I144" s="7" t="s">
        <v>176</v>
      </c>
      <c r="J144" s="7">
        <v>45</v>
      </c>
      <c r="K144" s="7">
        <v>3</v>
      </c>
      <c r="L144" s="7">
        <v>11</v>
      </c>
      <c r="M144" s="7">
        <v>163</v>
      </c>
      <c r="N144" s="7">
        <v>6</v>
      </c>
      <c r="O144" s="7">
        <v>41.7</v>
      </c>
      <c r="P144" s="7">
        <v>38</v>
      </c>
      <c r="Q144" s="7">
        <v>7</v>
      </c>
      <c r="R144" s="7">
        <v>7.8</v>
      </c>
      <c r="S144" s="7">
        <v>5.4718271999999999</v>
      </c>
      <c r="T144" s="7">
        <v>48</v>
      </c>
      <c r="U144" s="7">
        <v>1.083333333333333</v>
      </c>
    </row>
    <row r="145" spans="1:21" x14ac:dyDescent="0.3">
      <c r="A145" s="7" t="s">
        <v>96</v>
      </c>
      <c r="B145" s="7" t="s">
        <v>172</v>
      </c>
      <c r="C145" s="7" t="s">
        <v>147</v>
      </c>
      <c r="D145" s="7">
        <v>11</v>
      </c>
      <c r="E145" s="7">
        <v>325</v>
      </c>
      <c r="F145" s="7">
        <v>64</v>
      </c>
      <c r="G145" s="7">
        <v>13</v>
      </c>
      <c r="H145" s="7">
        <v>80</v>
      </c>
      <c r="I145" s="7" t="s">
        <v>178</v>
      </c>
      <c r="J145" s="7">
        <v>45</v>
      </c>
      <c r="K145" s="7">
        <v>3</v>
      </c>
      <c r="L145" s="7"/>
      <c r="M145" s="7"/>
      <c r="N145" s="7"/>
      <c r="O145" s="7"/>
      <c r="P145" s="7"/>
      <c r="Q145" s="7"/>
      <c r="R145" s="7"/>
      <c r="S145" s="7"/>
      <c r="T145" s="7">
        <v>48</v>
      </c>
      <c r="U145" s="7">
        <v>1.083333333333333</v>
      </c>
    </row>
    <row r="146" spans="1:21" x14ac:dyDescent="0.3">
      <c r="A146" s="7" t="s">
        <v>96</v>
      </c>
      <c r="B146" s="7" t="s">
        <v>172</v>
      </c>
      <c r="C146" s="7" t="s">
        <v>147</v>
      </c>
      <c r="D146" s="7">
        <v>12</v>
      </c>
      <c r="E146" s="7">
        <v>308</v>
      </c>
      <c r="F146" s="7">
        <v>63</v>
      </c>
      <c r="G146" s="7">
        <v>11</v>
      </c>
      <c r="H146" s="7">
        <v>143</v>
      </c>
      <c r="I146" s="7" t="s">
        <v>179</v>
      </c>
      <c r="J146" s="7">
        <v>49</v>
      </c>
      <c r="K146" s="7">
        <v>7</v>
      </c>
      <c r="L146" s="7">
        <v>11</v>
      </c>
      <c r="M146" s="7">
        <v>110</v>
      </c>
      <c r="N146" s="7">
        <v>5</v>
      </c>
      <c r="O146" s="7">
        <v>30</v>
      </c>
      <c r="P146" s="7">
        <v>37</v>
      </c>
      <c r="Q146" s="7">
        <v>6</v>
      </c>
      <c r="R146" s="7">
        <v>7.2</v>
      </c>
      <c r="S146" s="7">
        <v>4.3427200000000008</v>
      </c>
      <c r="T146" s="7">
        <v>56</v>
      </c>
      <c r="U146" s="7">
        <v>0.9285714285714286</v>
      </c>
    </row>
    <row r="147" spans="1:21" x14ac:dyDescent="0.3">
      <c r="A147" s="7" t="s">
        <v>96</v>
      </c>
      <c r="B147" s="7" t="s">
        <v>172</v>
      </c>
      <c r="C147" s="7" t="s">
        <v>147</v>
      </c>
      <c r="D147" s="7">
        <v>13</v>
      </c>
      <c r="E147" s="7">
        <v>283</v>
      </c>
      <c r="F147" s="7">
        <v>55</v>
      </c>
      <c r="G147" s="7">
        <v>12</v>
      </c>
      <c r="H147" s="7">
        <v>65</v>
      </c>
      <c r="I147" s="7" t="s">
        <v>180</v>
      </c>
      <c r="J147" s="7">
        <v>48</v>
      </c>
      <c r="K147" s="7">
        <v>6</v>
      </c>
      <c r="L147" s="7"/>
      <c r="M147" s="7"/>
      <c r="N147" s="7"/>
      <c r="O147" s="7"/>
      <c r="P147" s="7"/>
      <c r="Q147" s="7"/>
      <c r="R147" s="7"/>
      <c r="S147" s="7"/>
      <c r="T147" s="7">
        <v>54</v>
      </c>
      <c r="U147" s="7">
        <v>0.96296296296296291</v>
      </c>
    </row>
    <row r="148" spans="1:21" x14ac:dyDescent="0.3">
      <c r="A148" s="7" t="s">
        <v>96</v>
      </c>
      <c r="B148" s="7" t="s">
        <v>172</v>
      </c>
      <c r="C148" s="7" t="s">
        <v>147</v>
      </c>
      <c r="D148" s="7">
        <v>14</v>
      </c>
      <c r="E148" s="7">
        <v>283</v>
      </c>
      <c r="F148" s="7">
        <v>57</v>
      </c>
      <c r="G148" s="7">
        <v>12</v>
      </c>
      <c r="H148" s="7">
        <v>94</v>
      </c>
      <c r="I148" s="7" t="s">
        <v>180</v>
      </c>
      <c r="J148" s="7">
        <v>48</v>
      </c>
      <c r="K148" s="7">
        <v>6</v>
      </c>
      <c r="L148" s="7"/>
      <c r="M148" s="7"/>
      <c r="N148" s="7"/>
      <c r="O148" s="7"/>
      <c r="P148" s="7"/>
      <c r="Q148" s="7"/>
      <c r="R148" s="7"/>
      <c r="S148" s="7"/>
      <c r="T148" s="7">
        <v>54</v>
      </c>
      <c r="U148" s="7">
        <v>0.96296296296296291</v>
      </c>
    </row>
    <row r="149" spans="1:21" x14ac:dyDescent="0.3">
      <c r="A149" s="7" t="s">
        <v>96</v>
      </c>
      <c r="B149" s="7" t="s">
        <v>99</v>
      </c>
      <c r="C149" s="7" t="s">
        <v>146</v>
      </c>
      <c r="D149" s="7">
        <v>1</v>
      </c>
      <c r="E149" s="7">
        <v>303</v>
      </c>
      <c r="F149" s="7">
        <v>63</v>
      </c>
      <c r="G149" s="7">
        <v>9</v>
      </c>
      <c r="H149" s="7">
        <v>108</v>
      </c>
      <c r="I149" s="7" t="s">
        <v>177</v>
      </c>
      <c r="J149" s="7">
        <v>52</v>
      </c>
      <c r="K149" s="7">
        <v>10</v>
      </c>
      <c r="L149" s="7"/>
      <c r="M149" s="7"/>
      <c r="N149" s="7"/>
      <c r="O149" s="7"/>
      <c r="P149" s="7"/>
      <c r="Q149" s="7"/>
      <c r="R149" s="7"/>
      <c r="S149" s="7"/>
      <c r="T149" s="7">
        <v>62</v>
      </c>
      <c r="U149" s="7">
        <v>0.83870967741935487</v>
      </c>
    </row>
    <row r="150" spans="1:21" x14ac:dyDescent="0.3">
      <c r="A150" s="7" t="s">
        <v>96</v>
      </c>
      <c r="B150" s="7" t="s">
        <v>99</v>
      </c>
      <c r="C150" s="7" t="s">
        <v>146</v>
      </c>
      <c r="D150" s="7">
        <v>2</v>
      </c>
      <c r="E150" s="7">
        <v>333</v>
      </c>
      <c r="F150" s="7">
        <v>66</v>
      </c>
      <c r="G150" s="7">
        <v>10</v>
      </c>
      <c r="H150" s="7">
        <v>213</v>
      </c>
      <c r="I150" s="7" t="s">
        <v>175</v>
      </c>
      <c r="J150" s="7">
        <v>51</v>
      </c>
      <c r="K150" s="7">
        <v>9</v>
      </c>
      <c r="L150" s="7"/>
      <c r="M150" s="7"/>
      <c r="N150" s="7"/>
      <c r="O150" s="7"/>
      <c r="P150" s="7"/>
      <c r="Q150" s="7"/>
      <c r="R150" s="7"/>
      <c r="S150" s="7"/>
      <c r="T150" s="7">
        <v>60</v>
      </c>
      <c r="U150" s="7">
        <v>0.8666666666666667</v>
      </c>
    </row>
    <row r="151" spans="1:21" x14ac:dyDescent="0.3">
      <c r="A151" s="7" t="s">
        <v>96</v>
      </c>
      <c r="B151" s="7" t="s">
        <v>99</v>
      </c>
      <c r="C151" s="7" t="s">
        <v>146</v>
      </c>
      <c r="D151" s="7">
        <v>3</v>
      </c>
      <c r="E151" s="7">
        <v>330</v>
      </c>
      <c r="F151" s="7">
        <v>62</v>
      </c>
      <c r="G151" s="7">
        <v>12</v>
      </c>
      <c r="H151" s="7">
        <v>115</v>
      </c>
      <c r="I151" s="7" t="s">
        <v>179</v>
      </c>
      <c r="J151" s="7">
        <v>49</v>
      </c>
      <c r="K151" s="7">
        <v>7</v>
      </c>
      <c r="L151" s="7"/>
      <c r="M151" s="7"/>
      <c r="N151" s="7"/>
      <c r="O151" s="7"/>
      <c r="P151" s="7"/>
      <c r="Q151" s="7"/>
      <c r="R151" s="7"/>
      <c r="S151" s="7"/>
      <c r="T151" s="7">
        <v>56</v>
      </c>
      <c r="U151" s="7">
        <v>0.9285714285714286</v>
      </c>
    </row>
    <row r="152" spans="1:21" x14ac:dyDescent="0.3">
      <c r="A152" s="7" t="s">
        <v>96</v>
      </c>
      <c r="B152" s="7" t="s">
        <v>99</v>
      </c>
      <c r="C152" s="7" t="s">
        <v>146</v>
      </c>
      <c r="D152" s="7">
        <v>4</v>
      </c>
      <c r="E152" s="7">
        <v>280</v>
      </c>
      <c r="F152" s="7">
        <v>58</v>
      </c>
      <c r="G152" s="7">
        <v>7</v>
      </c>
      <c r="H152" s="7">
        <v>122</v>
      </c>
      <c r="I152" s="7" t="s">
        <v>175</v>
      </c>
      <c r="J152" s="7">
        <v>51</v>
      </c>
      <c r="K152" s="7">
        <v>9</v>
      </c>
      <c r="L152" s="7"/>
      <c r="M152" s="7"/>
      <c r="N152" s="7"/>
      <c r="O152" s="7"/>
      <c r="P152" s="7"/>
      <c r="Q152" s="7"/>
      <c r="R152" s="7"/>
      <c r="S152" s="7"/>
      <c r="T152" s="7">
        <v>60</v>
      </c>
      <c r="U152" s="7">
        <v>0.8666666666666667</v>
      </c>
    </row>
    <row r="153" spans="1:21" x14ac:dyDescent="0.3">
      <c r="A153" s="7" t="s">
        <v>96</v>
      </c>
      <c r="B153" s="7" t="s">
        <v>99</v>
      </c>
      <c r="C153" s="7" t="s">
        <v>146</v>
      </c>
      <c r="D153" s="7">
        <v>5</v>
      </c>
      <c r="E153" s="7">
        <v>276</v>
      </c>
      <c r="F153" s="7">
        <v>58</v>
      </c>
      <c r="G153" s="7">
        <v>7</v>
      </c>
      <c r="H153" s="7">
        <v>130</v>
      </c>
      <c r="I153" s="7" t="s">
        <v>175</v>
      </c>
      <c r="J153" s="7">
        <v>51</v>
      </c>
      <c r="K153" s="7">
        <v>9</v>
      </c>
      <c r="L153" s="7"/>
      <c r="M153" s="7"/>
      <c r="N153" s="7"/>
      <c r="O153" s="7"/>
      <c r="P153" s="7"/>
      <c r="Q153" s="7"/>
      <c r="R153" s="7"/>
      <c r="S153" s="7"/>
      <c r="T153" s="7">
        <v>60</v>
      </c>
      <c r="U153" s="7">
        <v>0.8666666666666667</v>
      </c>
    </row>
    <row r="154" spans="1:21" x14ac:dyDescent="0.3">
      <c r="A154" s="7" t="s">
        <v>96</v>
      </c>
      <c r="B154" s="7" t="s">
        <v>99</v>
      </c>
      <c r="C154" s="7" t="s">
        <v>146</v>
      </c>
      <c r="D154" s="7">
        <v>6</v>
      </c>
      <c r="E154" s="7">
        <v>315</v>
      </c>
      <c r="F154" s="7">
        <v>62</v>
      </c>
      <c r="G154" s="7">
        <v>10</v>
      </c>
      <c r="H154" s="7">
        <v>100</v>
      </c>
      <c r="I154" s="7" t="s">
        <v>173</v>
      </c>
      <c r="J154" s="7">
        <v>3</v>
      </c>
      <c r="K154" s="7">
        <v>13</v>
      </c>
      <c r="L154" s="7">
        <v>11</v>
      </c>
      <c r="M154" s="7">
        <v>140</v>
      </c>
      <c r="N154" s="7">
        <v>5</v>
      </c>
      <c r="O154" s="7">
        <v>40</v>
      </c>
      <c r="P154" s="7">
        <v>38</v>
      </c>
      <c r="Q154" s="7">
        <v>7</v>
      </c>
      <c r="R154" s="7">
        <v>7.8</v>
      </c>
      <c r="S154" s="7">
        <v>5.3595520000000008</v>
      </c>
      <c r="T154" s="7">
        <v>16</v>
      </c>
      <c r="U154" s="7">
        <v>3.25</v>
      </c>
    </row>
    <row r="155" spans="1:21" x14ac:dyDescent="0.3">
      <c r="A155" s="7" t="s">
        <v>96</v>
      </c>
      <c r="B155" s="7" t="s">
        <v>99</v>
      </c>
      <c r="C155" s="7" t="s">
        <v>146</v>
      </c>
      <c r="D155" s="7">
        <v>7</v>
      </c>
      <c r="E155" s="7">
        <v>315</v>
      </c>
      <c r="F155" s="7">
        <v>62</v>
      </c>
      <c r="G155" s="7">
        <v>12</v>
      </c>
      <c r="H155" s="7">
        <v>95</v>
      </c>
      <c r="I155" s="7" t="s">
        <v>180</v>
      </c>
      <c r="J155" s="7">
        <v>48</v>
      </c>
      <c r="K155" s="7">
        <v>6</v>
      </c>
      <c r="L155" s="7"/>
      <c r="M155" s="7"/>
      <c r="N155" s="7"/>
      <c r="O155" s="7"/>
      <c r="P155" s="7"/>
      <c r="Q155" s="7"/>
      <c r="R155" s="7"/>
      <c r="S155" s="7"/>
      <c r="T155" s="7">
        <v>54</v>
      </c>
      <c r="U155" s="7">
        <v>0.96296296296296291</v>
      </c>
    </row>
    <row r="156" spans="1:21" x14ac:dyDescent="0.3">
      <c r="A156" s="7" t="s">
        <v>96</v>
      </c>
      <c r="B156" s="7" t="s">
        <v>99</v>
      </c>
      <c r="C156" s="7" t="s">
        <v>146</v>
      </c>
      <c r="D156" s="7">
        <v>8</v>
      </c>
      <c r="E156" s="7">
        <v>310</v>
      </c>
      <c r="F156" s="7">
        <v>62</v>
      </c>
      <c r="G156" s="7">
        <v>8</v>
      </c>
      <c r="H156" s="7">
        <v>147</v>
      </c>
      <c r="I156" s="7" t="s">
        <v>175</v>
      </c>
      <c r="J156" s="7">
        <v>51</v>
      </c>
      <c r="K156" s="7">
        <v>9</v>
      </c>
      <c r="L156" s="7"/>
      <c r="M156" s="7"/>
      <c r="N156" s="7"/>
      <c r="O156" s="7"/>
      <c r="P156" s="7"/>
      <c r="Q156" s="7"/>
      <c r="R156" s="7"/>
      <c r="S156" s="7"/>
      <c r="T156" s="7">
        <v>60</v>
      </c>
      <c r="U156" s="7">
        <v>0.8666666666666667</v>
      </c>
    </row>
    <row r="157" spans="1:21" x14ac:dyDescent="0.3">
      <c r="A157" s="7" t="s">
        <v>96</v>
      </c>
      <c r="B157" s="7" t="s">
        <v>99</v>
      </c>
      <c r="C157" s="7" t="s">
        <v>146</v>
      </c>
      <c r="D157" s="7">
        <v>9</v>
      </c>
      <c r="E157" s="7">
        <v>330</v>
      </c>
      <c r="F157" s="7">
        <v>64</v>
      </c>
      <c r="G157" s="7">
        <v>13</v>
      </c>
      <c r="H157" s="7">
        <v>125</v>
      </c>
      <c r="I157" s="7" t="s">
        <v>174</v>
      </c>
      <c r="J157" s="7">
        <v>42</v>
      </c>
      <c r="K157" s="7">
        <v>52</v>
      </c>
      <c r="L157" s="7">
        <v>11</v>
      </c>
      <c r="M157" s="7">
        <v>192</v>
      </c>
      <c r="N157" s="7">
        <v>6</v>
      </c>
      <c r="O157" s="7">
        <v>41</v>
      </c>
      <c r="P157" s="7">
        <v>39</v>
      </c>
      <c r="Q157" s="7">
        <v>7</v>
      </c>
      <c r="R157" s="7">
        <v>7.4</v>
      </c>
      <c r="S157" s="7">
        <v>7.3211904000000008</v>
      </c>
      <c r="T157" s="7">
        <v>94</v>
      </c>
      <c r="U157" s="7">
        <v>0.55319148936170215</v>
      </c>
    </row>
    <row r="158" spans="1:21" x14ac:dyDescent="0.3">
      <c r="A158" s="7" t="s">
        <v>96</v>
      </c>
      <c r="B158" s="7" t="s">
        <v>99</v>
      </c>
      <c r="C158" s="7" t="s">
        <v>146</v>
      </c>
      <c r="D158" s="7">
        <v>10</v>
      </c>
      <c r="E158" s="7">
        <v>305</v>
      </c>
      <c r="F158" s="7">
        <v>65</v>
      </c>
      <c r="G158" s="7">
        <v>5</v>
      </c>
      <c r="H158" s="7">
        <v>153</v>
      </c>
      <c r="I158" s="7" t="s">
        <v>176</v>
      </c>
      <c r="J158" s="7">
        <v>1</v>
      </c>
      <c r="K158" s="7">
        <v>11</v>
      </c>
      <c r="L158" s="7"/>
      <c r="M158" s="7"/>
      <c r="N158" s="7"/>
      <c r="O158" s="7"/>
      <c r="P158" s="7"/>
      <c r="Q158" s="7"/>
      <c r="R158" s="7"/>
      <c r="S158" s="7"/>
      <c r="T158" s="7">
        <v>12</v>
      </c>
      <c r="U158" s="7">
        <v>4.333333333333333</v>
      </c>
    </row>
    <row r="159" spans="1:21" x14ac:dyDescent="0.3">
      <c r="A159" s="7" t="s">
        <v>96</v>
      </c>
      <c r="B159" s="7" t="s">
        <v>99</v>
      </c>
      <c r="C159" s="7" t="s">
        <v>146</v>
      </c>
      <c r="D159" s="7">
        <v>11</v>
      </c>
      <c r="E159" s="7">
        <v>270</v>
      </c>
      <c r="F159" s="7">
        <v>61</v>
      </c>
      <c r="G159" s="7">
        <v>12</v>
      </c>
      <c r="H159" s="7">
        <v>72</v>
      </c>
      <c r="I159" s="7" t="s">
        <v>173</v>
      </c>
      <c r="J159" s="7">
        <v>3</v>
      </c>
      <c r="K159" s="7">
        <v>13</v>
      </c>
      <c r="L159" s="7"/>
      <c r="M159" s="7"/>
      <c r="N159" s="7"/>
      <c r="O159" s="7"/>
      <c r="P159" s="7"/>
      <c r="Q159" s="7"/>
      <c r="R159" s="7"/>
      <c r="S159" s="7"/>
      <c r="T159" s="7">
        <v>16</v>
      </c>
      <c r="U159" s="7">
        <v>3.25</v>
      </c>
    </row>
    <row r="160" spans="1:21" x14ac:dyDescent="0.3">
      <c r="A160" s="7" t="s">
        <v>96</v>
      </c>
      <c r="B160" s="7" t="s">
        <v>99</v>
      </c>
      <c r="C160" s="7" t="s">
        <v>146</v>
      </c>
      <c r="D160" s="7">
        <v>12</v>
      </c>
      <c r="E160" s="7">
        <v>293</v>
      </c>
      <c r="F160" s="7">
        <v>64</v>
      </c>
      <c r="G160" s="7">
        <v>9</v>
      </c>
      <c r="H160" s="7">
        <v>77</v>
      </c>
      <c r="I160" s="7" t="s">
        <v>180</v>
      </c>
      <c r="J160" s="7">
        <v>4</v>
      </c>
      <c r="K160" s="7">
        <v>14</v>
      </c>
      <c r="L160" s="7"/>
      <c r="M160" s="7"/>
      <c r="N160" s="7"/>
      <c r="O160" s="7"/>
      <c r="P160" s="7"/>
      <c r="Q160" s="7"/>
      <c r="R160" s="7"/>
      <c r="S160" s="7"/>
      <c r="T160" s="7">
        <v>18</v>
      </c>
      <c r="U160" s="7">
        <v>2.8888888888888888</v>
      </c>
    </row>
    <row r="161" spans="1:21" x14ac:dyDescent="0.3">
      <c r="A161" s="7" t="s">
        <v>96</v>
      </c>
      <c r="B161" s="7" t="s">
        <v>99</v>
      </c>
      <c r="C161" s="7" t="s">
        <v>146</v>
      </c>
      <c r="D161" s="7">
        <v>13</v>
      </c>
      <c r="E161" s="7">
        <v>308</v>
      </c>
      <c r="F161" s="7">
        <v>66</v>
      </c>
      <c r="G161" s="7">
        <v>10</v>
      </c>
      <c r="H161" s="7">
        <v>90</v>
      </c>
      <c r="I161" s="7" t="s">
        <v>177</v>
      </c>
      <c r="J161" s="7">
        <v>44</v>
      </c>
      <c r="K161" s="7">
        <v>2</v>
      </c>
      <c r="L161" s="7"/>
      <c r="M161" s="7"/>
      <c r="N161" s="7"/>
      <c r="O161" s="7"/>
      <c r="P161" s="7"/>
      <c r="Q161" s="7"/>
      <c r="R161" s="7"/>
      <c r="S161" s="7"/>
      <c r="T161" s="7">
        <v>46</v>
      </c>
      <c r="U161" s="7">
        <v>1.130434782608696</v>
      </c>
    </row>
    <row r="162" spans="1:21" x14ac:dyDescent="0.3">
      <c r="A162" s="7" t="s">
        <v>96</v>
      </c>
      <c r="B162" s="7" t="s">
        <v>99</v>
      </c>
      <c r="C162" s="7" t="s">
        <v>146</v>
      </c>
      <c r="D162" s="7">
        <v>14</v>
      </c>
      <c r="E162" s="7">
        <v>300</v>
      </c>
      <c r="F162" s="7">
        <v>63</v>
      </c>
      <c r="G162" s="7">
        <v>10</v>
      </c>
      <c r="H162" s="7">
        <v>162</v>
      </c>
      <c r="I162" s="7" t="s">
        <v>179</v>
      </c>
      <c r="J162" s="7">
        <v>49</v>
      </c>
      <c r="K162" s="7">
        <v>7</v>
      </c>
      <c r="L162" s="7"/>
      <c r="M162" s="7"/>
      <c r="N162" s="7"/>
      <c r="O162" s="7"/>
      <c r="P162" s="7"/>
      <c r="Q162" s="7"/>
      <c r="R162" s="7"/>
      <c r="S162" s="7"/>
      <c r="T162" s="7">
        <v>56</v>
      </c>
      <c r="U162" s="7">
        <v>0.9285714285714286</v>
      </c>
    </row>
    <row r="163" spans="1:21" x14ac:dyDescent="0.3">
      <c r="A163" s="7" t="s">
        <v>182</v>
      </c>
      <c r="B163" s="7" t="s">
        <v>97</v>
      </c>
      <c r="C163" s="7" t="s">
        <v>144</v>
      </c>
      <c r="D163" s="7">
        <v>1</v>
      </c>
      <c r="E163" s="7">
        <v>333</v>
      </c>
      <c r="F163" s="7">
        <v>64</v>
      </c>
      <c r="G163" s="7">
        <v>15</v>
      </c>
      <c r="H163" s="7">
        <v>142</v>
      </c>
      <c r="I163" s="7" t="s">
        <v>176</v>
      </c>
      <c r="J163" s="7">
        <v>45</v>
      </c>
      <c r="K163" s="7">
        <v>3</v>
      </c>
      <c r="L163" s="7">
        <v>11</v>
      </c>
      <c r="M163" s="7">
        <v>192</v>
      </c>
      <c r="N163" s="7">
        <v>6</v>
      </c>
      <c r="O163" s="7">
        <v>36.1</v>
      </c>
      <c r="P163" s="7">
        <v>37</v>
      </c>
      <c r="Q163" s="7">
        <v>7</v>
      </c>
      <c r="R163" s="7">
        <v>7.8</v>
      </c>
      <c r="S163" s="7">
        <v>6.7968864</v>
      </c>
      <c r="T163" s="7">
        <v>48</v>
      </c>
      <c r="U163" s="7">
        <v>1.083333333333333</v>
      </c>
    </row>
    <row r="164" spans="1:21" x14ac:dyDescent="0.3">
      <c r="A164" s="7" t="s">
        <v>182</v>
      </c>
      <c r="B164" s="7" t="s">
        <v>97</v>
      </c>
      <c r="C164" s="7" t="s">
        <v>144</v>
      </c>
      <c r="D164" s="7">
        <v>2</v>
      </c>
      <c r="E164" s="7">
        <v>350</v>
      </c>
      <c r="F164" s="7">
        <v>65</v>
      </c>
      <c r="G164" s="7">
        <v>11</v>
      </c>
      <c r="H164" s="7">
        <v>83</v>
      </c>
      <c r="I164" s="7" t="s">
        <v>178</v>
      </c>
      <c r="J164" s="7">
        <v>46</v>
      </c>
      <c r="K164" s="7">
        <v>4</v>
      </c>
      <c r="L164" s="7">
        <v>11</v>
      </c>
      <c r="M164" s="7">
        <v>172</v>
      </c>
      <c r="N164" s="7">
        <v>7</v>
      </c>
      <c r="O164" s="7">
        <v>40.299999999999997</v>
      </c>
      <c r="P164" s="7">
        <v>37</v>
      </c>
      <c r="Q164" s="7">
        <v>7</v>
      </c>
      <c r="R164" s="7">
        <v>8.1999999999999993</v>
      </c>
      <c r="S164" s="7">
        <v>7.0066080000000008</v>
      </c>
      <c r="T164" s="7">
        <v>50</v>
      </c>
      <c r="U164" s="7">
        <v>1.04</v>
      </c>
    </row>
    <row r="165" spans="1:21" x14ac:dyDescent="0.3">
      <c r="A165" s="7" t="s">
        <v>182</v>
      </c>
      <c r="B165" s="7" t="s">
        <v>97</v>
      </c>
      <c r="C165" s="7" t="s">
        <v>144</v>
      </c>
      <c r="D165" s="7">
        <v>3</v>
      </c>
      <c r="E165" s="7">
        <v>300</v>
      </c>
      <c r="F165" s="7">
        <v>60</v>
      </c>
      <c r="G165" s="7">
        <v>10</v>
      </c>
      <c r="H165" s="7">
        <v>60</v>
      </c>
      <c r="I165" s="7" t="s">
        <v>177</v>
      </c>
      <c r="J165" s="7">
        <v>47</v>
      </c>
      <c r="K165" s="7">
        <v>5</v>
      </c>
      <c r="L165" s="7"/>
      <c r="M165" s="7"/>
      <c r="N165" s="7"/>
      <c r="O165" s="7"/>
      <c r="P165" s="7"/>
      <c r="Q165" s="7"/>
      <c r="R165" s="7"/>
      <c r="S165" s="7"/>
      <c r="T165" s="7">
        <v>52</v>
      </c>
      <c r="U165" s="7">
        <v>1</v>
      </c>
    </row>
    <row r="166" spans="1:21" x14ac:dyDescent="0.3">
      <c r="A166" s="7" t="s">
        <v>182</v>
      </c>
      <c r="B166" s="7" t="s">
        <v>97</v>
      </c>
      <c r="C166" s="7" t="s">
        <v>144</v>
      </c>
      <c r="D166" s="7">
        <v>4</v>
      </c>
      <c r="E166" s="7">
        <v>335</v>
      </c>
      <c r="F166" s="7">
        <v>64</v>
      </c>
      <c r="G166" s="7">
        <v>12</v>
      </c>
      <c r="H166" s="7">
        <v>117</v>
      </c>
      <c r="I166" s="7" t="s">
        <v>173</v>
      </c>
      <c r="J166" s="7">
        <v>47</v>
      </c>
      <c r="K166" s="7">
        <v>5</v>
      </c>
      <c r="L166" s="7">
        <v>11</v>
      </c>
      <c r="M166" s="7">
        <v>163</v>
      </c>
      <c r="N166" s="7">
        <v>6</v>
      </c>
      <c r="O166" s="7">
        <v>37.700000000000003</v>
      </c>
      <c r="P166" s="7">
        <v>38</v>
      </c>
      <c r="Q166" s="7">
        <v>7</v>
      </c>
      <c r="R166" s="7">
        <v>7.8</v>
      </c>
      <c r="S166" s="7">
        <v>7.7673254400000014</v>
      </c>
      <c r="T166" s="7">
        <v>52</v>
      </c>
      <c r="U166" s="7">
        <v>1</v>
      </c>
    </row>
    <row r="167" spans="1:21" x14ac:dyDescent="0.3">
      <c r="A167" s="7" t="s">
        <v>182</v>
      </c>
      <c r="B167" s="7" t="s">
        <v>97</v>
      </c>
      <c r="C167" s="7" t="s">
        <v>144</v>
      </c>
      <c r="D167" s="7">
        <v>5</v>
      </c>
      <c r="E167" s="7">
        <v>290</v>
      </c>
      <c r="F167" s="7">
        <v>60</v>
      </c>
      <c r="G167" s="7">
        <v>9</v>
      </c>
      <c r="H167" s="7">
        <v>120</v>
      </c>
      <c r="I167" s="7" t="s">
        <v>173</v>
      </c>
      <c r="J167" s="7">
        <v>3</v>
      </c>
      <c r="K167" s="7">
        <v>14</v>
      </c>
      <c r="L167" s="7"/>
      <c r="M167" s="7"/>
      <c r="N167" s="7"/>
      <c r="O167" s="7"/>
      <c r="P167" s="7"/>
      <c r="Q167" s="7"/>
      <c r="R167" s="7"/>
      <c r="S167" s="7"/>
      <c r="T167" s="7">
        <v>17</v>
      </c>
      <c r="U167" s="7">
        <v>3.0588235294117649</v>
      </c>
    </row>
    <row r="168" spans="1:21" x14ac:dyDescent="0.3">
      <c r="A168" s="7" t="s">
        <v>182</v>
      </c>
      <c r="B168" s="7" t="s">
        <v>97</v>
      </c>
      <c r="C168" s="7" t="s">
        <v>144</v>
      </c>
      <c r="D168" s="7">
        <v>6</v>
      </c>
      <c r="E168" s="7">
        <v>300</v>
      </c>
      <c r="F168" s="7">
        <v>59</v>
      </c>
      <c r="G168" s="7">
        <v>13</v>
      </c>
      <c r="H168" s="7">
        <v>110</v>
      </c>
      <c r="I168" s="7" t="s">
        <v>175</v>
      </c>
      <c r="J168" s="7">
        <v>43</v>
      </c>
      <c r="K168" s="7">
        <v>1</v>
      </c>
      <c r="L168" s="7">
        <v>11</v>
      </c>
      <c r="M168" s="7">
        <v>160</v>
      </c>
      <c r="N168" s="7">
        <v>9</v>
      </c>
      <c r="O168" s="7">
        <v>20.5</v>
      </c>
      <c r="P168" s="7">
        <v>37</v>
      </c>
      <c r="Q168" s="7">
        <v>5</v>
      </c>
      <c r="R168" s="7">
        <v>7.4</v>
      </c>
      <c r="S168" s="7">
        <v>8.9503459200000002</v>
      </c>
      <c r="T168" s="7">
        <v>44</v>
      </c>
      <c r="U168" s="7">
        <v>1.1818181818181821</v>
      </c>
    </row>
    <row r="169" spans="1:21" x14ac:dyDescent="0.3">
      <c r="A169" s="7" t="s">
        <v>182</v>
      </c>
      <c r="B169" s="7" t="s">
        <v>97</v>
      </c>
      <c r="C169" s="7" t="s">
        <v>144</v>
      </c>
      <c r="D169" s="7">
        <v>7</v>
      </c>
      <c r="E169" s="7">
        <v>294</v>
      </c>
      <c r="F169" s="7">
        <v>59</v>
      </c>
      <c r="G169" s="7">
        <v>11</v>
      </c>
      <c r="H169" s="7">
        <v>84</v>
      </c>
      <c r="I169" s="7" t="s">
        <v>176</v>
      </c>
      <c r="J169" s="7">
        <v>1</v>
      </c>
      <c r="K169" s="7">
        <v>10</v>
      </c>
      <c r="L169" s="7"/>
      <c r="M169" s="7"/>
      <c r="N169" s="7"/>
      <c r="O169" s="7"/>
      <c r="P169" s="7"/>
      <c r="Q169" s="7"/>
      <c r="R169" s="7"/>
      <c r="S169" s="7"/>
      <c r="T169" s="7">
        <v>11</v>
      </c>
      <c r="U169" s="7">
        <v>4.7272727272727284</v>
      </c>
    </row>
    <row r="170" spans="1:21" x14ac:dyDescent="0.3">
      <c r="A170" s="7" t="s">
        <v>182</v>
      </c>
      <c r="B170" s="7" t="s">
        <v>97</v>
      </c>
      <c r="C170" s="7" t="s">
        <v>144</v>
      </c>
      <c r="D170" s="7">
        <v>8</v>
      </c>
      <c r="E170" s="7">
        <v>298</v>
      </c>
      <c r="F170" s="7">
        <v>59</v>
      </c>
      <c r="G170" s="7">
        <v>11</v>
      </c>
      <c r="H170" s="7">
        <v>80</v>
      </c>
      <c r="I170" s="7" t="s">
        <v>175</v>
      </c>
      <c r="J170" s="7">
        <v>7</v>
      </c>
      <c r="K170" s="7">
        <v>17</v>
      </c>
      <c r="L170" s="7"/>
      <c r="M170" s="7"/>
      <c r="N170" s="7"/>
      <c r="O170" s="7"/>
      <c r="P170" s="7"/>
      <c r="Q170" s="7"/>
      <c r="R170" s="7"/>
      <c r="S170" s="7"/>
      <c r="T170" s="7">
        <v>24</v>
      </c>
      <c r="U170" s="7">
        <v>2.166666666666667</v>
      </c>
    </row>
    <row r="171" spans="1:21" x14ac:dyDescent="0.3">
      <c r="A171" s="7" t="s">
        <v>182</v>
      </c>
      <c r="B171" s="7" t="s">
        <v>97</v>
      </c>
      <c r="C171" s="7" t="s">
        <v>144</v>
      </c>
      <c r="D171" s="7">
        <v>9</v>
      </c>
      <c r="E171" s="7">
        <v>350</v>
      </c>
      <c r="F171" s="7">
        <v>62</v>
      </c>
      <c r="G171" s="7">
        <v>15</v>
      </c>
      <c r="H171" s="7">
        <v>145</v>
      </c>
      <c r="I171" s="7" t="s">
        <v>174</v>
      </c>
      <c r="J171" s="7">
        <v>42</v>
      </c>
      <c r="K171" s="7">
        <v>52</v>
      </c>
      <c r="L171" s="7">
        <v>11</v>
      </c>
      <c r="M171" s="7">
        <v>200</v>
      </c>
      <c r="N171" s="7">
        <v>5</v>
      </c>
      <c r="O171" s="7">
        <v>43</v>
      </c>
      <c r="P171" s="7">
        <v>39</v>
      </c>
      <c r="Q171" s="7">
        <v>7</v>
      </c>
      <c r="R171" s="7">
        <v>7.6</v>
      </c>
      <c r="S171" s="7">
        <v>4.72668</v>
      </c>
      <c r="T171" s="7">
        <v>94</v>
      </c>
      <c r="U171" s="7">
        <v>0.55319148936170215</v>
      </c>
    </row>
    <row r="172" spans="1:21" x14ac:dyDescent="0.3">
      <c r="A172" s="7" t="s">
        <v>182</v>
      </c>
      <c r="B172" s="7" t="s">
        <v>97</v>
      </c>
      <c r="C172" s="7" t="s">
        <v>144</v>
      </c>
      <c r="D172" s="7">
        <v>10</v>
      </c>
      <c r="E172" s="7">
        <v>330</v>
      </c>
      <c r="F172" s="7">
        <v>59</v>
      </c>
      <c r="G172" s="7">
        <v>12</v>
      </c>
      <c r="H172" s="7">
        <v>115</v>
      </c>
      <c r="I172" s="7" t="s">
        <v>176</v>
      </c>
      <c r="J172" s="7">
        <v>45</v>
      </c>
      <c r="K172" s="7">
        <v>3</v>
      </c>
      <c r="L172" s="7">
        <v>11</v>
      </c>
      <c r="M172" s="7">
        <v>173</v>
      </c>
      <c r="N172" s="7">
        <v>3</v>
      </c>
      <c r="O172" s="7">
        <v>32.5</v>
      </c>
      <c r="P172" s="7">
        <v>39</v>
      </c>
      <c r="Q172" s="7">
        <v>6</v>
      </c>
      <c r="R172" s="7">
        <v>7.8</v>
      </c>
      <c r="S172" s="7">
        <v>2.7737270399999998</v>
      </c>
      <c r="T172" s="7">
        <v>48</v>
      </c>
      <c r="U172" s="7">
        <v>1.083333333333333</v>
      </c>
    </row>
    <row r="173" spans="1:21" x14ac:dyDescent="0.3">
      <c r="A173" s="7" t="s">
        <v>182</v>
      </c>
      <c r="B173" s="7" t="s">
        <v>97</v>
      </c>
      <c r="C173" s="7" t="s">
        <v>144</v>
      </c>
      <c r="D173" s="7">
        <v>11</v>
      </c>
      <c r="E173" s="7">
        <v>306</v>
      </c>
      <c r="F173" s="7">
        <v>56</v>
      </c>
      <c r="G173" s="7">
        <v>10</v>
      </c>
      <c r="H173" s="7">
        <v>85</v>
      </c>
      <c r="I173" s="7" t="s">
        <v>179</v>
      </c>
      <c r="J173" s="7">
        <v>49</v>
      </c>
      <c r="K173" s="7">
        <v>7</v>
      </c>
      <c r="L173" s="7"/>
      <c r="M173" s="7"/>
      <c r="N173" s="7"/>
      <c r="O173" s="7"/>
      <c r="P173" s="7"/>
      <c r="Q173" s="7"/>
      <c r="R173" s="7"/>
      <c r="S173" s="7"/>
      <c r="T173" s="7">
        <v>56</v>
      </c>
      <c r="U173" s="7">
        <v>0.9285714285714286</v>
      </c>
    </row>
    <row r="174" spans="1:21" x14ac:dyDescent="0.3">
      <c r="A174" s="7" t="s">
        <v>182</v>
      </c>
      <c r="B174" s="7" t="s">
        <v>97</v>
      </c>
      <c r="C174" s="7" t="s">
        <v>144</v>
      </c>
      <c r="D174" s="7">
        <v>12</v>
      </c>
      <c r="E174" s="7">
        <v>335</v>
      </c>
      <c r="F174" s="7">
        <v>61</v>
      </c>
      <c r="G174" s="7">
        <v>12</v>
      </c>
      <c r="H174" s="7">
        <v>75</v>
      </c>
      <c r="I174" s="7" t="s">
        <v>179</v>
      </c>
      <c r="J174" s="7">
        <v>41</v>
      </c>
      <c r="K174" s="7">
        <v>51</v>
      </c>
      <c r="L174" s="7">
        <v>11</v>
      </c>
      <c r="M174" s="7">
        <v>120</v>
      </c>
      <c r="N174" s="7">
        <v>7</v>
      </c>
      <c r="O174" s="7">
        <v>45.3</v>
      </c>
      <c r="P174" s="7">
        <v>40</v>
      </c>
      <c r="Q174" s="7">
        <v>7</v>
      </c>
      <c r="R174" s="7">
        <v>8.4</v>
      </c>
      <c r="S174" s="7">
        <v>6.8509056000000008</v>
      </c>
      <c r="T174" s="7">
        <v>92</v>
      </c>
      <c r="U174" s="7">
        <v>0.56521739130434778</v>
      </c>
    </row>
    <row r="175" spans="1:21" x14ac:dyDescent="0.3">
      <c r="A175" s="7" t="s">
        <v>182</v>
      </c>
      <c r="B175" s="7" t="s">
        <v>97</v>
      </c>
      <c r="C175" s="7" t="s">
        <v>144</v>
      </c>
      <c r="D175" s="7">
        <v>13</v>
      </c>
      <c r="E175" s="7">
        <v>340</v>
      </c>
      <c r="F175" s="7">
        <v>63</v>
      </c>
      <c r="G175" s="7">
        <v>11</v>
      </c>
      <c r="H175" s="7">
        <v>117</v>
      </c>
      <c r="I175" s="7" t="s">
        <v>173</v>
      </c>
      <c r="J175" s="7">
        <v>47</v>
      </c>
      <c r="K175" s="7">
        <v>5</v>
      </c>
      <c r="L175" s="7">
        <v>11</v>
      </c>
      <c r="M175" s="7">
        <v>183</v>
      </c>
      <c r="N175" s="7">
        <v>6</v>
      </c>
      <c r="O175" s="7">
        <v>43.2</v>
      </c>
      <c r="P175" s="7">
        <v>38</v>
      </c>
      <c r="Q175" s="7">
        <v>7</v>
      </c>
      <c r="R175" s="7">
        <v>7.2</v>
      </c>
      <c r="S175" s="7">
        <v>5.8988966400000002</v>
      </c>
      <c r="T175" s="7">
        <v>52</v>
      </c>
      <c r="U175" s="7">
        <v>1</v>
      </c>
    </row>
    <row r="176" spans="1:21" x14ac:dyDescent="0.3">
      <c r="A176" s="7" t="s">
        <v>182</v>
      </c>
      <c r="B176" s="7" t="s">
        <v>97</v>
      </c>
      <c r="C176" s="7" t="s">
        <v>144</v>
      </c>
      <c r="D176" s="7">
        <v>14</v>
      </c>
      <c r="E176" s="7">
        <v>370</v>
      </c>
      <c r="F176" s="7">
        <v>70</v>
      </c>
      <c r="G176" s="7">
        <v>11</v>
      </c>
      <c r="H176" s="7">
        <v>160</v>
      </c>
      <c r="I176" s="7" t="s">
        <v>174</v>
      </c>
      <c r="J176" s="7">
        <v>50</v>
      </c>
      <c r="K176" s="7">
        <v>8</v>
      </c>
      <c r="L176" s="7"/>
      <c r="M176" s="7"/>
      <c r="N176" s="7"/>
      <c r="O176" s="7"/>
      <c r="P176" s="7"/>
      <c r="Q176" s="7"/>
      <c r="R176" s="7"/>
      <c r="S176" s="7"/>
      <c r="T176" s="7">
        <v>58</v>
      </c>
      <c r="U176" s="7">
        <v>0.89655172413793105</v>
      </c>
    </row>
    <row r="177" spans="1:21" x14ac:dyDescent="0.3">
      <c r="A177" s="7" t="s">
        <v>182</v>
      </c>
      <c r="B177" s="7" t="s">
        <v>172</v>
      </c>
      <c r="C177" s="7" t="s">
        <v>146</v>
      </c>
      <c r="D177" s="7">
        <v>1</v>
      </c>
      <c r="E177" s="7">
        <v>320</v>
      </c>
      <c r="F177" s="7">
        <v>65</v>
      </c>
      <c r="G177" s="7">
        <v>12</v>
      </c>
      <c r="H177" s="7">
        <v>76</v>
      </c>
      <c r="I177" s="7" t="s">
        <v>176</v>
      </c>
      <c r="J177" s="7">
        <v>45</v>
      </c>
      <c r="K177" s="7">
        <v>3</v>
      </c>
      <c r="L177" s="7">
        <v>11</v>
      </c>
      <c r="M177" s="7">
        <v>80</v>
      </c>
      <c r="N177" s="7">
        <v>7</v>
      </c>
      <c r="O177" s="7">
        <v>34.9</v>
      </c>
      <c r="P177" s="7">
        <v>39</v>
      </c>
      <c r="Q177" s="7">
        <v>6</v>
      </c>
      <c r="R177" s="7">
        <v>8.4</v>
      </c>
      <c r="S177" s="7">
        <v>5.9315200000000008</v>
      </c>
      <c r="T177" s="7">
        <v>48</v>
      </c>
      <c r="U177" s="7">
        <v>1.083333333333333</v>
      </c>
    </row>
    <row r="178" spans="1:21" x14ac:dyDescent="0.3">
      <c r="A178" s="7" t="s">
        <v>182</v>
      </c>
      <c r="B178" s="7" t="s">
        <v>172</v>
      </c>
      <c r="C178" s="7" t="s">
        <v>146</v>
      </c>
      <c r="D178" s="7">
        <v>2</v>
      </c>
      <c r="E178" s="7">
        <v>340</v>
      </c>
      <c r="F178" s="7">
        <v>63</v>
      </c>
      <c r="G178" s="7">
        <v>15</v>
      </c>
      <c r="H178" s="7">
        <v>124</v>
      </c>
      <c r="I178" s="7" t="s">
        <v>176</v>
      </c>
      <c r="J178" s="7">
        <v>45</v>
      </c>
      <c r="K178" s="7">
        <v>3</v>
      </c>
      <c r="L178" s="7">
        <v>11</v>
      </c>
      <c r="M178" s="7">
        <v>186</v>
      </c>
      <c r="N178" s="7">
        <v>6</v>
      </c>
      <c r="O178" s="7">
        <v>40.200000000000003</v>
      </c>
      <c r="P178" s="7">
        <v>38</v>
      </c>
      <c r="Q178" s="7">
        <v>7</v>
      </c>
      <c r="R178" s="7">
        <v>8.4</v>
      </c>
      <c r="S178" s="7">
        <v>6.9208128000000002</v>
      </c>
      <c r="T178" s="7">
        <v>48</v>
      </c>
      <c r="U178" s="7">
        <v>1.083333333333333</v>
      </c>
    </row>
    <row r="179" spans="1:21" x14ac:dyDescent="0.3">
      <c r="A179" s="7" t="s">
        <v>182</v>
      </c>
      <c r="B179" s="7" t="s">
        <v>172</v>
      </c>
      <c r="C179" s="7" t="s">
        <v>146</v>
      </c>
      <c r="D179" s="7">
        <v>3</v>
      </c>
      <c r="E179" s="7">
        <v>335</v>
      </c>
      <c r="F179" s="7">
        <v>64</v>
      </c>
      <c r="G179" s="7">
        <v>13</v>
      </c>
      <c r="H179" s="7">
        <v>106</v>
      </c>
      <c r="I179" s="7" t="s">
        <v>178</v>
      </c>
      <c r="J179" s="7">
        <v>46</v>
      </c>
      <c r="K179" s="7">
        <v>4</v>
      </c>
      <c r="L179" s="7">
        <v>11</v>
      </c>
      <c r="M179" s="7">
        <v>150</v>
      </c>
      <c r="N179" s="7">
        <v>5</v>
      </c>
      <c r="O179" s="7">
        <v>41</v>
      </c>
      <c r="P179" s="7">
        <v>38</v>
      </c>
      <c r="Q179" s="7">
        <v>7</v>
      </c>
      <c r="R179" s="7">
        <v>8.1999999999999993</v>
      </c>
      <c r="S179" s="7">
        <v>5.5422640000000003</v>
      </c>
      <c r="T179" s="7">
        <v>50</v>
      </c>
      <c r="U179" s="7">
        <v>1.04</v>
      </c>
    </row>
    <row r="180" spans="1:21" x14ac:dyDescent="0.3">
      <c r="A180" s="7" t="s">
        <v>182</v>
      </c>
      <c r="B180" s="7" t="s">
        <v>172</v>
      </c>
      <c r="C180" s="7" t="s">
        <v>146</v>
      </c>
      <c r="D180" s="7">
        <v>4</v>
      </c>
      <c r="E180" s="7">
        <v>325</v>
      </c>
      <c r="F180" s="7">
        <v>66</v>
      </c>
      <c r="G180" s="7">
        <v>11</v>
      </c>
      <c r="H180" s="7">
        <v>135</v>
      </c>
      <c r="I180" s="7" t="s">
        <v>178</v>
      </c>
      <c r="J180" s="7">
        <v>46</v>
      </c>
      <c r="K180" s="7">
        <v>4</v>
      </c>
      <c r="L180" s="7">
        <v>11</v>
      </c>
      <c r="M180" s="7">
        <v>204</v>
      </c>
      <c r="N180" s="7">
        <v>5</v>
      </c>
      <c r="O180" s="7">
        <v>43</v>
      </c>
      <c r="P180" s="7">
        <v>39</v>
      </c>
      <c r="Q180" s="7">
        <v>7</v>
      </c>
      <c r="R180" s="7">
        <v>8</v>
      </c>
      <c r="S180" s="7">
        <v>5.3026200000000001</v>
      </c>
      <c r="T180" s="7">
        <v>50</v>
      </c>
      <c r="U180" s="7">
        <v>1.04</v>
      </c>
    </row>
    <row r="181" spans="1:21" x14ac:dyDescent="0.3">
      <c r="A181" s="7" t="s">
        <v>182</v>
      </c>
      <c r="B181" s="7" t="s">
        <v>172</v>
      </c>
      <c r="C181" s="7" t="s">
        <v>146</v>
      </c>
      <c r="D181" s="7">
        <v>5</v>
      </c>
      <c r="E181" s="7">
        <v>336</v>
      </c>
      <c r="F181" s="7">
        <v>64</v>
      </c>
      <c r="G181" s="7">
        <v>11</v>
      </c>
      <c r="H181" s="7">
        <v>170</v>
      </c>
      <c r="I181" s="7" t="s">
        <v>178</v>
      </c>
      <c r="J181" s="7">
        <v>46</v>
      </c>
      <c r="K181" s="7">
        <v>4</v>
      </c>
      <c r="L181" s="7">
        <v>11</v>
      </c>
      <c r="M181" s="7">
        <v>216</v>
      </c>
      <c r="N181" s="7">
        <v>5</v>
      </c>
      <c r="O181" s="7">
        <v>41.8</v>
      </c>
      <c r="P181" s="7">
        <v>37</v>
      </c>
      <c r="Q181" s="7">
        <v>7</v>
      </c>
      <c r="R181" s="7">
        <v>7.4</v>
      </c>
      <c r="S181" s="7">
        <v>6.1009919999999997</v>
      </c>
      <c r="T181" s="7">
        <v>50</v>
      </c>
      <c r="U181" s="7">
        <v>1.04</v>
      </c>
    </row>
    <row r="182" spans="1:21" x14ac:dyDescent="0.3">
      <c r="A182" s="7" t="s">
        <v>182</v>
      </c>
      <c r="B182" s="7" t="s">
        <v>172</v>
      </c>
      <c r="C182" s="7" t="s">
        <v>146</v>
      </c>
      <c r="D182" s="7">
        <v>6</v>
      </c>
      <c r="E182" s="7">
        <v>315</v>
      </c>
      <c r="F182" s="7">
        <v>57</v>
      </c>
      <c r="G182" s="7">
        <v>13</v>
      </c>
      <c r="H182" s="7">
        <v>120</v>
      </c>
      <c r="I182" s="7" t="s">
        <v>176</v>
      </c>
      <c r="J182" s="7">
        <v>45</v>
      </c>
      <c r="K182" s="7">
        <v>3</v>
      </c>
      <c r="L182" s="7">
        <v>11</v>
      </c>
      <c r="M182" s="7">
        <v>155</v>
      </c>
      <c r="N182" s="7">
        <v>6</v>
      </c>
      <c r="O182" s="7">
        <v>28.9</v>
      </c>
      <c r="P182" s="7">
        <v>37</v>
      </c>
      <c r="Q182" s="7">
        <v>6</v>
      </c>
      <c r="R182" s="7">
        <v>7</v>
      </c>
      <c r="S182" s="7">
        <v>5.8722047999999996</v>
      </c>
      <c r="T182" s="7">
        <v>48</v>
      </c>
      <c r="U182" s="7">
        <v>1.083333333333333</v>
      </c>
    </row>
    <row r="183" spans="1:21" x14ac:dyDescent="0.3">
      <c r="A183" s="7" t="s">
        <v>182</v>
      </c>
      <c r="B183" s="7" t="s">
        <v>172</v>
      </c>
      <c r="C183" s="7" t="s">
        <v>146</v>
      </c>
      <c r="D183" s="7">
        <v>7</v>
      </c>
      <c r="E183" s="7">
        <v>315</v>
      </c>
      <c r="F183" s="7">
        <v>57</v>
      </c>
      <c r="G183" s="7">
        <v>12</v>
      </c>
      <c r="H183" s="7">
        <v>142</v>
      </c>
      <c r="I183" s="7" t="s">
        <v>176</v>
      </c>
      <c r="J183" s="7">
        <v>45</v>
      </c>
      <c r="K183" s="7">
        <v>3</v>
      </c>
      <c r="L183" s="7">
        <v>11</v>
      </c>
      <c r="M183" s="7">
        <v>194</v>
      </c>
      <c r="N183" s="7">
        <v>5</v>
      </c>
      <c r="O183" s="7">
        <v>32.700000000000003</v>
      </c>
      <c r="P183" s="7">
        <v>37</v>
      </c>
      <c r="Q183" s="7">
        <v>6</v>
      </c>
      <c r="R183" s="7">
        <v>7.6</v>
      </c>
      <c r="S183" s="7">
        <v>4.2368000000000023</v>
      </c>
      <c r="T183" s="7">
        <v>48</v>
      </c>
      <c r="U183" s="7">
        <v>1.083333333333333</v>
      </c>
    </row>
    <row r="184" spans="1:21" x14ac:dyDescent="0.3">
      <c r="A184" s="7" t="s">
        <v>182</v>
      </c>
      <c r="B184" s="7" t="s">
        <v>172</v>
      </c>
      <c r="C184" s="7" t="s">
        <v>146</v>
      </c>
      <c r="D184" s="7">
        <v>8</v>
      </c>
      <c r="E184" s="7">
        <v>290</v>
      </c>
      <c r="F184" s="7">
        <v>60</v>
      </c>
      <c r="G184" s="7">
        <v>11</v>
      </c>
      <c r="H184" s="7">
        <v>75</v>
      </c>
      <c r="I184" s="7" t="s">
        <v>177</v>
      </c>
      <c r="J184" s="7">
        <v>52</v>
      </c>
      <c r="K184" s="7">
        <v>10</v>
      </c>
      <c r="L184" s="7"/>
      <c r="M184" s="7"/>
      <c r="N184" s="7"/>
      <c r="O184" s="7"/>
      <c r="P184" s="7"/>
      <c r="Q184" s="7"/>
      <c r="R184" s="7"/>
      <c r="S184" s="7"/>
      <c r="T184" s="7">
        <v>62</v>
      </c>
      <c r="U184" s="7">
        <v>0.83870967741935487</v>
      </c>
    </row>
    <row r="185" spans="1:21" x14ac:dyDescent="0.3">
      <c r="A185" s="7" t="s">
        <v>182</v>
      </c>
      <c r="B185" s="7" t="s">
        <v>172</v>
      </c>
      <c r="C185" s="7" t="s">
        <v>146</v>
      </c>
      <c r="D185" s="7">
        <v>9</v>
      </c>
      <c r="E185" s="7">
        <v>345</v>
      </c>
      <c r="F185" s="7">
        <v>66</v>
      </c>
      <c r="G185" s="7">
        <v>14</v>
      </c>
      <c r="H185" s="7">
        <v>93</v>
      </c>
      <c r="I185" s="7" t="s">
        <v>175</v>
      </c>
      <c r="J185" s="7">
        <v>43</v>
      </c>
      <c r="K185" s="7">
        <v>52</v>
      </c>
      <c r="L185" s="7">
        <v>10</v>
      </c>
      <c r="M185" s="7">
        <v>192</v>
      </c>
      <c r="N185" s="7">
        <v>6</v>
      </c>
      <c r="O185" s="7">
        <v>46</v>
      </c>
      <c r="P185" s="7">
        <v>39</v>
      </c>
      <c r="Q185" s="7">
        <v>7</v>
      </c>
      <c r="R185" s="7">
        <v>8</v>
      </c>
      <c r="S185" s="7">
        <v>7.1623104000000017</v>
      </c>
      <c r="T185" s="7">
        <v>95</v>
      </c>
      <c r="U185" s="7">
        <v>0.54736842105263162</v>
      </c>
    </row>
    <row r="186" spans="1:21" x14ac:dyDescent="0.3">
      <c r="A186" s="7" t="s">
        <v>182</v>
      </c>
      <c r="B186" s="7" t="s">
        <v>172</v>
      </c>
      <c r="C186" s="7" t="s">
        <v>146</v>
      </c>
      <c r="D186" s="7">
        <v>10</v>
      </c>
      <c r="E186" s="7">
        <v>323</v>
      </c>
      <c r="F186" s="7">
        <v>67</v>
      </c>
      <c r="G186" s="7">
        <v>9</v>
      </c>
      <c r="H186" s="7">
        <v>126</v>
      </c>
      <c r="I186" s="7" t="s">
        <v>179</v>
      </c>
      <c r="J186" s="7">
        <v>5</v>
      </c>
      <c r="K186" s="7">
        <v>15</v>
      </c>
      <c r="L186" s="7"/>
      <c r="M186" s="7"/>
      <c r="N186" s="7"/>
      <c r="O186" s="7"/>
      <c r="P186" s="7"/>
      <c r="Q186" s="7"/>
      <c r="R186" s="7"/>
      <c r="S186" s="7"/>
      <c r="T186" s="7">
        <v>20</v>
      </c>
      <c r="U186" s="7">
        <v>2.6</v>
      </c>
    </row>
    <row r="187" spans="1:21" x14ac:dyDescent="0.3">
      <c r="A187" s="7" t="s">
        <v>182</v>
      </c>
      <c r="B187" s="7" t="s">
        <v>172</v>
      </c>
      <c r="C187" s="7" t="s">
        <v>146</v>
      </c>
      <c r="D187" s="7">
        <v>11</v>
      </c>
      <c r="E187" s="7">
        <v>300</v>
      </c>
      <c r="F187" s="7">
        <v>64</v>
      </c>
      <c r="G187" s="7">
        <v>9</v>
      </c>
      <c r="H187" s="7">
        <v>50</v>
      </c>
      <c r="I187" s="7" t="s">
        <v>179</v>
      </c>
      <c r="J187" s="7">
        <v>5</v>
      </c>
      <c r="K187" s="7">
        <v>15</v>
      </c>
      <c r="L187" s="7"/>
      <c r="M187" s="7"/>
      <c r="N187" s="7"/>
      <c r="O187" s="7"/>
      <c r="P187" s="7"/>
      <c r="Q187" s="7"/>
      <c r="R187" s="7"/>
      <c r="S187" s="7"/>
      <c r="T187" s="7">
        <v>20</v>
      </c>
      <c r="U187" s="7">
        <v>2.6</v>
      </c>
    </row>
    <row r="188" spans="1:21" x14ac:dyDescent="0.3">
      <c r="A188" s="7" t="s">
        <v>182</v>
      </c>
      <c r="B188" s="7" t="s">
        <v>172</v>
      </c>
      <c r="C188" s="7" t="s">
        <v>146</v>
      </c>
      <c r="D188" s="7">
        <v>12</v>
      </c>
      <c r="E188" s="7">
        <v>300</v>
      </c>
      <c r="F188" s="7">
        <v>58</v>
      </c>
      <c r="G188" s="7">
        <v>11</v>
      </c>
      <c r="H188" s="7">
        <v>74</v>
      </c>
      <c r="I188" s="7" t="s">
        <v>173</v>
      </c>
      <c r="J188" s="7">
        <v>47</v>
      </c>
      <c r="K188" s="7">
        <v>5</v>
      </c>
      <c r="L188" s="7"/>
      <c r="M188" s="7"/>
      <c r="N188" s="7"/>
      <c r="O188" s="7"/>
      <c r="P188" s="7"/>
      <c r="Q188" s="7"/>
      <c r="R188" s="7"/>
      <c r="S188" s="7"/>
      <c r="T188" s="7">
        <v>52</v>
      </c>
      <c r="U188" s="7">
        <v>1</v>
      </c>
    </row>
    <row r="189" spans="1:21" x14ac:dyDescent="0.3">
      <c r="A189" s="7" t="s">
        <v>182</v>
      </c>
      <c r="B189" s="7" t="s">
        <v>172</v>
      </c>
      <c r="C189" s="7" t="s">
        <v>146</v>
      </c>
      <c r="D189" s="7">
        <v>13</v>
      </c>
      <c r="E189" s="7">
        <v>290</v>
      </c>
      <c r="F189" s="7">
        <v>53</v>
      </c>
      <c r="G189" s="7">
        <v>10</v>
      </c>
      <c r="H189" s="7">
        <v>115</v>
      </c>
      <c r="I189" s="7" t="s">
        <v>178</v>
      </c>
      <c r="J189" s="7">
        <v>2</v>
      </c>
      <c r="K189" s="7">
        <v>12</v>
      </c>
      <c r="L189" s="7"/>
      <c r="M189" s="7"/>
      <c r="N189" s="7"/>
      <c r="O189" s="7"/>
      <c r="P189" s="7"/>
      <c r="Q189" s="7"/>
      <c r="R189" s="7"/>
      <c r="S189" s="7"/>
      <c r="T189" s="7">
        <v>14</v>
      </c>
      <c r="U189" s="7">
        <v>3.714285714285714</v>
      </c>
    </row>
    <row r="190" spans="1:21" x14ac:dyDescent="0.3">
      <c r="A190" s="7" t="s">
        <v>182</v>
      </c>
      <c r="B190" s="7" t="s">
        <v>172</v>
      </c>
      <c r="C190" s="7" t="s">
        <v>146</v>
      </c>
      <c r="D190" s="7">
        <v>14</v>
      </c>
      <c r="E190" s="7">
        <v>300</v>
      </c>
      <c r="F190" s="7">
        <v>62</v>
      </c>
      <c r="G190" s="7">
        <v>12</v>
      </c>
      <c r="H190" s="7">
        <v>155</v>
      </c>
      <c r="I190" s="7" t="s">
        <v>179</v>
      </c>
      <c r="J190" s="7">
        <v>49</v>
      </c>
      <c r="K190" s="7">
        <v>7</v>
      </c>
      <c r="L190" s="7"/>
      <c r="M190" s="7"/>
      <c r="N190" s="7"/>
      <c r="O190" s="7"/>
      <c r="P190" s="7"/>
      <c r="Q190" s="7"/>
      <c r="R190" s="7"/>
      <c r="S190" s="7"/>
      <c r="T190" s="7">
        <v>56</v>
      </c>
      <c r="U190" s="7">
        <v>0.9285714285714286</v>
      </c>
    </row>
    <row r="191" spans="1:21" x14ac:dyDescent="0.3">
      <c r="A191" s="7" t="s">
        <v>182</v>
      </c>
      <c r="B191" s="7" t="s">
        <v>109</v>
      </c>
      <c r="C191" s="7" t="s">
        <v>147</v>
      </c>
      <c r="D191" s="7">
        <v>1</v>
      </c>
      <c r="E191" s="7">
        <v>302</v>
      </c>
      <c r="F191" s="7">
        <v>68</v>
      </c>
      <c r="G191" s="7">
        <v>10</v>
      </c>
      <c r="H191" s="7">
        <v>172</v>
      </c>
      <c r="I191" s="7" t="s">
        <v>175</v>
      </c>
      <c r="J191" s="7">
        <v>7</v>
      </c>
      <c r="K191" s="7">
        <v>17</v>
      </c>
      <c r="L191" s="7"/>
      <c r="M191" s="7"/>
      <c r="N191" s="7"/>
      <c r="O191" s="7"/>
      <c r="P191" s="7"/>
      <c r="Q191" s="7"/>
      <c r="R191" s="7"/>
      <c r="S191" s="7"/>
      <c r="T191" s="7">
        <v>24</v>
      </c>
      <c r="U191" s="7">
        <v>2.166666666666667</v>
      </c>
    </row>
    <row r="192" spans="1:21" x14ac:dyDescent="0.3">
      <c r="A192" s="7" t="s">
        <v>182</v>
      </c>
      <c r="B192" s="7" t="s">
        <v>109</v>
      </c>
      <c r="C192" s="7" t="s">
        <v>147</v>
      </c>
      <c r="D192" s="7">
        <v>2</v>
      </c>
      <c r="E192" s="7">
        <v>330</v>
      </c>
      <c r="F192" s="7">
        <v>66</v>
      </c>
      <c r="G192" s="7">
        <v>10</v>
      </c>
      <c r="H192" s="7">
        <v>132</v>
      </c>
      <c r="I192" s="7" t="s">
        <v>174</v>
      </c>
      <c r="J192" s="7">
        <v>50</v>
      </c>
      <c r="K192" s="7">
        <v>8</v>
      </c>
      <c r="L192" s="7"/>
      <c r="M192" s="7"/>
      <c r="N192" s="7"/>
      <c r="O192" s="7"/>
      <c r="P192" s="7"/>
      <c r="Q192" s="7"/>
      <c r="R192" s="7"/>
      <c r="S192" s="7"/>
      <c r="T192" s="7">
        <v>58</v>
      </c>
      <c r="U192" s="7">
        <v>0.89655172413793105</v>
      </c>
    </row>
    <row r="193" spans="1:21" x14ac:dyDescent="0.3">
      <c r="A193" s="7" t="s">
        <v>182</v>
      </c>
      <c r="B193" s="7" t="s">
        <v>109</v>
      </c>
      <c r="C193" s="7" t="s">
        <v>147</v>
      </c>
      <c r="D193" s="7">
        <v>3</v>
      </c>
      <c r="E193" s="7">
        <v>353</v>
      </c>
      <c r="F193" s="7">
        <v>69</v>
      </c>
      <c r="G193" s="7">
        <v>14</v>
      </c>
      <c r="H193" s="7">
        <v>210</v>
      </c>
      <c r="I193" s="7" t="s">
        <v>177</v>
      </c>
      <c r="J193" s="7">
        <v>44</v>
      </c>
      <c r="K193" s="7">
        <v>2</v>
      </c>
      <c r="L193" s="7">
        <v>12</v>
      </c>
      <c r="M193" s="7">
        <v>235</v>
      </c>
      <c r="N193" s="7">
        <v>6</v>
      </c>
      <c r="O193" s="7">
        <v>38.799999999999997</v>
      </c>
      <c r="P193" s="7">
        <v>37</v>
      </c>
      <c r="Q193" s="7">
        <v>7</v>
      </c>
      <c r="R193" s="7">
        <v>8.4</v>
      </c>
      <c r="S193" s="7">
        <v>6.5776320000000004</v>
      </c>
      <c r="T193" s="7">
        <v>46</v>
      </c>
      <c r="U193" s="7">
        <v>1.130434782608696</v>
      </c>
    </row>
    <row r="194" spans="1:21" x14ac:dyDescent="0.3">
      <c r="A194" s="7" t="s">
        <v>182</v>
      </c>
      <c r="B194" s="7" t="s">
        <v>109</v>
      </c>
      <c r="C194" s="7" t="s">
        <v>147</v>
      </c>
      <c r="D194" s="7">
        <v>4</v>
      </c>
      <c r="E194" s="7">
        <v>336</v>
      </c>
      <c r="F194" s="7">
        <v>64</v>
      </c>
      <c r="G194" s="7">
        <v>12</v>
      </c>
      <c r="H194" s="7">
        <v>144</v>
      </c>
      <c r="I194" s="7" t="s">
        <v>179</v>
      </c>
      <c r="J194" s="7">
        <v>41</v>
      </c>
      <c r="K194" s="7">
        <v>51</v>
      </c>
      <c r="L194" s="7">
        <v>11</v>
      </c>
      <c r="M194" s="7">
        <v>210</v>
      </c>
      <c r="N194" s="7">
        <v>6</v>
      </c>
      <c r="O194" s="7">
        <v>43</v>
      </c>
      <c r="P194" s="7">
        <v>40</v>
      </c>
      <c r="Q194" s="7">
        <v>7</v>
      </c>
      <c r="R194" s="7">
        <v>8</v>
      </c>
      <c r="S194" s="7">
        <v>5.4718272000000008</v>
      </c>
      <c r="T194" s="7">
        <v>92</v>
      </c>
      <c r="U194" s="7">
        <v>0.56521739130434778</v>
      </c>
    </row>
    <row r="195" spans="1:21" x14ac:dyDescent="0.3">
      <c r="A195" s="7" t="s">
        <v>182</v>
      </c>
      <c r="B195" s="7" t="s">
        <v>109</v>
      </c>
      <c r="C195" s="7" t="s">
        <v>147</v>
      </c>
      <c r="D195" s="7">
        <v>5</v>
      </c>
      <c r="E195" s="7">
        <v>303</v>
      </c>
      <c r="F195" s="7">
        <v>56</v>
      </c>
      <c r="G195" s="7">
        <v>12</v>
      </c>
      <c r="H195" s="7">
        <v>106</v>
      </c>
      <c r="I195" s="7" t="s">
        <v>179</v>
      </c>
      <c r="J195" s="7">
        <v>41</v>
      </c>
      <c r="K195" s="7">
        <v>51</v>
      </c>
      <c r="L195" s="7">
        <v>11</v>
      </c>
      <c r="M195" s="7">
        <v>160</v>
      </c>
      <c r="N195" s="7">
        <v>7</v>
      </c>
      <c r="O195" s="7">
        <v>36.4</v>
      </c>
      <c r="P195" s="7">
        <v>40</v>
      </c>
      <c r="Q195" s="7">
        <v>6</v>
      </c>
      <c r="R195" s="7">
        <v>8.1999999999999993</v>
      </c>
      <c r="S195" s="7">
        <v>6.2280960000000007</v>
      </c>
      <c r="T195" s="7">
        <v>92</v>
      </c>
      <c r="U195" s="7">
        <v>0.56521739130434778</v>
      </c>
    </row>
    <row r="196" spans="1:21" x14ac:dyDescent="0.3">
      <c r="A196" s="7" t="s">
        <v>182</v>
      </c>
      <c r="B196" s="7" t="s">
        <v>109</v>
      </c>
      <c r="C196" s="7" t="s">
        <v>147</v>
      </c>
      <c r="D196" s="7">
        <v>6</v>
      </c>
      <c r="E196" s="7">
        <v>330</v>
      </c>
      <c r="F196" s="7">
        <v>64</v>
      </c>
      <c r="G196" s="7">
        <v>13</v>
      </c>
      <c r="H196" s="7">
        <v>106</v>
      </c>
      <c r="I196" s="7" t="s">
        <v>176</v>
      </c>
      <c r="J196" s="7">
        <v>45</v>
      </c>
      <c r="K196" s="7">
        <v>3</v>
      </c>
      <c r="L196" s="7">
        <v>11</v>
      </c>
      <c r="M196" s="7">
        <v>160</v>
      </c>
      <c r="N196" s="7">
        <v>4</v>
      </c>
      <c r="O196" s="7">
        <v>37.200000000000003</v>
      </c>
      <c r="P196" s="7">
        <v>37</v>
      </c>
      <c r="Q196" s="7">
        <v>7</v>
      </c>
      <c r="R196" s="7">
        <v>7.6</v>
      </c>
      <c r="S196" s="7">
        <v>4.1817216000000004</v>
      </c>
      <c r="T196" s="7">
        <v>48</v>
      </c>
      <c r="U196" s="7">
        <v>1.083333333333333</v>
      </c>
    </row>
    <row r="197" spans="1:21" x14ac:dyDescent="0.3">
      <c r="A197" s="7" t="s">
        <v>182</v>
      </c>
      <c r="B197" s="7" t="s">
        <v>109</v>
      </c>
      <c r="C197" s="7" t="s">
        <v>147</v>
      </c>
      <c r="D197" s="7">
        <v>7</v>
      </c>
      <c r="E197" s="7">
        <v>327</v>
      </c>
      <c r="F197" s="7">
        <v>63</v>
      </c>
      <c r="G197" s="7">
        <v>12</v>
      </c>
      <c r="H197" s="7">
        <v>145</v>
      </c>
      <c r="I197" s="7" t="s">
        <v>180</v>
      </c>
      <c r="J197" s="7">
        <v>48</v>
      </c>
      <c r="K197" s="7">
        <v>6</v>
      </c>
      <c r="L197" s="7"/>
      <c r="M197" s="7"/>
      <c r="N197" s="7"/>
      <c r="O197" s="7"/>
      <c r="P197" s="7"/>
      <c r="Q197" s="7"/>
      <c r="R197" s="7"/>
      <c r="S197" s="7"/>
      <c r="T197" s="7">
        <v>54</v>
      </c>
      <c r="U197" s="7">
        <v>0.96296296296296291</v>
      </c>
    </row>
    <row r="198" spans="1:21" x14ac:dyDescent="0.3">
      <c r="A198" s="7" t="s">
        <v>182</v>
      </c>
      <c r="B198" s="7" t="s">
        <v>109</v>
      </c>
      <c r="C198" s="7" t="s">
        <v>147</v>
      </c>
      <c r="D198" s="7">
        <v>8</v>
      </c>
      <c r="E198" s="7">
        <v>350</v>
      </c>
      <c r="F198" s="7">
        <v>64</v>
      </c>
      <c r="G198" s="7">
        <v>11</v>
      </c>
      <c r="H198" s="7">
        <v>138</v>
      </c>
      <c r="I198" s="7" t="s">
        <v>173</v>
      </c>
      <c r="J198" s="7">
        <v>47</v>
      </c>
      <c r="K198" s="7">
        <v>5</v>
      </c>
      <c r="L198" s="7">
        <v>12</v>
      </c>
      <c r="M198" s="7">
        <v>206</v>
      </c>
      <c r="N198" s="7">
        <v>7</v>
      </c>
      <c r="O198" s="7">
        <v>41.2</v>
      </c>
      <c r="P198" s="7">
        <v>38</v>
      </c>
      <c r="Q198" s="7">
        <v>7</v>
      </c>
      <c r="R198" s="7">
        <v>7.8</v>
      </c>
      <c r="S198" s="7">
        <v>7.2475760000000014</v>
      </c>
      <c r="T198" s="7">
        <v>52</v>
      </c>
      <c r="U198" s="7">
        <v>1</v>
      </c>
    </row>
    <row r="199" spans="1:21" x14ac:dyDescent="0.3">
      <c r="A199" s="7" t="s">
        <v>182</v>
      </c>
      <c r="B199" s="7" t="s">
        <v>109</v>
      </c>
      <c r="C199" s="7" t="s">
        <v>147</v>
      </c>
      <c r="D199" s="7">
        <v>9</v>
      </c>
      <c r="E199" s="7">
        <v>336</v>
      </c>
      <c r="F199" s="7">
        <v>66</v>
      </c>
      <c r="G199" s="7">
        <v>14</v>
      </c>
      <c r="H199" s="7">
        <v>145</v>
      </c>
      <c r="I199" s="7" t="s">
        <v>175</v>
      </c>
      <c r="J199" s="7">
        <v>43</v>
      </c>
      <c r="K199" s="7">
        <v>1</v>
      </c>
      <c r="L199" s="7">
        <v>11</v>
      </c>
      <c r="M199" s="7">
        <v>216</v>
      </c>
      <c r="N199" s="7">
        <v>7</v>
      </c>
      <c r="O199" s="7">
        <v>48.1</v>
      </c>
      <c r="P199" s="7">
        <v>39</v>
      </c>
      <c r="Q199" s="7">
        <v>7</v>
      </c>
      <c r="R199" s="7">
        <v>8.1999999999999993</v>
      </c>
      <c r="S199" s="7">
        <v>7.5626880000000014</v>
      </c>
      <c r="T199" s="7">
        <v>44</v>
      </c>
      <c r="U199" s="7">
        <v>1.1818181818181821</v>
      </c>
    </row>
    <row r="200" spans="1:21" x14ac:dyDescent="0.3">
      <c r="A200" s="7" t="s">
        <v>182</v>
      </c>
      <c r="B200" s="7" t="s">
        <v>109</v>
      </c>
      <c r="C200" s="7" t="s">
        <v>147</v>
      </c>
      <c r="D200" s="7">
        <v>10</v>
      </c>
      <c r="E200" s="7">
        <v>310</v>
      </c>
      <c r="F200" s="7">
        <v>59</v>
      </c>
      <c r="G200" s="7">
        <v>14</v>
      </c>
      <c r="H200" s="7">
        <v>100</v>
      </c>
      <c r="I200" s="7" t="s">
        <v>176</v>
      </c>
      <c r="J200" s="7">
        <v>45</v>
      </c>
      <c r="K200" s="7">
        <v>3</v>
      </c>
      <c r="L200" s="7">
        <v>11</v>
      </c>
      <c r="M200" s="7">
        <v>146</v>
      </c>
      <c r="N200" s="7">
        <v>5</v>
      </c>
      <c r="O200" s="7">
        <v>29.2</v>
      </c>
      <c r="P200" s="7">
        <v>39</v>
      </c>
      <c r="Q200" s="7">
        <v>6</v>
      </c>
      <c r="R200" s="7">
        <v>8.1999999999999993</v>
      </c>
      <c r="S200" s="7">
        <v>3.813120000000001</v>
      </c>
      <c r="T200" s="7">
        <v>48</v>
      </c>
      <c r="U200" s="7">
        <v>1.083333333333333</v>
      </c>
    </row>
    <row r="201" spans="1:21" x14ac:dyDescent="0.3">
      <c r="A201" s="7" t="s">
        <v>182</v>
      </c>
      <c r="B201" s="7" t="s">
        <v>109</v>
      </c>
      <c r="C201" s="7" t="s">
        <v>147</v>
      </c>
      <c r="D201" s="7">
        <v>11</v>
      </c>
      <c r="E201" s="7">
        <v>348</v>
      </c>
      <c r="F201" s="7">
        <v>69</v>
      </c>
      <c r="G201" s="7">
        <v>14</v>
      </c>
      <c r="H201" s="7">
        <v>100</v>
      </c>
      <c r="I201" s="7" t="s">
        <v>176</v>
      </c>
      <c r="J201" s="7">
        <v>45</v>
      </c>
      <c r="K201" s="7">
        <v>3</v>
      </c>
      <c r="L201" s="7">
        <v>11</v>
      </c>
      <c r="M201" s="7">
        <v>146</v>
      </c>
      <c r="N201" s="7">
        <v>6</v>
      </c>
      <c r="O201" s="7">
        <v>36.5</v>
      </c>
      <c r="P201" s="7">
        <v>37</v>
      </c>
      <c r="Q201" s="7">
        <v>7</v>
      </c>
      <c r="R201" s="7">
        <v>7.8</v>
      </c>
      <c r="S201" s="7">
        <v>7.3211904000000008</v>
      </c>
      <c r="T201" s="7">
        <v>48</v>
      </c>
      <c r="U201" s="7">
        <v>1.083333333333333</v>
      </c>
    </row>
    <row r="202" spans="1:21" x14ac:dyDescent="0.3">
      <c r="A202" s="7" t="s">
        <v>182</v>
      </c>
      <c r="B202" s="7" t="s">
        <v>109</v>
      </c>
      <c r="C202" s="7" t="s">
        <v>147</v>
      </c>
      <c r="D202" s="7">
        <v>12</v>
      </c>
      <c r="E202" s="7">
        <v>302</v>
      </c>
      <c r="F202" s="7">
        <v>61</v>
      </c>
      <c r="G202" s="7">
        <v>10</v>
      </c>
      <c r="H202" s="7">
        <v>93</v>
      </c>
      <c r="I202" s="7" t="s">
        <v>174</v>
      </c>
      <c r="J202" s="7">
        <v>50</v>
      </c>
      <c r="K202" s="7">
        <v>8</v>
      </c>
      <c r="L202" s="7"/>
      <c r="M202" s="7"/>
      <c r="N202" s="7"/>
      <c r="O202" s="7"/>
      <c r="P202" s="7"/>
      <c r="Q202" s="7"/>
      <c r="R202" s="7"/>
      <c r="S202" s="7"/>
      <c r="T202" s="7">
        <v>58</v>
      </c>
      <c r="U202" s="7">
        <v>0.89655172413793105</v>
      </c>
    </row>
    <row r="203" spans="1:21" x14ac:dyDescent="0.3">
      <c r="A203" s="7" t="s">
        <v>182</v>
      </c>
      <c r="B203" s="7" t="s">
        <v>109</v>
      </c>
      <c r="C203" s="7" t="s">
        <v>147</v>
      </c>
      <c r="D203" s="7">
        <v>13</v>
      </c>
      <c r="E203" s="7">
        <v>345</v>
      </c>
      <c r="F203" s="7">
        <v>67</v>
      </c>
      <c r="G203" s="7">
        <v>13</v>
      </c>
      <c r="H203" s="7">
        <v>100</v>
      </c>
      <c r="I203" s="7" t="s">
        <v>176</v>
      </c>
      <c r="J203" s="7">
        <v>45</v>
      </c>
      <c r="K203" s="7">
        <v>3</v>
      </c>
      <c r="L203" s="7">
        <v>11</v>
      </c>
      <c r="M203" s="7">
        <v>175</v>
      </c>
      <c r="N203" s="7">
        <v>5</v>
      </c>
      <c r="O203" s="7">
        <v>29.2</v>
      </c>
      <c r="P203" s="7">
        <v>37</v>
      </c>
      <c r="Q203" s="7">
        <v>7</v>
      </c>
      <c r="R203" s="7">
        <v>7.6</v>
      </c>
      <c r="S203" s="7">
        <v>4.7769920000000008</v>
      </c>
      <c r="T203" s="7">
        <v>48</v>
      </c>
      <c r="U203" s="7">
        <v>1.083333333333333</v>
      </c>
    </row>
    <row r="204" spans="1:21" x14ac:dyDescent="0.3">
      <c r="A204" s="7" t="s">
        <v>182</v>
      </c>
      <c r="B204" s="7" t="s">
        <v>109</v>
      </c>
      <c r="C204" s="7" t="s">
        <v>147</v>
      </c>
      <c r="D204" s="7">
        <v>14</v>
      </c>
      <c r="E204" s="7">
        <v>302</v>
      </c>
      <c r="F204" s="7">
        <v>67</v>
      </c>
      <c r="G204" s="7">
        <v>10</v>
      </c>
      <c r="H204" s="7">
        <v>160</v>
      </c>
      <c r="I204" s="7" t="s">
        <v>175</v>
      </c>
      <c r="J204" s="7">
        <v>37</v>
      </c>
      <c r="K204" s="7">
        <v>7</v>
      </c>
      <c r="L204" s="7">
        <v>17</v>
      </c>
      <c r="M204" s="7"/>
      <c r="N204" s="7"/>
      <c r="O204" s="7"/>
      <c r="P204" s="7"/>
      <c r="Q204" s="7"/>
      <c r="R204" s="7"/>
      <c r="S204" s="7"/>
      <c r="T204" s="7">
        <v>44</v>
      </c>
      <c r="U204" s="7">
        <v>1.1818181818181821</v>
      </c>
    </row>
    <row r="205" spans="1:21" x14ac:dyDescent="0.3">
      <c r="A205" s="7" t="s">
        <v>182</v>
      </c>
      <c r="B205" s="7" t="s">
        <v>97</v>
      </c>
      <c r="C205" s="7" t="s">
        <v>146</v>
      </c>
      <c r="D205" s="7">
        <v>1</v>
      </c>
      <c r="E205" s="7">
        <v>335</v>
      </c>
      <c r="F205" s="7">
        <v>66</v>
      </c>
      <c r="G205" s="7">
        <v>10</v>
      </c>
      <c r="H205" s="7">
        <v>170</v>
      </c>
      <c r="I205" s="7" t="s">
        <v>179</v>
      </c>
      <c r="J205" s="7">
        <v>49</v>
      </c>
      <c r="K205" s="7">
        <v>7</v>
      </c>
      <c r="L205" s="7"/>
      <c r="M205" s="7"/>
      <c r="N205" s="7"/>
      <c r="O205" s="7"/>
      <c r="P205" s="7"/>
      <c r="Q205" s="7"/>
      <c r="R205" s="7"/>
      <c r="S205" s="7"/>
      <c r="T205" s="7">
        <v>56</v>
      </c>
      <c r="U205" s="7">
        <v>0.9285714285714286</v>
      </c>
    </row>
    <row r="206" spans="1:21" x14ac:dyDescent="0.3">
      <c r="A206" s="7" t="s">
        <v>182</v>
      </c>
      <c r="B206" s="7" t="s">
        <v>97</v>
      </c>
      <c r="C206" s="7" t="s">
        <v>146</v>
      </c>
      <c r="D206" s="7">
        <v>2</v>
      </c>
      <c r="E206" s="7">
        <v>330</v>
      </c>
      <c r="F206" s="7">
        <v>66</v>
      </c>
      <c r="G206" s="7">
        <v>12</v>
      </c>
      <c r="H206" s="7">
        <v>130</v>
      </c>
      <c r="I206" s="7" t="s">
        <v>178</v>
      </c>
      <c r="J206" s="7">
        <v>46</v>
      </c>
      <c r="K206" s="7">
        <v>4</v>
      </c>
      <c r="L206" s="7">
        <v>11</v>
      </c>
      <c r="M206" s="7">
        <v>180</v>
      </c>
      <c r="N206" s="7">
        <v>6</v>
      </c>
      <c r="O206" s="7">
        <v>40.4</v>
      </c>
      <c r="P206" s="7">
        <v>38</v>
      </c>
      <c r="Q206" s="7">
        <v>7</v>
      </c>
      <c r="R206" s="7">
        <v>8</v>
      </c>
      <c r="S206" s="7">
        <v>6.2852927999999997</v>
      </c>
      <c r="T206" s="7">
        <v>50</v>
      </c>
      <c r="U206" s="7">
        <v>1.04</v>
      </c>
    </row>
    <row r="207" spans="1:21" x14ac:dyDescent="0.3">
      <c r="A207" s="7" t="s">
        <v>182</v>
      </c>
      <c r="B207" s="7" t="s">
        <v>97</v>
      </c>
      <c r="C207" s="7" t="s">
        <v>146</v>
      </c>
      <c r="D207" s="7">
        <v>3</v>
      </c>
      <c r="E207" s="7">
        <v>323</v>
      </c>
      <c r="F207" s="7">
        <v>69</v>
      </c>
      <c r="G207" s="7">
        <v>13</v>
      </c>
      <c r="H207" s="7">
        <v>82</v>
      </c>
      <c r="I207" s="7" t="s">
        <v>175</v>
      </c>
      <c r="J207" s="7">
        <v>43</v>
      </c>
      <c r="K207" s="7">
        <v>1</v>
      </c>
      <c r="L207" s="7">
        <v>11</v>
      </c>
      <c r="M207" s="7">
        <v>130</v>
      </c>
      <c r="N207" s="7">
        <v>7</v>
      </c>
      <c r="O207" s="7">
        <v>51</v>
      </c>
      <c r="P207" s="7">
        <v>39</v>
      </c>
      <c r="Q207" s="7">
        <v>8</v>
      </c>
      <c r="R207" s="7">
        <v>7.6</v>
      </c>
      <c r="S207" s="7">
        <v>7.7832664000000014</v>
      </c>
      <c r="T207" s="7">
        <v>44</v>
      </c>
      <c r="U207" s="7">
        <v>1.1818181818181821</v>
      </c>
    </row>
    <row r="208" spans="1:21" x14ac:dyDescent="0.3">
      <c r="A208" s="7" t="s">
        <v>182</v>
      </c>
      <c r="B208" s="7" t="s">
        <v>97</v>
      </c>
      <c r="C208" s="7" t="s">
        <v>146</v>
      </c>
      <c r="D208" s="7">
        <v>4</v>
      </c>
      <c r="E208" s="7">
        <v>332</v>
      </c>
      <c r="F208" s="7">
        <v>64</v>
      </c>
      <c r="G208" s="7">
        <v>11</v>
      </c>
      <c r="H208" s="7">
        <v>156</v>
      </c>
      <c r="I208" s="7" t="s">
        <v>174</v>
      </c>
      <c r="J208" s="7">
        <v>42</v>
      </c>
      <c r="K208" s="7">
        <v>52</v>
      </c>
      <c r="L208" s="7">
        <v>11</v>
      </c>
      <c r="M208" s="7">
        <v>220</v>
      </c>
      <c r="N208" s="7">
        <v>8</v>
      </c>
      <c r="O208" s="7">
        <v>45</v>
      </c>
      <c r="P208" s="7">
        <v>40</v>
      </c>
      <c r="Q208" s="7">
        <v>7</v>
      </c>
      <c r="R208" s="7">
        <v>7.8</v>
      </c>
      <c r="S208" s="7">
        <v>8.0668672000000008</v>
      </c>
      <c r="T208" s="7">
        <v>94</v>
      </c>
      <c r="U208" s="7">
        <v>0.55319148936170215</v>
      </c>
    </row>
    <row r="209" spans="1:21" x14ac:dyDescent="0.3">
      <c r="A209" s="7" t="s">
        <v>182</v>
      </c>
      <c r="B209" s="7" t="s">
        <v>97</v>
      </c>
      <c r="C209" s="7" t="s">
        <v>146</v>
      </c>
      <c r="D209" s="7">
        <v>5</v>
      </c>
      <c r="E209" s="7">
        <v>307</v>
      </c>
      <c r="F209" s="7">
        <v>74</v>
      </c>
      <c r="G209" s="7">
        <v>11</v>
      </c>
      <c r="H209" s="7">
        <v>170</v>
      </c>
      <c r="I209" s="7" t="s">
        <v>175</v>
      </c>
      <c r="J209" s="7">
        <v>7</v>
      </c>
      <c r="K209" s="7">
        <v>17</v>
      </c>
      <c r="L209" s="7"/>
      <c r="M209" s="7"/>
      <c r="N209" s="7"/>
      <c r="O209" s="7"/>
      <c r="P209" s="7"/>
      <c r="Q209" s="7"/>
      <c r="R209" s="7"/>
      <c r="S209" s="7"/>
      <c r="T209" s="7">
        <v>24</v>
      </c>
      <c r="U209" s="7">
        <v>2.166666666666667</v>
      </c>
    </row>
    <row r="210" spans="1:21" x14ac:dyDescent="0.3">
      <c r="A210" s="7" t="s">
        <v>182</v>
      </c>
      <c r="B210" s="7" t="s">
        <v>97</v>
      </c>
      <c r="C210" s="7" t="s">
        <v>146</v>
      </c>
      <c r="D210" s="7">
        <v>6</v>
      </c>
      <c r="E210" s="7">
        <v>335</v>
      </c>
      <c r="F210" s="7">
        <v>67</v>
      </c>
      <c r="G210" s="7">
        <v>10</v>
      </c>
      <c r="H210" s="7">
        <v>155</v>
      </c>
      <c r="I210" s="7" t="s">
        <v>174</v>
      </c>
      <c r="J210" s="7">
        <v>50</v>
      </c>
      <c r="K210" s="7">
        <v>8</v>
      </c>
      <c r="L210" s="7"/>
      <c r="M210" s="7"/>
      <c r="N210" s="7"/>
      <c r="O210" s="7"/>
      <c r="P210" s="7"/>
      <c r="Q210" s="7"/>
      <c r="R210" s="7"/>
      <c r="S210" s="7"/>
      <c r="T210" s="7">
        <v>58</v>
      </c>
      <c r="U210" s="7">
        <v>0.89655172413793105</v>
      </c>
    </row>
    <row r="211" spans="1:21" x14ac:dyDescent="0.3">
      <c r="A211" s="7" t="s">
        <v>182</v>
      </c>
      <c r="B211" s="7" t="s">
        <v>97</v>
      </c>
      <c r="C211" s="7" t="s">
        <v>146</v>
      </c>
      <c r="D211" s="7">
        <v>7</v>
      </c>
      <c r="E211" s="7">
        <v>320</v>
      </c>
      <c r="F211" s="7">
        <v>70</v>
      </c>
      <c r="G211" s="7">
        <v>11</v>
      </c>
      <c r="H211" s="7">
        <v>155</v>
      </c>
      <c r="I211" s="7" t="s">
        <v>174</v>
      </c>
      <c r="J211" s="7">
        <v>50</v>
      </c>
      <c r="K211" s="7">
        <v>8</v>
      </c>
      <c r="L211" s="7"/>
      <c r="M211" s="7"/>
      <c r="N211" s="7"/>
      <c r="O211" s="7"/>
      <c r="P211" s="7"/>
      <c r="Q211" s="7"/>
      <c r="R211" s="7"/>
      <c r="S211" s="7"/>
      <c r="T211" s="7">
        <v>58</v>
      </c>
      <c r="U211" s="7">
        <v>0.89655172413793105</v>
      </c>
    </row>
    <row r="212" spans="1:21" x14ac:dyDescent="0.3">
      <c r="A212" s="7" t="s">
        <v>182</v>
      </c>
      <c r="B212" s="7" t="s">
        <v>97</v>
      </c>
      <c r="C212" s="7" t="s">
        <v>146</v>
      </c>
      <c r="D212" s="7">
        <v>8</v>
      </c>
      <c r="E212" s="7">
        <v>340</v>
      </c>
      <c r="F212" s="7">
        <v>66</v>
      </c>
      <c r="G212" s="7">
        <v>13</v>
      </c>
      <c r="H212" s="7">
        <v>110</v>
      </c>
      <c r="I212" s="7" t="s">
        <v>180</v>
      </c>
      <c r="J212" s="7">
        <v>48</v>
      </c>
      <c r="K212" s="7">
        <v>6</v>
      </c>
      <c r="L212" s="7"/>
      <c r="M212" s="7"/>
      <c r="N212" s="7"/>
      <c r="O212" s="7"/>
      <c r="P212" s="7"/>
      <c r="Q212" s="7"/>
      <c r="R212" s="7"/>
      <c r="S212" s="7"/>
      <c r="T212" s="7">
        <v>54</v>
      </c>
      <c r="U212" s="7">
        <v>0.96296296296296291</v>
      </c>
    </row>
    <row r="213" spans="1:21" x14ac:dyDescent="0.3">
      <c r="A213" s="7" t="s">
        <v>182</v>
      </c>
      <c r="B213" s="7" t="s">
        <v>97</v>
      </c>
      <c r="C213" s="7" t="s">
        <v>146</v>
      </c>
      <c r="D213" s="7">
        <v>9</v>
      </c>
      <c r="E213" s="7">
        <v>343</v>
      </c>
      <c r="F213" s="7">
        <v>69</v>
      </c>
      <c r="G213" s="7">
        <v>15</v>
      </c>
      <c r="H213" s="7">
        <v>150</v>
      </c>
      <c r="I213" s="7" t="s">
        <v>173</v>
      </c>
      <c r="J213" s="7">
        <v>47</v>
      </c>
      <c r="K213" s="7">
        <v>5</v>
      </c>
      <c r="L213" s="7">
        <v>11</v>
      </c>
      <c r="M213" s="7">
        <v>193</v>
      </c>
      <c r="N213" s="7">
        <v>6</v>
      </c>
      <c r="O213" s="7">
        <v>40.200000000000003</v>
      </c>
      <c r="P213" s="7">
        <v>37</v>
      </c>
      <c r="Q213" s="7">
        <v>7</v>
      </c>
      <c r="R213" s="7">
        <v>7.4</v>
      </c>
      <c r="S213" s="7">
        <v>6.5776320000000004</v>
      </c>
      <c r="T213" s="7">
        <v>52</v>
      </c>
      <c r="U213" s="7">
        <v>1</v>
      </c>
    </row>
    <row r="214" spans="1:21" x14ac:dyDescent="0.3">
      <c r="A214" s="7" t="s">
        <v>182</v>
      </c>
      <c r="B214" s="7" t="s">
        <v>97</v>
      </c>
      <c r="C214" s="7" t="s">
        <v>146</v>
      </c>
      <c r="D214" s="7">
        <v>10</v>
      </c>
      <c r="E214" s="7">
        <v>260</v>
      </c>
      <c r="F214" s="7">
        <v>57</v>
      </c>
      <c r="G214" s="7">
        <v>8</v>
      </c>
      <c r="H214" s="7">
        <v>75</v>
      </c>
      <c r="I214" s="7" t="s">
        <v>175</v>
      </c>
      <c r="J214" s="7">
        <v>7</v>
      </c>
      <c r="K214" s="7">
        <v>17</v>
      </c>
      <c r="L214" s="7"/>
      <c r="M214" s="7"/>
      <c r="N214" s="7"/>
      <c r="O214" s="7"/>
      <c r="P214" s="7"/>
      <c r="Q214" s="7"/>
      <c r="R214" s="7"/>
      <c r="S214" s="7"/>
      <c r="T214" s="7">
        <v>24</v>
      </c>
      <c r="U214" s="7">
        <v>2.166666666666667</v>
      </c>
    </row>
    <row r="215" spans="1:21" x14ac:dyDescent="0.3">
      <c r="A215" s="7" t="s">
        <v>182</v>
      </c>
      <c r="B215" s="7" t="s">
        <v>97</v>
      </c>
      <c r="C215" s="7" t="s">
        <v>146</v>
      </c>
      <c r="D215" s="7">
        <v>11</v>
      </c>
      <c r="E215" s="7">
        <v>310</v>
      </c>
      <c r="F215" s="7">
        <v>64</v>
      </c>
      <c r="G215" s="7">
        <v>10</v>
      </c>
      <c r="H215" s="7">
        <v>128</v>
      </c>
      <c r="I215" s="7" t="s">
        <v>177</v>
      </c>
      <c r="J215" s="7">
        <v>52</v>
      </c>
      <c r="K215" s="7">
        <v>10</v>
      </c>
      <c r="L215" s="7"/>
      <c r="M215" s="7"/>
      <c r="N215" s="7"/>
      <c r="O215" s="7"/>
      <c r="P215" s="7"/>
      <c r="Q215" s="7"/>
      <c r="R215" s="7"/>
      <c r="S215" s="7"/>
      <c r="T215" s="7">
        <v>62</v>
      </c>
      <c r="U215" s="7">
        <v>0.83870967741935487</v>
      </c>
    </row>
    <row r="216" spans="1:21" x14ac:dyDescent="0.3">
      <c r="A216" s="7" t="s">
        <v>182</v>
      </c>
      <c r="B216" s="7" t="s">
        <v>97</v>
      </c>
      <c r="C216" s="7" t="s">
        <v>146</v>
      </c>
      <c r="D216" s="7">
        <v>12</v>
      </c>
      <c r="E216" s="7">
        <v>315</v>
      </c>
      <c r="F216" s="7">
        <v>65</v>
      </c>
      <c r="G216" s="7">
        <v>9</v>
      </c>
      <c r="H216" s="7">
        <v>145</v>
      </c>
      <c r="I216" s="7" t="s">
        <v>174</v>
      </c>
      <c r="J216" s="7">
        <v>6</v>
      </c>
      <c r="K216" s="7">
        <v>16</v>
      </c>
      <c r="L216" s="7"/>
      <c r="M216" s="7"/>
      <c r="N216" s="7"/>
      <c r="O216" s="7"/>
      <c r="P216" s="7"/>
      <c r="Q216" s="7"/>
      <c r="R216" s="7"/>
      <c r="S216" s="7"/>
      <c r="T216" s="7">
        <v>22</v>
      </c>
      <c r="U216" s="7">
        <v>2.3636363636363642</v>
      </c>
    </row>
    <row r="217" spans="1:21" x14ac:dyDescent="0.3">
      <c r="A217" s="7" t="s">
        <v>182</v>
      </c>
      <c r="B217" s="7" t="s">
        <v>97</v>
      </c>
      <c r="C217" s="7" t="s">
        <v>146</v>
      </c>
      <c r="D217" s="7">
        <v>13</v>
      </c>
      <c r="E217" s="7">
        <v>275</v>
      </c>
      <c r="F217" s="7">
        <v>60</v>
      </c>
      <c r="G217" s="7">
        <v>10</v>
      </c>
      <c r="H217" s="7">
        <v>105</v>
      </c>
      <c r="I217" s="7" t="s">
        <v>179</v>
      </c>
      <c r="J217" s="7">
        <v>49</v>
      </c>
      <c r="K217" s="7">
        <v>7</v>
      </c>
      <c r="L217" s="7"/>
      <c r="M217" s="7"/>
      <c r="N217" s="7"/>
      <c r="O217" s="7"/>
      <c r="P217" s="7"/>
      <c r="Q217" s="7"/>
      <c r="R217" s="7"/>
      <c r="S217" s="7"/>
      <c r="T217" s="7">
        <v>56</v>
      </c>
      <c r="U217" s="7">
        <v>0.9285714285714286</v>
      </c>
    </row>
    <row r="218" spans="1:21" x14ac:dyDescent="0.3">
      <c r="A218" s="7" t="s">
        <v>182</v>
      </c>
      <c r="B218" s="7" t="s">
        <v>97</v>
      </c>
      <c r="C218" s="7" t="s">
        <v>146</v>
      </c>
      <c r="D218" s="7">
        <v>14</v>
      </c>
      <c r="E218" s="7">
        <v>324</v>
      </c>
      <c r="F218" s="7">
        <v>67</v>
      </c>
      <c r="G218" s="7">
        <v>10</v>
      </c>
      <c r="H218" s="7">
        <v>155</v>
      </c>
      <c r="I218" s="7" t="s">
        <v>177</v>
      </c>
      <c r="J218" s="7">
        <v>52</v>
      </c>
      <c r="K218" s="7">
        <v>10</v>
      </c>
      <c r="L218" s="7"/>
      <c r="M218" s="7"/>
      <c r="N218" s="7"/>
      <c r="O218" s="7"/>
      <c r="P218" s="7"/>
      <c r="Q218" s="7"/>
      <c r="R218" s="7"/>
      <c r="S218" s="7"/>
      <c r="T218" s="7">
        <v>62</v>
      </c>
      <c r="U218" s="7">
        <v>0.83870967741935487</v>
      </c>
    </row>
    <row r="219" spans="1:21" x14ac:dyDescent="0.3">
      <c r="A219" s="7" t="s">
        <v>182</v>
      </c>
      <c r="B219" s="7" t="s">
        <v>99</v>
      </c>
      <c r="C219" s="7" t="s">
        <v>144</v>
      </c>
      <c r="D219" s="7">
        <v>1</v>
      </c>
      <c r="E219" s="7">
        <v>320</v>
      </c>
      <c r="F219" s="7">
        <v>64</v>
      </c>
      <c r="G219" s="7">
        <v>11</v>
      </c>
      <c r="H219" s="7">
        <v>120</v>
      </c>
      <c r="I219" s="7" t="s">
        <v>175</v>
      </c>
      <c r="J219" s="7">
        <v>51</v>
      </c>
      <c r="K219" s="7">
        <v>9</v>
      </c>
      <c r="L219" s="7"/>
      <c r="M219" s="7"/>
      <c r="N219" s="7"/>
      <c r="O219" s="7"/>
      <c r="P219" s="7"/>
      <c r="Q219" s="7"/>
      <c r="R219" s="7"/>
      <c r="S219" s="7"/>
      <c r="T219" s="7">
        <v>60</v>
      </c>
      <c r="U219" s="7">
        <v>0.8666666666666667</v>
      </c>
    </row>
    <row r="220" spans="1:21" x14ac:dyDescent="0.3">
      <c r="A220" s="7" t="s">
        <v>182</v>
      </c>
      <c r="B220" s="7" t="s">
        <v>99</v>
      </c>
      <c r="C220" s="7" t="s">
        <v>144</v>
      </c>
      <c r="D220" s="7">
        <v>2</v>
      </c>
      <c r="E220" s="7">
        <v>350</v>
      </c>
      <c r="F220" s="7">
        <v>65</v>
      </c>
      <c r="G220" s="7">
        <v>15</v>
      </c>
      <c r="H220" s="7">
        <v>124</v>
      </c>
      <c r="I220" s="7" t="s">
        <v>176</v>
      </c>
      <c r="J220" s="7">
        <v>45</v>
      </c>
      <c r="K220" s="7">
        <v>3</v>
      </c>
      <c r="L220" s="7">
        <v>11</v>
      </c>
      <c r="M220" s="7">
        <v>203</v>
      </c>
      <c r="N220" s="7">
        <v>6</v>
      </c>
      <c r="O220" s="7">
        <v>43</v>
      </c>
      <c r="P220" s="7">
        <v>39</v>
      </c>
      <c r="Q220" s="7">
        <v>7</v>
      </c>
      <c r="R220" s="7">
        <v>7.8</v>
      </c>
      <c r="S220" s="7">
        <v>5.6367446400000008</v>
      </c>
      <c r="T220" s="7">
        <v>48</v>
      </c>
      <c r="U220" s="7">
        <v>1.083333333333333</v>
      </c>
    </row>
    <row r="221" spans="1:21" x14ac:dyDescent="0.3">
      <c r="A221" s="7" t="s">
        <v>182</v>
      </c>
      <c r="B221" s="7" t="s">
        <v>99</v>
      </c>
      <c r="C221" s="7" t="s">
        <v>144</v>
      </c>
      <c r="D221" s="7">
        <v>3</v>
      </c>
      <c r="E221" s="7">
        <v>287</v>
      </c>
      <c r="F221" s="7">
        <v>57</v>
      </c>
      <c r="G221" s="7">
        <v>11</v>
      </c>
      <c r="H221" s="7">
        <v>57</v>
      </c>
      <c r="I221" s="7" t="s">
        <v>174</v>
      </c>
      <c r="J221" s="7">
        <v>50</v>
      </c>
      <c r="K221" s="7">
        <v>8</v>
      </c>
      <c r="L221" s="7"/>
      <c r="M221" s="7"/>
      <c r="N221" s="7"/>
      <c r="O221" s="7"/>
      <c r="P221" s="7"/>
      <c r="Q221" s="7"/>
      <c r="R221" s="7"/>
      <c r="S221" s="7"/>
      <c r="T221" s="7">
        <v>58</v>
      </c>
      <c r="U221" s="7">
        <v>0.89655172413793105</v>
      </c>
    </row>
    <row r="222" spans="1:21" x14ac:dyDescent="0.3">
      <c r="A222" s="7" t="s">
        <v>182</v>
      </c>
      <c r="B222" s="7" t="s">
        <v>99</v>
      </c>
      <c r="C222" s="7" t="s">
        <v>144</v>
      </c>
      <c r="D222" s="7">
        <v>4</v>
      </c>
      <c r="E222" s="7">
        <v>344</v>
      </c>
      <c r="F222" s="7">
        <v>65</v>
      </c>
      <c r="G222" s="7">
        <v>13</v>
      </c>
      <c r="H222" s="7">
        <v>86</v>
      </c>
      <c r="I222" s="7" t="s">
        <v>177</v>
      </c>
      <c r="J222" s="7">
        <v>44</v>
      </c>
      <c r="K222" s="7">
        <v>2</v>
      </c>
      <c r="L222" s="7">
        <v>11</v>
      </c>
      <c r="M222" s="7">
        <v>145</v>
      </c>
      <c r="N222" s="7">
        <v>6</v>
      </c>
      <c r="O222" s="7">
        <v>44</v>
      </c>
      <c r="P222" s="7">
        <v>38</v>
      </c>
      <c r="Q222" s="7">
        <v>7</v>
      </c>
      <c r="R222" s="7">
        <v>8.4</v>
      </c>
      <c r="S222" s="7">
        <v>5.8054752000000009</v>
      </c>
      <c r="T222" s="7">
        <v>46</v>
      </c>
      <c r="U222" s="7">
        <v>1.130434782608696</v>
      </c>
    </row>
    <row r="223" spans="1:21" x14ac:dyDescent="0.3">
      <c r="A223" s="7" t="s">
        <v>182</v>
      </c>
      <c r="B223" s="7" t="s">
        <v>99</v>
      </c>
      <c r="C223" s="7" t="s">
        <v>144</v>
      </c>
      <c r="D223" s="7">
        <v>5</v>
      </c>
      <c r="E223" s="7">
        <v>342</v>
      </c>
      <c r="F223" s="7">
        <v>69</v>
      </c>
      <c r="G223" s="7">
        <v>15</v>
      </c>
      <c r="H223" s="7">
        <v>164</v>
      </c>
      <c r="I223" s="7" t="s">
        <v>178</v>
      </c>
      <c r="J223" s="7">
        <v>46</v>
      </c>
      <c r="K223" s="7">
        <v>4</v>
      </c>
      <c r="L223" s="7">
        <v>11</v>
      </c>
      <c r="M223" s="7">
        <v>172</v>
      </c>
      <c r="N223" s="7">
        <v>6</v>
      </c>
      <c r="O223" s="7">
        <v>28.8</v>
      </c>
      <c r="P223" s="7">
        <v>38</v>
      </c>
      <c r="Q223" s="7">
        <v>6</v>
      </c>
      <c r="R223" s="7">
        <v>7.8</v>
      </c>
      <c r="S223" s="7">
        <v>5.2764047999999999</v>
      </c>
      <c r="T223" s="7">
        <v>50</v>
      </c>
      <c r="U223" s="7">
        <v>1.04</v>
      </c>
    </row>
    <row r="224" spans="1:21" x14ac:dyDescent="0.3">
      <c r="A224" s="7" t="s">
        <v>182</v>
      </c>
      <c r="B224" s="7" t="s">
        <v>99</v>
      </c>
      <c r="C224" s="7" t="s">
        <v>144</v>
      </c>
      <c r="D224" s="7">
        <v>6</v>
      </c>
      <c r="E224" s="7">
        <v>310</v>
      </c>
      <c r="F224" s="7">
        <v>56</v>
      </c>
      <c r="G224" s="7">
        <v>16</v>
      </c>
      <c r="H224" s="7">
        <v>100</v>
      </c>
      <c r="I224" s="7" t="s">
        <v>175</v>
      </c>
      <c r="J224" s="7">
        <v>43</v>
      </c>
      <c r="K224" s="7">
        <v>1</v>
      </c>
      <c r="L224" s="7">
        <v>11</v>
      </c>
      <c r="M224" s="7">
        <v>125</v>
      </c>
      <c r="N224" s="7">
        <v>7</v>
      </c>
      <c r="O224" s="7">
        <v>28.6</v>
      </c>
      <c r="P224" s="7">
        <v>37</v>
      </c>
      <c r="Q224" s="7">
        <v>6</v>
      </c>
      <c r="R224" s="7">
        <v>7.6</v>
      </c>
      <c r="S224" s="7">
        <v>6.1539520000000012</v>
      </c>
      <c r="T224" s="7">
        <v>44</v>
      </c>
      <c r="U224" s="7">
        <v>1.1818181818181821</v>
      </c>
    </row>
    <row r="225" spans="1:21" x14ac:dyDescent="0.3">
      <c r="A225" s="7" t="s">
        <v>182</v>
      </c>
      <c r="B225" s="7" t="s">
        <v>99</v>
      </c>
      <c r="C225" s="7" t="s">
        <v>144</v>
      </c>
      <c r="D225" s="7">
        <v>7</v>
      </c>
      <c r="E225" s="7">
        <v>330</v>
      </c>
      <c r="F225" s="7">
        <v>67</v>
      </c>
      <c r="G225" s="7">
        <v>13</v>
      </c>
      <c r="H225" s="7">
        <v>150</v>
      </c>
      <c r="I225" s="7" t="s">
        <v>175</v>
      </c>
      <c r="J225" s="7">
        <v>43</v>
      </c>
      <c r="K225" s="7">
        <v>52</v>
      </c>
      <c r="L225" s="7">
        <v>11</v>
      </c>
      <c r="M225" s="7">
        <v>223</v>
      </c>
      <c r="N225" s="7">
        <v>7</v>
      </c>
      <c r="O225" s="7">
        <v>45</v>
      </c>
      <c r="P225" s="7">
        <v>39</v>
      </c>
      <c r="Q225" s="7">
        <v>7</v>
      </c>
      <c r="R225" s="7">
        <v>7.6</v>
      </c>
      <c r="S225" s="7">
        <v>7.3536019199999991</v>
      </c>
      <c r="T225" s="7">
        <v>95</v>
      </c>
      <c r="U225" s="7">
        <v>0.54736842105263162</v>
      </c>
    </row>
    <row r="226" spans="1:21" x14ac:dyDescent="0.3">
      <c r="A226" s="7" t="s">
        <v>182</v>
      </c>
      <c r="B226" s="7" t="s">
        <v>99</v>
      </c>
      <c r="C226" s="7" t="s">
        <v>144</v>
      </c>
      <c r="D226" s="7">
        <v>8</v>
      </c>
      <c r="E226" s="7">
        <v>327</v>
      </c>
      <c r="F226" s="7">
        <v>60</v>
      </c>
      <c r="G226" s="7">
        <v>10</v>
      </c>
      <c r="H226" s="7">
        <v>135</v>
      </c>
      <c r="I226" s="7" t="s">
        <v>179</v>
      </c>
      <c r="J226" s="7">
        <v>49</v>
      </c>
      <c r="K226" s="7">
        <v>7</v>
      </c>
      <c r="L226" s="7"/>
      <c r="M226" s="7"/>
      <c r="N226" s="7"/>
      <c r="O226" s="7"/>
      <c r="P226" s="7"/>
      <c r="Q226" s="7"/>
      <c r="R226" s="7"/>
      <c r="S226" s="7"/>
      <c r="T226" s="7">
        <v>56</v>
      </c>
      <c r="U226" s="7">
        <v>0.9285714285714286</v>
      </c>
    </row>
    <row r="227" spans="1:21" x14ac:dyDescent="0.3">
      <c r="A227" s="7" t="s">
        <v>182</v>
      </c>
      <c r="B227" s="7" t="s">
        <v>99</v>
      </c>
      <c r="C227" s="7" t="s">
        <v>144</v>
      </c>
      <c r="D227" s="7">
        <v>9</v>
      </c>
      <c r="E227" s="7">
        <v>330</v>
      </c>
      <c r="F227" s="7">
        <v>64</v>
      </c>
      <c r="G227" s="7">
        <v>13</v>
      </c>
      <c r="H227" s="7">
        <v>136</v>
      </c>
      <c r="I227" s="7" t="s">
        <v>173</v>
      </c>
      <c r="J227" s="7">
        <v>47</v>
      </c>
      <c r="K227" s="7">
        <v>5</v>
      </c>
      <c r="L227" s="7">
        <v>12</v>
      </c>
      <c r="M227" s="7">
        <v>190</v>
      </c>
      <c r="N227" s="7">
        <v>6</v>
      </c>
      <c r="O227" s="7">
        <v>35.200000000000003</v>
      </c>
      <c r="P227" s="7">
        <v>37</v>
      </c>
      <c r="Q227" s="7">
        <v>7</v>
      </c>
      <c r="R227" s="7">
        <v>7.4</v>
      </c>
      <c r="S227" s="7">
        <v>6.3583776000000007</v>
      </c>
      <c r="T227" s="7">
        <v>52</v>
      </c>
      <c r="U227" s="7">
        <v>1</v>
      </c>
    </row>
    <row r="228" spans="1:21" x14ac:dyDescent="0.3">
      <c r="A228" s="7" t="s">
        <v>182</v>
      </c>
      <c r="B228" s="7" t="s">
        <v>99</v>
      </c>
      <c r="C228" s="7" t="s">
        <v>144</v>
      </c>
      <c r="D228" s="7">
        <v>10</v>
      </c>
      <c r="E228" s="7">
        <v>322</v>
      </c>
      <c r="F228" s="7">
        <v>60</v>
      </c>
      <c r="G228" s="7">
        <v>10</v>
      </c>
      <c r="H228" s="7">
        <v>127</v>
      </c>
      <c r="I228" s="7" t="s">
        <v>174</v>
      </c>
      <c r="J228" s="7">
        <v>50</v>
      </c>
      <c r="K228" s="7">
        <v>8</v>
      </c>
      <c r="L228" s="7"/>
      <c r="M228" s="7"/>
      <c r="N228" s="7"/>
      <c r="O228" s="7"/>
      <c r="P228" s="7"/>
      <c r="Q228" s="7"/>
      <c r="R228" s="7"/>
      <c r="S228" s="7"/>
      <c r="T228" s="7">
        <v>58</v>
      </c>
      <c r="U228" s="7">
        <v>0.89655172413793105</v>
      </c>
    </row>
    <row r="229" spans="1:21" x14ac:dyDescent="0.3">
      <c r="A229" s="7" t="s">
        <v>182</v>
      </c>
      <c r="B229" s="7" t="s">
        <v>99</v>
      </c>
      <c r="C229" s="7" t="s">
        <v>144</v>
      </c>
      <c r="D229" s="7">
        <v>11</v>
      </c>
      <c r="E229" s="7">
        <v>375</v>
      </c>
      <c r="F229" s="7">
        <v>68</v>
      </c>
      <c r="G229" s="7">
        <v>11</v>
      </c>
      <c r="H229" s="7">
        <v>180</v>
      </c>
      <c r="I229" s="7" t="s">
        <v>179</v>
      </c>
      <c r="J229" s="7">
        <v>49</v>
      </c>
      <c r="K229" s="7">
        <v>7</v>
      </c>
      <c r="L229" s="7"/>
      <c r="M229" s="7"/>
      <c r="N229" s="7"/>
      <c r="O229" s="7"/>
      <c r="P229" s="7"/>
      <c r="Q229" s="7"/>
      <c r="R229" s="7"/>
      <c r="S229" s="7"/>
      <c r="T229" s="7">
        <v>56</v>
      </c>
      <c r="U229" s="7">
        <v>0.9285714285714286</v>
      </c>
    </row>
    <row r="230" spans="1:21" x14ac:dyDescent="0.3">
      <c r="A230" s="7" t="s">
        <v>182</v>
      </c>
      <c r="B230" s="7" t="s">
        <v>99</v>
      </c>
      <c r="C230" s="7" t="s">
        <v>144</v>
      </c>
      <c r="D230" s="7">
        <v>12</v>
      </c>
      <c r="E230" s="7">
        <v>321</v>
      </c>
      <c r="F230" s="7">
        <v>59</v>
      </c>
      <c r="G230" s="7">
        <v>14</v>
      </c>
      <c r="H230" s="7">
        <v>95</v>
      </c>
      <c r="I230" s="7" t="s">
        <v>173</v>
      </c>
      <c r="J230" s="7">
        <v>47</v>
      </c>
      <c r="K230" s="7">
        <v>5</v>
      </c>
      <c r="L230" s="7">
        <v>11</v>
      </c>
      <c r="M230" s="7">
        <v>132</v>
      </c>
      <c r="N230" s="7">
        <v>7</v>
      </c>
      <c r="O230" s="7">
        <v>30.9</v>
      </c>
      <c r="P230" s="7">
        <v>38</v>
      </c>
      <c r="Q230" s="7">
        <v>6</v>
      </c>
      <c r="R230" s="7">
        <v>7.6</v>
      </c>
      <c r="S230" s="7">
        <v>7.6739039999999994</v>
      </c>
      <c r="T230" s="7">
        <v>52</v>
      </c>
      <c r="U230" s="7">
        <v>1</v>
      </c>
    </row>
    <row r="231" spans="1:21" x14ac:dyDescent="0.3">
      <c r="A231" s="7" t="s">
        <v>182</v>
      </c>
      <c r="B231" s="7" t="s">
        <v>99</v>
      </c>
      <c r="C231" s="7" t="s">
        <v>144</v>
      </c>
      <c r="D231" s="7">
        <v>13</v>
      </c>
      <c r="E231" s="7">
        <v>358</v>
      </c>
      <c r="F231" s="7">
        <v>73</v>
      </c>
      <c r="G231" s="7">
        <v>15</v>
      </c>
      <c r="H231" s="7">
        <v>126</v>
      </c>
      <c r="I231" s="7" t="s">
        <v>177</v>
      </c>
      <c r="J231" s="7">
        <v>44</v>
      </c>
      <c r="K231" s="7">
        <v>2</v>
      </c>
      <c r="L231" s="7">
        <v>11</v>
      </c>
      <c r="M231" s="7">
        <v>207</v>
      </c>
      <c r="N231" s="7">
        <v>5</v>
      </c>
      <c r="O231" s="7">
        <v>52.2</v>
      </c>
      <c r="P231" s="7">
        <v>38</v>
      </c>
      <c r="Q231" s="7">
        <v>8</v>
      </c>
      <c r="R231" s="7">
        <v>7.6</v>
      </c>
      <c r="S231" s="7">
        <v>5.8256000000000014</v>
      </c>
      <c r="T231" s="7">
        <v>46</v>
      </c>
      <c r="U231" s="7">
        <v>1.130434782608696</v>
      </c>
    </row>
    <row r="232" spans="1:21" x14ac:dyDescent="0.3">
      <c r="A232" s="7" t="s">
        <v>182</v>
      </c>
      <c r="B232" s="7" t="s">
        <v>99</v>
      </c>
      <c r="C232" s="7" t="s">
        <v>144</v>
      </c>
      <c r="D232" s="7">
        <v>14</v>
      </c>
      <c r="E232" s="7">
        <v>320</v>
      </c>
      <c r="F232" s="7">
        <v>67</v>
      </c>
      <c r="G232" s="7">
        <v>14</v>
      </c>
      <c r="H232" s="7">
        <v>117</v>
      </c>
      <c r="I232" s="7" t="s">
        <v>173</v>
      </c>
      <c r="J232" s="7">
        <v>47</v>
      </c>
      <c r="K232" s="7">
        <v>5</v>
      </c>
      <c r="L232" s="7">
        <v>11</v>
      </c>
      <c r="M232" s="7">
        <v>140</v>
      </c>
      <c r="N232" s="7">
        <v>5</v>
      </c>
      <c r="O232" s="7">
        <v>30.5</v>
      </c>
      <c r="P232" s="7">
        <v>38</v>
      </c>
      <c r="Q232" s="7">
        <v>6</v>
      </c>
      <c r="R232" s="7">
        <v>7.4</v>
      </c>
      <c r="S232" s="7">
        <v>5.0555616000000008</v>
      </c>
      <c r="T232" s="7">
        <v>52</v>
      </c>
      <c r="U232" s="7">
        <v>1</v>
      </c>
    </row>
    <row r="233" spans="1:21" x14ac:dyDescent="0.3">
      <c r="A233" s="7" t="s">
        <v>182</v>
      </c>
      <c r="B233" s="7" t="s">
        <v>109</v>
      </c>
      <c r="C233" s="7" t="s">
        <v>146</v>
      </c>
      <c r="D233" s="7">
        <v>1</v>
      </c>
      <c r="E233" s="7">
        <v>328</v>
      </c>
      <c r="F233" s="7">
        <v>61</v>
      </c>
      <c r="G233" s="7">
        <v>14</v>
      </c>
      <c r="H233" s="7">
        <v>80</v>
      </c>
      <c r="I233" s="7" t="s">
        <v>177</v>
      </c>
      <c r="J233" s="7">
        <v>44</v>
      </c>
      <c r="K233" s="7">
        <v>2</v>
      </c>
      <c r="L233" s="7">
        <v>11</v>
      </c>
      <c r="M233" s="7">
        <v>123</v>
      </c>
      <c r="N233" s="7">
        <v>4</v>
      </c>
      <c r="O233" s="7">
        <v>41.2</v>
      </c>
      <c r="P233" s="7">
        <v>39</v>
      </c>
      <c r="Q233" s="7">
        <v>7</v>
      </c>
      <c r="R233" s="7">
        <v>7.8</v>
      </c>
      <c r="S233" s="7">
        <v>4.0037760000000002</v>
      </c>
      <c r="T233" s="7">
        <v>46</v>
      </c>
      <c r="U233" s="7">
        <v>1.130434782608696</v>
      </c>
    </row>
    <row r="234" spans="1:21" x14ac:dyDescent="0.3">
      <c r="A234" s="7" t="s">
        <v>182</v>
      </c>
      <c r="B234" s="7" t="s">
        <v>109</v>
      </c>
      <c r="C234" s="7" t="s">
        <v>146</v>
      </c>
      <c r="D234" s="7">
        <v>2</v>
      </c>
      <c r="E234" s="7">
        <v>330</v>
      </c>
      <c r="F234" s="7">
        <v>63</v>
      </c>
      <c r="G234" s="7">
        <v>15</v>
      </c>
      <c r="H234" s="7">
        <v>156</v>
      </c>
      <c r="I234" s="7" t="s">
        <v>179</v>
      </c>
      <c r="J234" s="7">
        <v>49</v>
      </c>
      <c r="K234" s="7">
        <v>7</v>
      </c>
      <c r="L234" s="7"/>
      <c r="M234" s="7"/>
      <c r="N234" s="7"/>
      <c r="O234" s="7"/>
      <c r="P234" s="7"/>
      <c r="Q234" s="7"/>
      <c r="R234" s="7"/>
      <c r="S234" s="7"/>
      <c r="T234" s="7">
        <v>56</v>
      </c>
      <c r="U234" s="7">
        <v>0.9285714285714286</v>
      </c>
    </row>
    <row r="235" spans="1:21" x14ac:dyDescent="0.3">
      <c r="A235" s="7" t="s">
        <v>182</v>
      </c>
      <c r="B235" s="7" t="s">
        <v>109</v>
      </c>
      <c r="C235" s="7" t="s">
        <v>146</v>
      </c>
      <c r="D235" s="7">
        <v>3</v>
      </c>
      <c r="E235" s="7">
        <v>280</v>
      </c>
      <c r="F235" s="7">
        <v>64</v>
      </c>
      <c r="G235" s="7">
        <v>14</v>
      </c>
      <c r="H235" s="7">
        <v>88</v>
      </c>
      <c r="I235" s="7" t="s">
        <v>173</v>
      </c>
      <c r="J235" s="7">
        <v>47</v>
      </c>
      <c r="K235" s="7">
        <v>5</v>
      </c>
      <c r="L235" s="7">
        <v>11</v>
      </c>
      <c r="M235" s="7">
        <v>160</v>
      </c>
      <c r="N235" s="7">
        <v>5</v>
      </c>
      <c r="O235" s="7">
        <v>34.200000000000003</v>
      </c>
      <c r="P235" s="7">
        <v>38</v>
      </c>
      <c r="Q235" s="7">
        <v>6</v>
      </c>
      <c r="R235" s="7">
        <v>7.6</v>
      </c>
      <c r="S235" s="7">
        <v>4.8193600000000014</v>
      </c>
      <c r="T235" s="7">
        <v>52</v>
      </c>
      <c r="U235" s="7">
        <v>1</v>
      </c>
    </row>
    <row r="236" spans="1:21" x14ac:dyDescent="0.3">
      <c r="A236" s="7" t="s">
        <v>182</v>
      </c>
      <c r="B236" s="7" t="s">
        <v>109</v>
      </c>
      <c r="C236" s="7" t="s">
        <v>146</v>
      </c>
      <c r="D236" s="7">
        <v>4</v>
      </c>
      <c r="E236" s="7">
        <v>350</v>
      </c>
      <c r="F236" s="7">
        <v>70</v>
      </c>
      <c r="G236" s="7">
        <v>15</v>
      </c>
      <c r="H236" s="7">
        <v>103</v>
      </c>
      <c r="I236" s="7" t="s">
        <v>173</v>
      </c>
      <c r="J236" s="7">
        <v>47</v>
      </c>
      <c r="K236" s="7">
        <v>5</v>
      </c>
      <c r="L236" s="7">
        <v>11</v>
      </c>
      <c r="M236" s="7">
        <v>185</v>
      </c>
      <c r="N236" s="7">
        <v>6</v>
      </c>
      <c r="O236" s="7">
        <v>49.3</v>
      </c>
      <c r="P236" s="7">
        <v>40</v>
      </c>
      <c r="Q236" s="7">
        <v>8</v>
      </c>
      <c r="R236" s="7">
        <v>7.5</v>
      </c>
      <c r="S236" s="7">
        <v>7.6262400000000001</v>
      </c>
      <c r="T236" s="7">
        <v>52</v>
      </c>
      <c r="U236" s="7">
        <v>1</v>
      </c>
    </row>
    <row r="237" spans="1:21" x14ac:dyDescent="0.3">
      <c r="A237" s="7" t="s">
        <v>182</v>
      </c>
      <c r="B237" s="7" t="s">
        <v>109</v>
      </c>
      <c r="C237" s="7" t="s">
        <v>146</v>
      </c>
      <c r="D237" s="7">
        <v>5</v>
      </c>
      <c r="E237" s="7">
        <v>332</v>
      </c>
      <c r="F237" s="7">
        <v>68</v>
      </c>
      <c r="G237" s="7">
        <v>10</v>
      </c>
      <c r="H237" s="7">
        <v>189</v>
      </c>
      <c r="I237" s="7" t="s">
        <v>177</v>
      </c>
      <c r="J237" s="7">
        <v>44</v>
      </c>
      <c r="K237" s="7">
        <v>2</v>
      </c>
      <c r="L237" s="7">
        <v>11</v>
      </c>
      <c r="M237" s="7">
        <v>245</v>
      </c>
      <c r="N237" s="7">
        <v>5</v>
      </c>
      <c r="O237" s="7">
        <v>51.5</v>
      </c>
      <c r="P237" s="7">
        <v>39</v>
      </c>
      <c r="Q237" s="7">
        <v>7</v>
      </c>
      <c r="R237" s="7">
        <v>8.4</v>
      </c>
      <c r="S237" s="7">
        <v>5.9738879999999996</v>
      </c>
      <c r="T237" s="7">
        <v>46</v>
      </c>
      <c r="U237" s="7">
        <v>1.130434782608696</v>
      </c>
    </row>
    <row r="238" spans="1:21" x14ac:dyDescent="0.3">
      <c r="A238" s="7" t="s">
        <v>182</v>
      </c>
      <c r="B238" s="7" t="s">
        <v>109</v>
      </c>
      <c r="C238" s="7" t="s">
        <v>146</v>
      </c>
      <c r="D238" s="7">
        <v>6</v>
      </c>
      <c r="E238" s="7">
        <v>344</v>
      </c>
      <c r="F238" s="7">
        <v>70</v>
      </c>
      <c r="G238" s="7">
        <v>15</v>
      </c>
      <c r="H238" s="7">
        <v>153</v>
      </c>
      <c r="I238" s="7" t="s">
        <v>177</v>
      </c>
      <c r="J238" s="7">
        <v>44</v>
      </c>
      <c r="K238" s="7">
        <v>2</v>
      </c>
      <c r="L238" s="7">
        <v>11</v>
      </c>
      <c r="M238" s="7">
        <v>210</v>
      </c>
      <c r="N238" s="7">
        <v>5</v>
      </c>
      <c r="O238" s="7">
        <v>52</v>
      </c>
      <c r="P238" s="7">
        <v>38</v>
      </c>
      <c r="Q238" s="7">
        <v>8</v>
      </c>
      <c r="R238" s="7">
        <v>8</v>
      </c>
      <c r="S238" s="7">
        <v>6.4876000000000014</v>
      </c>
      <c r="T238" s="7">
        <v>46</v>
      </c>
      <c r="U238" s="7">
        <v>1.130434782608696</v>
      </c>
    </row>
    <row r="239" spans="1:21" x14ac:dyDescent="0.3">
      <c r="A239" s="7" t="s">
        <v>182</v>
      </c>
      <c r="B239" s="7" t="s">
        <v>109</v>
      </c>
      <c r="C239" s="7" t="s">
        <v>146</v>
      </c>
      <c r="D239" s="7">
        <v>7</v>
      </c>
      <c r="E239" s="7">
        <v>320</v>
      </c>
      <c r="F239" s="7">
        <v>61</v>
      </c>
      <c r="G239" s="7">
        <v>12</v>
      </c>
      <c r="H239" s="7">
        <v>143</v>
      </c>
      <c r="I239" s="7" t="s">
        <v>178</v>
      </c>
      <c r="J239" s="7">
        <v>46</v>
      </c>
      <c r="K239" s="7">
        <v>4</v>
      </c>
      <c r="L239" s="7">
        <v>11</v>
      </c>
      <c r="M239" s="7">
        <v>175</v>
      </c>
      <c r="N239" s="7">
        <v>6</v>
      </c>
      <c r="O239" s="7">
        <v>40.5</v>
      </c>
      <c r="P239" s="7">
        <v>38</v>
      </c>
      <c r="Q239" s="7">
        <v>8</v>
      </c>
      <c r="R239" s="7">
        <v>8</v>
      </c>
      <c r="S239" s="7">
        <v>8.1028800000000007</v>
      </c>
      <c r="T239" s="7">
        <v>50</v>
      </c>
      <c r="U239" s="7">
        <v>1.04</v>
      </c>
    </row>
    <row r="240" spans="1:21" x14ac:dyDescent="0.3">
      <c r="A240" s="7" t="s">
        <v>182</v>
      </c>
      <c r="B240" s="7" t="s">
        <v>109</v>
      </c>
      <c r="C240" s="7" t="s">
        <v>146</v>
      </c>
      <c r="D240" s="7">
        <v>8</v>
      </c>
      <c r="E240" s="7">
        <v>340</v>
      </c>
      <c r="F240" s="7">
        <v>61</v>
      </c>
      <c r="G240" s="7">
        <v>14</v>
      </c>
      <c r="H240" s="7">
        <v>90</v>
      </c>
      <c r="I240" s="7" t="s">
        <v>175</v>
      </c>
      <c r="J240" s="7">
        <v>43</v>
      </c>
      <c r="K240" s="7">
        <v>1</v>
      </c>
      <c r="L240" s="7">
        <v>11</v>
      </c>
      <c r="M240" s="7">
        <v>160</v>
      </c>
      <c r="N240" s="7">
        <v>7</v>
      </c>
      <c r="O240" s="7">
        <v>41.5</v>
      </c>
      <c r="P240" s="7">
        <v>39</v>
      </c>
      <c r="Q240" s="7">
        <v>7</v>
      </c>
      <c r="R240" s="7">
        <v>8.1999999999999993</v>
      </c>
      <c r="S240" s="7">
        <v>7.720244000000001</v>
      </c>
      <c r="T240" s="7">
        <v>44</v>
      </c>
      <c r="U240" s="7">
        <v>1.1818181818181821</v>
      </c>
    </row>
    <row r="241" spans="1:21" x14ac:dyDescent="0.3">
      <c r="A241" s="7" t="s">
        <v>182</v>
      </c>
      <c r="B241" s="7" t="s">
        <v>109</v>
      </c>
      <c r="C241" s="7" t="s">
        <v>146</v>
      </c>
      <c r="D241" s="7">
        <v>9</v>
      </c>
      <c r="E241" s="7">
        <v>340</v>
      </c>
      <c r="F241" s="7">
        <v>64</v>
      </c>
      <c r="G241" s="7">
        <v>13</v>
      </c>
      <c r="H241" s="7">
        <v>130</v>
      </c>
      <c r="I241" s="7" t="s">
        <v>174</v>
      </c>
      <c r="J241" s="7">
        <v>42</v>
      </c>
      <c r="K241" s="7">
        <v>52</v>
      </c>
      <c r="L241" s="7">
        <v>10</v>
      </c>
      <c r="M241" s="7">
        <v>170</v>
      </c>
      <c r="N241" s="7">
        <v>7</v>
      </c>
      <c r="O241" s="7">
        <v>44</v>
      </c>
      <c r="P241" s="7">
        <v>39</v>
      </c>
      <c r="Q241" s="7">
        <v>7</v>
      </c>
      <c r="R241" s="7">
        <v>8</v>
      </c>
      <c r="S241" s="7">
        <v>7.5385912000000017</v>
      </c>
      <c r="T241" s="7">
        <v>94</v>
      </c>
      <c r="U241" s="7">
        <v>0.55319148936170215</v>
      </c>
    </row>
    <row r="242" spans="1:21" x14ac:dyDescent="0.3">
      <c r="A242" s="7" t="s">
        <v>182</v>
      </c>
      <c r="B242" s="7" t="s">
        <v>109</v>
      </c>
      <c r="C242" s="7" t="s">
        <v>146</v>
      </c>
      <c r="D242" s="7">
        <v>10</v>
      </c>
      <c r="E242" s="7">
        <v>300</v>
      </c>
      <c r="F242" s="7">
        <v>54</v>
      </c>
      <c r="G242" s="7">
        <v>12</v>
      </c>
      <c r="H242" s="7">
        <v>83</v>
      </c>
      <c r="I242" s="7" t="s">
        <v>174</v>
      </c>
      <c r="J242" s="7">
        <v>42</v>
      </c>
      <c r="K242" s="7">
        <v>52</v>
      </c>
      <c r="L242" s="7">
        <v>11</v>
      </c>
      <c r="M242" s="7">
        <v>104</v>
      </c>
      <c r="N242" s="7">
        <v>5</v>
      </c>
      <c r="O242" s="7">
        <v>35</v>
      </c>
      <c r="P242" s="7">
        <v>39</v>
      </c>
      <c r="Q242" s="7">
        <v>6</v>
      </c>
      <c r="R242" s="7">
        <v>7.6</v>
      </c>
      <c r="S242" s="7">
        <v>4.448640000000001</v>
      </c>
      <c r="T242" s="7">
        <v>94</v>
      </c>
      <c r="U242" s="7">
        <v>0.55319148936170215</v>
      </c>
    </row>
    <row r="243" spans="1:21" x14ac:dyDescent="0.3">
      <c r="A243" s="7" t="s">
        <v>182</v>
      </c>
      <c r="B243" s="7" t="s">
        <v>109</v>
      </c>
      <c r="C243" s="7" t="s">
        <v>146</v>
      </c>
      <c r="D243" s="7">
        <v>11</v>
      </c>
      <c r="E243" s="7">
        <v>315</v>
      </c>
      <c r="F243" s="7">
        <v>53</v>
      </c>
      <c r="G243" s="7">
        <v>12</v>
      </c>
      <c r="H243" s="7">
        <v>133</v>
      </c>
      <c r="I243" s="7" t="s">
        <v>176</v>
      </c>
      <c r="J243" s="7">
        <v>45</v>
      </c>
      <c r="K243" s="7">
        <v>3</v>
      </c>
      <c r="L243" s="7">
        <v>11</v>
      </c>
      <c r="M243" s="7">
        <v>170</v>
      </c>
      <c r="N243" s="7">
        <v>4</v>
      </c>
      <c r="O243" s="7">
        <v>24</v>
      </c>
      <c r="P243" s="7">
        <v>37</v>
      </c>
      <c r="Q243" s="7">
        <v>6</v>
      </c>
      <c r="R243" s="7">
        <v>7.4</v>
      </c>
      <c r="S243" s="7">
        <v>3.7961728000000008</v>
      </c>
      <c r="T243" s="7">
        <v>48</v>
      </c>
      <c r="U243" s="7">
        <v>1.083333333333333</v>
      </c>
    </row>
    <row r="244" spans="1:21" x14ac:dyDescent="0.3">
      <c r="A244" s="7" t="s">
        <v>182</v>
      </c>
      <c r="B244" s="7" t="s">
        <v>109</v>
      </c>
      <c r="C244" s="7" t="s">
        <v>146</v>
      </c>
      <c r="D244" s="7">
        <v>12</v>
      </c>
      <c r="E244" s="7">
        <v>325</v>
      </c>
      <c r="F244" s="7">
        <v>63</v>
      </c>
      <c r="G244" s="7">
        <v>11</v>
      </c>
      <c r="H244" s="7">
        <v>140</v>
      </c>
      <c r="I244" s="7" t="s">
        <v>173</v>
      </c>
      <c r="J244" s="7">
        <v>47</v>
      </c>
      <c r="K244" s="7">
        <v>5</v>
      </c>
      <c r="L244" s="7">
        <v>11</v>
      </c>
      <c r="M244" s="7">
        <v>204</v>
      </c>
      <c r="N244" s="7">
        <v>4</v>
      </c>
      <c r="O244" s="7">
        <v>46.5</v>
      </c>
      <c r="P244" s="7">
        <v>39</v>
      </c>
      <c r="Q244" s="7">
        <v>7</v>
      </c>
      <c r="R244" s="7">
        <v>7.8</v>
      </c>
      <c r="S244" s="7">
        <v>4.6265856000000012</v>
      </c>
      <c r="T244" s="7">
        <v>52</v>
      </c>
      <c r="U244" s="7">
        <v>1</v>
      </c>
    </row>
    <row r="245" spans="1:21" x14ac:dyDescent="0.3">
      <c r="A245" s="7" t="s">
        <v>182</v>
      </c>
      <c r="B245" s="7" t="s">
        <v>109</v>
      </c>
      <c r="C245" s="7" t="s">
        <v>146</v>
      </c>
      <c r="D245" s="7">
        <v>13</v>
      </c>
      <c r="E245" s="7">
        <v>322</v>
      </c>
      <c r="F245" s="7">
        <v>63</v>
      </c>
      <c r="G245" s="7">
        <v>8</v>
      </c>
      <c r="H245" s="7">
        <v>112</v>
      </c>
      <c r="I245" s="7" t="s">
        <v>180</v>
      </c>
      <c r="J245" s="7">
        <v>4</v>
      </c>
      <c r="K245" s="7">
        <v>16</v>
      </c>
      <c r="L245" s="7"/>
      <c r="M245" s="7"/>
      <c r="N245" s="7"/>
      <c r="O245" s="7"/>
      <c r="P245" s="7"/>
      <c r="Q245" s="7"/>
      <c r="R245" s="7"/>
      <c r="S245" s="7"/>
      <c r="T245" s="7">
        <v>20</v>
      </c>
      <c r="U245" s="7">
        <v>2.6</v>
      </c>
    </row>
    <row r="246" spans="1:21" x14ac:dyDescent="0.3">
      <c r="A246" s="7" t="s">
        <v>182</v>
      </c>
      <c r="B246" s="7" t="s">
        <v>109</v>
      </c>
      <c r="C246" s="7" t="s">
        <v>146</v>
      </c>
      <c r="D246" s="7">
        <v>14</v>
      </c>
      <c r="E246" s="7">
        <v>322</v>
      </c>
      <c r="F246" s="7">
        <v>64</v>
      </c>
      <c r="G246" s="7">
        <v>13</v>
      </c>
      <c r="H246" s="7">
        <v>128</v>
      </c>
      <c r="I246" s="7" t="s">
        <v>177</v>
      </c>
      <c r="J246" s="7">
        <v>44</v>
      </c>
      <c r="K246" s="7">
        <v>2</v>
      </c>
      <c r="L246" s="7">
        <v>11</v>
      </c>
      <c r="M246" s="7">
        <v>180</v>
      </c>
      <c r="N246" s="7">
        <v>4</v>
      </c>
      <c r="O246" s="7">
        <v>48.9</v>
      </c>
      <c r="P246" s="7">
        <v>39</v>
      </c>
      <c r="Q246" s="7">
        <v>7</v>
      </c>
      <c r="R246" s="7">
        <v>7.6</v>
      </c>
      <c r="S246" s="7">
        <v>4.5960806399999994</v>
      </c>
      <c r="T246" s="7">
        <v>46</v>
      </c>
      <c r="U246" s="7">
        <v>1.130434782608696</v>
      </c>
    </row>
    <row r="247" spans="1:21" x14ac:dyDescent="0.3">
      <c r="A247" s="7" t="s">
        <v>182</v>
      </c>
      <c r="B247" s="7" t="s">
        <v>99</v>
      </c>
      <c r="C247" s="7" t="s">
        <v>147</v>
      </c>
      <c r="D247" s="7">
        <v>1</v>
      </c>
      <c r="E247" s="7">
        <v>350</v>
      </c>
      <c r="F247" s="7">
        <v>69</v>
      </c>
      <c r="G247" s="7">
        <v>14</v>
      </c>
      <c r="H247" s="7">
        <v>170</v>
      </c>
      <c r="I247" s="7" t="s">
        <v>174</v>
      </c>
      <c r="J247" s="7">
        <v>42</v>
      </c>
      <c r="K247" s="7">
        <v>52</v>
      </c>
      <c r="L247" s="7">
        <v>11</v>
      </c>
      <c r="M247" s="7">
        <v>230</v>
      </c>
      <c r="N247" s="7">
        <v>6</v>
      </c>
      <c r="O247" s="7">
        <v>52</v>
      </c>
      <c r="P247" s="7">
        <v>39</v>
      </c>
      <c r="Q247" s="7">
        <v>8</v>
      </c>
      <c r="R247" s="7">
        <v>8.1999999999999993</v>
      </c>
      <c r="S247" s="7">
        <v>5.9738880000000014</v>
      </c>
      <c r="T247" s="7">
        <v>94</v>
      </c>
      <c r="U247" s="7">
        <v>0.55319148936170215</v>
      </c>
    </row>
    <row r="248" spans="1:21" x14ac:dyDescent="0.3">
      <c r="A248" s="7" t="s">
        <v>182</v>
      </c>
      <c r="B248" s="7" t="s">
        <v>99</v>
      </c>
      <c r="C248" s="7" t="s">
        <v>147</v>
      </c>
      <c r="D248" s="7">
        <v>2</v>
      </c>
      <c r="E248" s="7">
        <v>330</v>
      </c>
      <c r="F248" s="7">
        <v>61</v>
      </c>
      <c r="G248" s="7">
        <v>13</v>
      </c>
      <c r="H248" s="7">
        <v>116</v>
      </c>
      <c r="I248" s="7" t="s">
        <v>175</v>
      </c>
      <c r="J248" s="7">
        <v>43</v>
      </c>
      <c r="K248" s="7">
        <v>1</v>
      </c>
      <c r="L248" s="7">
        <v>10</v>
      </c>
      <c r="M248" s="7">
        <v>162</v>
      </c>
      <c r="N248" s="7">
        <v>8</v>
      </c>
      <c r="O248" s="7">
        <v>42</v>
      </c>
      <c r="P248" s="7">
        <v>39</v>
      </c>
      <c r="Q248" s="7">
        <v>7</v>
      </c>
      <c r="R248" s="7">
        <v>8</v>
      </c>
      <c r="S248" s="7">
        <v>7.7363968000000014</v>
      </c>
      <c r="T248" s="7">
        <v>44</v>
      </c>
      <c r="U248" s="7">
        <v>1.1818181818181821</v>
      </c>
    </row>
    <row r="249" spans="1:21" x14ac:dyDescent="0.3">
      <c r="A249" s="7" t="s">
        <v>182</v>
      </c>
      <c r="B249" s="7" t="s">
        <v>99</v>
      </c>
      <c r="C249" s="7" t="s">
        <v>147</v>
      </c>
      <c r="D249" s="7">
        <v>3</v>
      </c>
      <c r="E249" s="7">
        <v>322</v>
      </c>
      <c r="F249" s="7">
        <v>64</v>
      </c>
      <c r="G249" s="7">
        <v>12</v>
      </c>
      <c r="H249" s="7">
        <v>145</v>
      </c>
      <c r="I249" s="7" t="s">
        <v>178</v>
      </c>
      <c r="J249" s="7">
        <v>46</v>
      </c>
      <c r="K249" s="7">
        <v>4</v>
      </c>
      <c r="L249" s="7">
        <v>11</v>
      </c>
      <c r="M249" s="7">
        <v>193</v>
      </c>
      <c r="N249" s="7">
        <v>5</v>
      </c>
      <c r="O249" s="7">
        <v>41.2</v>
      </c>
      <c r="P249" s="7">
        <v>38</v>
      </c>
      <c r="Q249" s="7">
        <v>7</v>
      </c>
      <c r="R249" s="7">
        <v>8.1999999999999993</v>
      </c>
      <c r="S249" s="7">
        <v>5.5422640000000003</v>
      </c>
      <c r="T249" s="7">
        <v>50</v>
      </c>
      <c r="U249" s="7">
        <v>1.04</v>
      </c>
    </row>
    <row r="250" spans="1:21" x14ac:dyDescent="0.3">
      <c r="A250" s="7" t="s">
        <v>182</v>
      </c>
      <c r="B250" s="7" t="s">
        <v>99</v>
      </c>
      <c r="C250" s="7" t="s">
        <v>147</v>
      </c>
      <c r="D250" s="7">
        <v>4</v>
      </c>
      <c r="E250" s="7">
        <v>319</v>
      </c>
      <c r="F250" s="7">
        <v>61</v>
      </c>
      <c r="G250" s="7">
        <v>9</v>
      </c>
      <c r="H250" s="7">
        <v>110</v>
      </c>
      <c r="I250" s="7" t="s">
        <v>174</v>
      </c>
      <c r="J250" s="7">
        <v>6</v>
      </c>
      <c r="K250" s="7">
        <v>16</v>
      </c>
      <c r="L250" s="7"/>
      <c r="M250" s="7"/>
      <c r="N250" s="7"/>
      <c r="O250" s="7"/>
      <c r="P250" s="7"/>
      <c r="Q250" s="7"/>
      <c r="R250" s="7"/>
      <c r="S250" s="7"/>
      <c r="T250" s="7">
        <v>22</v>
      </c>
      <c r="U250" s="7">
        <v>2.3636363636363642</v>
      </c>
    </row>
    <row r="251" spans="1:21" x14ac:dyDescent="0.3">
      <c r="A251" s="7" t="s">
        <v>182</v>
      </c>
      <c r="B251" s="7" t="s">
        <v>99</v>
      </c>
      <c r="C251" s="7" t="s">
        <v>147</v>
      </c>
      <c r="D251" s="7">
        <v>5</v>
      </c>
      <c r="E251" s="7">
        <v>375</v>
      </c>
      <c r="F251" s="7">
        <v>72</v>
      </c>
      <c r="G251" s="7">
        <v>11</v>
      </c>
      <c r="H251" s="7">
        <v>130</v>
      </c>
      <c r="I251" s="7" t="s">
        <v>174</v>
      </c>
      <c r="J251" s="7">
        <v>50</v>
      </c>
      <c r="K251" s="7">
        <v>8</v>
      </c>
      <c r="L251" s="7"/>
      <c r="M251" s="7"/>
      <c r="N251" s="7"/>
      <c r="O251" s="7"/>
      <c r="P251" s="7"/>
      <c r="Q251" s="7"/>
      <c r="R251" s="7"/>
      <c r="S251" s="7"/>
      <c r="T251" s="7">
        <v>58</v>
      </c>
      <c r="U251" s="7">
        <v>0.89655172413793105</v>
      </c>
    </row>
    <row r="252" spans="1:21" x14ac:dyDescent="0.3">
      <c r="A252" s="7" t="s">
        <v>182</v>
      </c>
      <c r="B252" s="7" t="s">
        <v>99</v>
      </c>
      <c r="C252" s="7" t="s">
        <v>147</v>
      </c>
      <c r="D252" s="7">
        <v>6</v>
      </c>
      <c r="E252" s="7">
        <v>355</v>
      </c>
      <c r="F252" s="7">
        <v>69</v>
      </c>
      <c r="G252" s="7">
        <v>12</v>
      </c>
      <c r="H252" s="7">
        <v>168</v>
      </c>
      <c r="I252" s="7" t="s">
        <v>178</v>
      </c>
      <c r="J252" s="7">
        <v>46</v>
      </c>
      <c r="K252" s="7">
        <v>4</v>
      </c>
      <c r="L252" s="7">
        <v>11</v>
      </c>
      <c r="M252" s="7">
        <v>215</v>
      </c>
      <c r="N252" s="7">
        <v>5</v>
      </c>
      <c r="O252" s="7">
        <v>45</v>
      </c>
      <c r="P252" s="7">
        <v>38</v>
      </c>
      <c r="Q252" s="7">
        <v>8</v>
      </c>
      <c r="R252" s="7">
        <v>7.6</v>
      </c>
      <c r="S252" s="7">
        <v>6.0374400000000001</v>
      </c>
      <c r="T252" s="7">
        <v>50</v>
      </c>
      <c r="U252" s="7">
        <v>1.04</v>
      </c>
    </row>
    <row r="253" spans="1:21" x14ac:dyDescent="0.3">
      <c r="A253" s="7" t="s">
        <v>182</v>
      </c>
      <c r="B253" s="7" t="s">
        <v>99</v>
      </c>
      <c r="C253" s="7" t="s">
        <v>147</v>
      </c>
      <c r="D253" s="7">
        <v>7</v>
      </c>
      <c r="E253" s="7">
        <v>340</v>
      </c>
      <c r="F253" s="7">
        <v>61</v>
      </c>
      <c r="G253" s="7">
        <v>12</v>
      </c>
      <c r="H253" s="7">
        <v>185</v>
      </c>
      <c r="I253" s="7" t="s">
        <v>177</v>
      </c>
      <c r="J253" s="7">
        <v>44</v>
      </c>
      <c r="K253" s="7">
        <v>2</v>
      </c>
      <c r="L253" s="7">
        <v>12</v>
      </c>
      <c r="M253" s="7">
        <v>217</v>
      </c>
      <c r="N253" s="7">
        <v>5</v>
      </c>
      <c r="O253" s="7">
        <v>31.5</v>
      </c>
      <c r="P253" s="7">
        <v>37</v>
      </c>
      <c r="Q253" s="7">
        <v>6</v>
      </c>
      <c r="R253" s="7">
        <v>7</v>
      </c>
      <c r="S253" s="7">
        <v>5.2946760000000008</v>
      </c>
      <c r="T253" s="7">
        <v>46</v>
      </c>
      <c r="U253" s="7">
        <v>1.130434782608696</v>
      </c>
    </row>
    <row r="254" spans="1:21" x14ac:dyDescent="0.3">
      <c r="A254" s="7" t="s">
        <v>182</v>
      </c>
      <c r="B254" s="7" t="s">
        <v>99</v>
      </c>
      <c r="C254" s="7" t="s">
        <v>147</v>
      </c>
      <c r="D254" s="7">
        <v>8</v>
      </c>
      <c r="E254" s="7">
        <v>333</v>
      </c>
      <c r="F254" s="7">
        <v>65</v>
      </c>
      <c r="G254" s="7">
        <v>11</v>
      </c>
      <c r="H254" s="7">
        <v>135</v>
      </c>
      <c r="I254" s="7" t="s">
        <v>179</v>
      </c>
      <c r="J254" s="7">
        <v>49</v>
      </c>
      <c r="K254" s="7">
        <v>7</v>
      </c>
      <c r="L254" s="7"/>
      <c r="M254" s="7"/>
      <c r="N254" s="7"/>
      <c r="O254" s="7"/>
      <c r="P254" s="7"/>
      <c r="Q254" s="7"/>
      <c r="R254" s="7"/>
      <c r="S254" s="7"/>
      <c r="T254" s="7">
        <v>56</v>
      </c>
      <c r="U254" s="7">
        <v>0.9285714285714286</v>
      </c>
    </row>
    <row r="255" spans="1:21" x14ac:dyDescent="0.3">
      <c r="A255" s="7" t="s">
        <v>182</v>
      </c>
      <c r="B255" s="7" t="s">
        <v>99</v>
      </c>
      <c r="C255" s="7" t="s">
        <v>147</v>
      </c>
      <c r="D255" s="7">
        <v>9</v>
      </c>
      <c r="E255" s="7">
        <v>354</v>
      </c>
      <c r="F255" s="7">
        <v>66</v>
      </c>
      <c r="G255" s="7">
        <v>13</v>
      </c>
      <c r="H255" s="7">
        <v>164</v>
      </c>
      <c r="I255" s="7" t="s">
        <v>178</v>
      </c>
      <c r="J255" s="7">
        <v>46</v>
      </c>
      <c r="K255" s="7">
        <v>4</v>
      </c>
      <c r="L255" s="7">
        <v>11</v>
      </c>
      <c r="M255" s="7">
        <v>212</v>
      </c>
      <c r="N255" s="7">
        <v>5</v>
      </c>
      <c r="O255" s="7">
        <v>44.6</v>
      </c>
      <c r="P255" s="7">
        <v>38</v>
      </c>
      <c r="Q255" s="7">
        <v>7</v>
      </c>
      <c r="R255" s="7">
        <v>8.4</v>
      </c>
      <c r="S255" s="7">
        <v>5.1768400000000003</v>
      </c>
      <c r="T255" s="7">
        <v>50</v>
      </c>
      <c r="U255" s="7">
        <v>1.04</v>
      </c>
    </row>
    <row r="256" spans="1:21" x14ac:dyDescent="0.3">
      <c r="A256" s="7" t="s">
        <v>182</v>
      </c>
      <c r="B256" s="7" t="s">
        <v>99</v>
      </c>
      <c r="C256" s="7" t="s">
        <v>147</v>
      </c>
      <c r="D256" s="7">
        <v>10</v>
      </c>
      <c r="E256" s="7">
        <v>300</v>
      </c>
      <c r="F256" s="7">
        <v>51</v>
      </c>
      <c r="G256" s="7">
        <v>10</v>
      </c>
      <c r="H256" s="7">
        <v>90</v>
      </c>
      <c r="I256" s="7" t="s">
        <v>176</v>
      </c>
      <c r="J256" s="7">
        <v>45</v>
      </c>
      <c r="K256" s="7">
        <v>3</v>
      </c>
      <c r="L256" s="7">
        <v>11</v>
      </c>
      <c r="M256" s="7">
        <v>123</v>
      </c>
      <c r="N256" s="7">
        <v>5</v>
      </c>
      <c r="O256" s="7">
        <v>24.6</v>
      </c>
      <c r="P256" s="7">
        <v>38</v>
      </c>
      <c r="Q256" s="7">
        <v>6</v>
      </c>
      <c r="R256" s="7">
        <v>7.6</v>
      </c>
      <c r="S256" s="7">
        <v>3.4614655999999999</v>
      </c>
      <c r="T256" s="7">
        <v>48</v>
      </c>
      <c r="U256" s="7">
        <v>1.083333333333333</v>
      </c>
    </row>
    <row r="257" spans="1:21" x14ac:dyDescent="0.3">
      <c r="A257" s="7" t="s">
        <v>182</v>
      </c>
      <c r="B257" s="7" t="s">
        <v>99</v>
      </c>
      <c r="C257" s="7" t="s">
        <v>147</v>
      </c>
      <c r="D257" s="7">
        <v>11</v>
      </c>
      <c r="E257" s="7">
        <v>292</v>
      </c>
      <c r="F257" s="7">
        <v>64</v>
      </c>
      <c r="G257" s="7">
        <v>10</v>
      </c>
      <c r="H257" s="7">
        <v>104</v>
      </c>
      <c r="I257" s="7" t="s">
        <v>175</v>
      </c>
      <c r="J257" s="7">
        <v>7</v>
      </c>
      <c r="K257" s="7">
        <v>17</v>
      </c>
      <c r="L257" s="7"/>
      <c r="M257" s="7"/>
      <c r="N257" s="7"/>
      <c r="O257" s="7"/>
      <c r="P257" s="7"/>
      <c r="Q257" s="7"/>
      <c r="R257" s="7"/>
      <c r="S257" s="7"/>
      <c r="T257" s="7">
        <v>24</v>
      </c>
      <c r="U257" s="7">
        <v>2.166666666666667</v>
      </c>
    </row>
    <row r="258" spans="1:21" x14ac:dyDescent="0.3">
      <c r="A258" s="7" t="s">
        <v>182</v>
      </c>
      <c r="B258" s="7" t="s">
        <v>99</v>
      </c>
      <c r="C258" s="7" t="s">
        <v>147</v>
      </c>
      <c r="D258" s="7">
        <v>12</v>
      </c>
      <c r="E258" s="7">
        <v>305</v>
      </c>
      <c r="F258" s="7">
        <v>57</v>
      </c>
      <c r="G258" s="7">
        <v>13</v>
      </c>
      <c r="H258" s="7">
        <v>122</v>
      </c>
      <c r="I258" s="7" t="s">
        <v>180</v>
      </c>
      <c r="J258" s="7">
        <v>48</v>
      </c>
      <c r="K258" s="7">
        <v>6</v>
      </c>
      <c r="L258" s="7"/>
      <c r="M258" s="7"/>
      <c r="N258" s="7"/>
      <c r="O258" s="7"/>
      <c r="P258" s="7"/>
      <c r="Q258" s="7"/>
      <c r="R258" s="7"/>
      <c r="S258" s="7"/>
      <c r="T258" s="7">
        <v>54</v>
      </c>
      <c r="U258" s="7">
        <v>0.96296296296296291</v>
      </c>
    </row>
    <row r="259" spans="1:21" x14ac:dyDescent="0.3">
      <c r="A259" s="7" t="s">
        <v>182</v>
      </c>
      <c r="B259" s="7" t="s">
        <v>99</v>
      </c>
      <c r="C259" s="7" t="s">
        <v>147</v>
      </c>
      <c r="D259" s="7">
        <v>13</v>
      </c>
      <c r="E259" s="7">
        <v>300</v>
      </c>
      <c r="F259" s="7">
        <v>60</v>
      </c>
      <c r="G259" s="7">
        <v>13</v>
      </c>
      <c r="H259" s="7">
        <v>76</v>
      </c>
      <c r="I259" s="7" t="s">
        <v>173</v>
      </c>
      <c r="J259" s="7">
        <v>47</v>
      </c>
      <c r="K259" s="7">
        <v>5</v>
      </c>
      <c r="L259" s="7">
        <v>11</v>
      </c>
      <c r="M259" s="7">
        <v>143</v>
      </c>
      <c r="N259" s="7">
        <v>5</v>
      </c>
      <c r="O259" s="7">
        <v>29.8</v>
      </c>
      <c r="P259" s="7">
        <v>39</v>
      </c>
      <c r="Q259" s="7">
        <v>6</v>
      </c>
      <c r="R259" s="7">
        <v>8.4</v>
      </c>
      <c r="S259" s="7">
        <v>4.8723200000000002</v>
      </c>
      <c r="T259" s="7">
        <v>52</v>
      </c>
      <c r="U259" s="7">
        <v>1</v>
      </c>
    </row>
    <row r="260" spans="1:21" x14ac:dyDescent="0.3">
      <c r="A260" s="7" t="s">
        <v>182</v>
      </c>
      <c r="B260" s="7" t="s">
        <v>99</v>
      </c>
      <c r="C260" s="7" t="s">
        <v>147</v>
      </c>
      <c r="D260" s="7">
        <v>14</v>
      </c>
      <c r="E260" s="7">
        <v>310</v>
      </c>
      <c r="F260" s="7">
        <v>58</v>
      </c>
      <c r="G260" s="7">
        <v>12</v>
      </c>
      <c r="H260" s="7">
        <v>80</v>
      </c>
      <c r="I260" s="7" t="s">
        <v>180</v>
      </c>
      <c r="J260" s="7">
        <v>48</v>
      </c>
      <c r="K260" s="7">
        <v>6</v>
      </c>
      <c r="L260" s="7"/>
      <c r="M260" s="7"/>
      <c r="N260" s="7"/>
      <c r="O260" s="7"/>
      <c r="P260" s="7"/>
      <c r="Q260" s="7"/>
      <c r="R260" s="7"/>
      <c r="S260" s="7"/>
      <c r="T260" s="7">
        <v>54</v>
      </c>
      <c r="U260" s="7">
        <v>0.96296296296296291</v>
      </c>
    </row>
    <row r="261" spans="1:21" x14ac:dyDescent="0.3">
      <c r="A261" s="7" t="s">
        <v>182</v>
      </c>
      <c r="B261" s="7" t="s">
        <v>109</v>
      </c>
      <c r="C261" s="7" t="s">
        <v>144</v>
      </c>
      <c r="D261" s="7">
        <v>1</v>
      </c>
      <c r="E261" s="7">
        <v>345</v>
      </c>
      <c r="F261" s="7">
        <v>67</v>
      </c>
      <c r="G261" s="7">
        <v>11</v>
      </c>
      <c r="H261" s="7">
        <v>165</v>
      </c>
      <c r="I261" s="7" t="s">
        <v>177</v>
      </c>
      <c r="J261" s="7">
        <v>52</v>
      </c>
      <c r="K261" s="7">
        <v>10</v>
      </c>
      <c r="L261" s="7"/>
      <c r="M261" s="7"/>
      <c r="N261" s="7"/>
      <c r="O261" s="7"/>
      <c r="P261" s="7"/>
      <c r="Q261" s="7"/>
      <c r="R261" s="7"/>
      <c r="S261" s="7"/>
      <c r="T261" s="7">
        <v>62</v>
      </c>
      <c r="U261" s="7">
        <v>0.83870967741935487</v>
      </c>
    </row>
    <row r="262" spans="1:21" x14ac:dyDescent="0.3">
      <c r="A262" s="7" t="s">
        <v>182</v>
      </c>
      <c r="B262" s="7" t="s">
        <v>109</v>
      </c>
      <c r="C262" s="7" t="s">
        <v>144</v>
      </c>
      <c r="D262" s="7">
        <v>2</v>
      </c>
      <c r="E262" s="7">
        <v>314</v>
      </c>
      <c r="F262" s="7">
        <v>68</v>
      </c>
      <c r="G262" s="7">
        <v>10</v>
      </c>
      <c r="H262" s="7">
        <v>175</v>
      </c>
      <c r="I262" s="7" t="s">
        <v>174</v>
      </c>
      <c r="J262" s="7">
        <v>6</v>
      </c>
      <c r="K262" s="7">
        <v>16</v>
      </c>
      <c r="L262" s="7"/>
      <c r="M262" s="7"/>
      <c r="N262" s="7"/>
      <c r="O262" s="7"/>
      <c r="P262" s="7"/>
      <c r="Q262" s="7"/>
      <c r="R262" s="7"/>
      <c r="S262" s="7"/>
      <c r="T262" s="7">
        <v>22</v>
      </c>
      <c r="U262" s="7">
        <v>2.3636363636363642</v>
      </c>
    </row>
    <row r="263" spans="1:21" x14ac:dyDescent="0.3">
      <c r="A263" s="7" t="s">
        <v>182</v>
      </c>
      <c r="B263" s="7" t="s">
        <v>109</v>
      </c>
      <c r="C263" s="7" t="s">
        <v>144</v>
      </c>
      <c r="D263" s="7">
        <v>3</v>
      </c>
      <c r="E263" s="7">
        <v>320</v>
      </c>
      <c r="F263" s="7">
        <v>64</v>
      </c>
      <c r="G263" s="7">
        <v>13</v>
      </c>
      <c r="H263" s="7">
        <v>105</v>
      </c>
      <c r="I263" s="7" t="s">
        <v>180</v>
      </c>
      <c r="J263" s="7">
        <v>48</v>
      </c>
      <c r="K263" s="7">
        <v>6</v>
      </c>
      <c r="L263" s="7">
        <v>11</v>
      </c>
      <c r="M263" s="7">
        <v>195</v>
      </c>
      <c r="N263" s="7">
        <v>5</v>
      </c>
      <c r="O263" s="7">
        <v>43.5</v>
      </c>
      <c r="P263" s="7">
        <v>39</v>
      </c>
      <c r="Q263" s="7">
        <v>7</v>
      </c>
      <c r="R263" s="7">
        <v>8.4</v>
      </c>
      <c r="S263" s="7">
        <v>5.0047200000000007</v>
      </c>
      <c r="T263" s="7">
        <v>54</v>
      </c>
      <c r="U263" s="7">
        <v>0.96296296296296291</v>
      </c>
    </row>
    <row r="264" spans="1:21" x14ac:dyDescent="0.3">
      <c r="A264" s="7" t="s">
        <v>182</v>
      </c>
      <c r="B264" s="7" t="s">
        <v>109</v>
      </c>
      <c r="C264" s="7" t="s">
        <v>144</v>
      </c>
      <c r="D264" s="7">
        <v>4</v>
      </c>
      <c r="E264" s="7">
        <v>305</v>
      </c>
      <c r="F264" s="7">
        <v>61</v>
      </c>
      <c r="G264" s="7">
        <v>14</v>
      </c>
      <c r="H264" s="7">
        <v>145</v>
      </c>
      <c r="I264" s="7" t="s">
        <v>176</v>
      </c>
      <c r="J264" s="7">
        <v>45</v>
      </c>
      <c r="K264" s="7">
        <v>3</v>
      </c>
      <c r="L264" s="7">
        <v>11</v>
      </c>
      <c r="M264" s="7">
        <v>186</v>
      </c>
      <c r="N264" s="7">
        <v>6</v>
      </c>
      <c r="O264" s="7">
        <v>29.4</v>
      </c>
      <c r="P264" s="7">
        <v>38</v>
      </c>
      <c r="Q264" s="7">
        <v>6</v>
      </c>
      <c r="R264" s="7">
        <v>7.8</v>
      </c>
      <c r="S264" s="7">
        <v>6.1518336000000016</v>
      </c>
      <c r="T264" s="7">
        <v>48</v>
      </c>
      <c r="U264" s="7">
        <v>1.083333333333333</v>
      </c>
    </row>
    <row r="265" spans="1:21" x14ac:dyDescent="0.3">
      <c r="A265" s="7" t="s">
        <v>182</v>
      </c>
      <c r="B265" s="7" t="s">
        <v>109</v>
      </c>
      <c r="C265" s="7" t="s">
        <v>144</v>
      </c>
      <c r="D265" s="7">
        <v>5</v>
      </c>
      <c r="E265" s="7">
        <v>332</v>
      </c>
      <c r="F265" s="7">
        <v>68</v>
      </c>
      <c r="G265" s="7">
        <v>10</v>
      </c>
      <c r="H265" s="7">
        <v>189</v>
      </c>
      <c r="I265" s="7" t="s">
        <v>177</v>
      </c>
      <c r="J265" s="7">
        <v>44</v>
      </c>
      <c r="K265" s="7">
        <v>2</v>
      </c>
      <c r="L265" s="7"/>
      <c r="M265" s="7"/>
      <c r="N265" s="7"/>
      <c r="O265" s="7"/>
      <c r="P265" s="7"/>
      <c r="Q265" s="7"/>
      <c r="R265" s="7"/>
      <c r="S265" s="7"/>
      <c r="T265" s="7">
        <v>46</v>
      </c>
      <c r="U265" s="7">
        <v>1.130434782608696</v>
      </c>
    </row>
    <row r="266" spans="1:21" x14ac:dyDescent="0.3">
      <c r="A266" s="7" t="s">
        <v>182</v>
      </c>
      <c r="B266" s="7" t="s">
        <v>109</v>
      </c>
      <c r="C266" s="7" t="s">
        <v>144</v>
      </c>
      <c r="D266" s="7">
        <v>6</v>
      </c>
      <c r="E266" s="7">
        <v>340</v>
      </c>
      <c r="F266" s="7">
        <v>64</v>
      </c>
      <c r="G266" s="7">
        <v>15</v>
      </c>
      <c r="H266" s="7">
        <v>150</v>
      </c>
      <c r="I266" s="7" t="s">
        <v>175</v>
      </c>
      <c r="J266" s="7">
        <v>43</v>
      </c>
      <c r="K266" s="7">
        <v>1</v>
      </c>
      <c r="L266" s="7">
        <v>11</v>
      </c>
      <c r="M266" s="7">
        <v>203</v>
      </c>
      <c r="N266" s="7">
        <v>7</v>
      </c>
      <c r="O266" s="7">
        <v>38.5</v>
      </c>
      <c r="P266" s="7">
        <v>38</v>
      </c>
      <c r="Q266" s="7">
        <v>7</v>
      </c>
      <c r="R266" s="7">
        <v>8</v>
      </c>
      <c r="S266" s="7">
        <v>8.1854976000000015</v>
      </c>
      <c r="T266" s="7">
        <v>44</v>
      </c>
      <c r="U266" s="7">
        <v>1.1818181818181821</v>
      </c>
    </row>
    <row r="267" spans="1:21" x14ac:dyDescent="0.3">
      <c r="A267" s="7" t="s">
        <v>182</v>
      </c>
      <c r="B267" s="7" t="s">
        <v>109</v>
      </c>
      <c r="C267" s="7" t="s">
        <v>144</v>
      </c>
      <c r="D267" s="7">
        <v>7</v>
      </c>
      <c r="E267" s="7">
        <v>350</v>
      </c>
      <c r="F267" s="7">
        <v>72</v>
      </c>
      <c r="G267" s="7">
        <v>13</v>
      </c>
      <c r="H267" s="7">
        <v>140</v>
      </c>
      <c r="I267" s="7" t="s">
        <v>177</v>
      </c>
      <c r="J267" s="7">
        <v>44</v>
      </c>
      <c r="K267" s="7">
        <v>2</v>
      </c>
      <c r="L267" s="7">
        <v>11</v>
      </c>
      <c r="M267" s="7">
        <v>215</v>
      </c>
      <c r="N267" s="7">
        <v>5</v>
      </c>
      <c r="O267" s="7">
        <v>48</v>
      </c>
      <c r="P267" s="7">
        <v>38</v>
      </c>
      <c r="Q267" s="7">
        <v>7</v>
      </c>
      <c r="R267" s="7">
        <v>8</v>
      </c>
      <c r="S267" s="7">
        <v>5.1159360000000014</v>
      </c>
      <c r="T267" s="7">
        <v>46</v>
      </c>
      <c r="U267" s="7">
        <v>1.130434782608696</v>
      </c>
    </row>
    <row r="268" spans="1:21" x14ac:dyDescent="0.3">
      <c r="A268" s="7" t="s">
        <v>182</v>
      </c>
      <c r="B268" s="7" t="s">
        <v>109</v>
      </c>
      <c r="C268" s="7" t="s">
        <v>144</v>
      </c>
      <c r="D268" s="7">
        <v>8</v>
      </c>
      <c r="E268" s="7">
        <v>320</v>
      </c>
      <c r="F268" s="7">
        <v>71</v>
      </c>
      <c r="G268" s="7">
        <v>14</v>
      </c>
      <c r="H268" s="7">
        <v>100</v>
      </c>
      <c r="I268" s="7" t="s">
        <v>174</v>
      </c>
      <c r="J268" s="7">
        <v>42</v>
      </c>
      <c r="K268" s="7">
        <v>52</v>
      </c>
      <c r="L268" s="7">
        <v>12</v>
      </c>
      <c r="M268" s="7">
        <v>200</v>
      </c>
      <c r="N268" s="7">
        <v>5</v>
      </c>
      <c r="O268" s="7">
        <v>31.4</v>
      </c>
      <c r="P268" s="7">
        <v>40</v>
      </c>
      <c r="Q268" s="7">
        <v>7</v>
      </c>
      <c r="R268" s="7">
        <v>8.1999999999999993</v>
      </c>
      <c r="S268" s="7">
        <v>5.0550319999999997</v>
      </c>
      <c r="T268" s="7">
        <v>94</v>
      </c>
      <c r="U268" s="7">
        <v>0.55319148936170215</v>
      </c>
    </row>
    <row r="269" spans="1:21" x14ac:dyDescent="0.3">
      <c r="A269" s="7" t="s">
        <v>182</v>
      </c>
      <c r="B269" s="7" t="s">
        <v>109</v>
      </c>
      <c r="C269" s="7" t="s">
        <v>144</v>
      </c>
      <c r="D269" s="7">
        <v>9</v>
      </c>
      <c r="E269" s="7">
        <v>352</v>
      </c>
      <c r="F269" s="7">
        <v>64</v>
      </c>
      <c r="G269" s="7">
        <v>14</v>
      </c>
      <c r="H269" s="7">
        <v>100</v>
      </c>
      <c r="I269" s="7" t="s">
        <v>174</v>
      </c>
      <c r="J269" s="7">
        <v>42</v>
      </c>
      <c r="K269" s="7">
        <v>52</v>
      </c>
      <c r="L269" s="7">
        <v>11</v>
      </c>
      <c r="M269" s="7">
        <v>174</v>
      </c>
      <c r="N269" s="7">
        <v>8</v>
      </c>
      <c r="O269" s="7">
        <v>42</v>
      </c>
      <c r="P269" s="7">
        <v>39</v>
      </c>
      <c r="Q269" s="7">
        <v>7</v>
      </c>
      <c r="R269" s="7">
        <v>8.1999999999999993</v>
      </c>
      <c r="S269" s="7">
        <v>8.2109183999999988</v>
      </c>
      <c r="T269" s="7">
        <v>94</v>
      </c>
      <c r="U269" s="7">
        <v>0.55319148936170215</v>
      </c>
    </row>
    <row r="270" spans="1:21" x14ac:dyDescent="0.3">
      <c r="A270" s="7" t="s">
        <v>182</v>
      </c>
      <c r="B270" s="7" t="s">
        <v>109</v>
      </c>
      <c r="C270" s="7" t="s">
        <v>144</v>
      </c>
      <c r="D270" s="7">
        <v>10</v>
      </c>
      <c r="E270" s="7">
        <v>320</v>
      </c>
      <c r="F270" s="7">
        <v>66</v>
      </c>
      <c r="G270" s="7">
        <v>13</v>
      </c>
      <c r="H270" s="7">
        <v>75</v>
      </c>
      <c r="I270" s="7" t="s">
        <v>173</v>
      </c>
      <c r="J270" s="7">
        <v>47</v>
      </c>
      <c r="K270" s="7">
        <v>5</v>
      </c>
      <c r="L270" s="7">
        <v>11</v>
      </c>
      <c r="M270" s="7">
        <v>145</v>
      </c>
      <c r="N270" s="7">
        <v>6</v>
      </c>
      <c r="O270" s="7">
        <v>35.5</v>
      </c>
      <c r="P270" s="7">
        <v>37</v>
      </c>
      <c r="Q270" s="7">
        <v>7</v>
      </c>
      <c r="R270" s="7">
        <v>8</v>
      </c>
      <c r="S270" s="7">
        <v>6.5712768000000006</v>
      </c>
      <c r="T270" s="7">
        <v>52</v>
      </c>
      <c r="U270" s="7">
        <v>1</v>
      </c>
    </row>
    <row r="271" spans="1:21" x14ac:dyDescent="0.3">
      <c r="A271" s="7" t="s">
        <v>182</v>
      </c>
      <c r="B271" s="7" t="s">
        <v>109</v>
      </c>
      <c r="C271" s="7" t="s">
        <v>144</v>
      </c>
      <c r="D271" s="7">
        <v>11</v>
      </c>
      <c r="E271" s="7">
        <v>315</v>
      </c>
      <c r="F271" s="7">
        <v>64</v>
      </c>
      <c r="G271" s="7">
        <v>14</v>
      </c>
      <c r="H271" s="7">
        <v>55</v>
      </c>
      <c r="I271" s="7" t="s">
        <v>173</v>
      </c>
      <c r="J271" s="7">
        <v>47</v>
      </c>
      <c r="K271" s="7">
        <v>5</v>
      </c>
      <c r="L271" s="7">
        <v>12</v>
      </c>
      <c r="M271" s="7">
        <v>130</v>
      </c>
      <c r="N271" s="7">
        <v>4</v>
      </c>
      <c r="O271" s="7">
        <v>34</v>
      </c>
      <c r="P271" s="7">
        <v>37</v>
      </c>
      <c r="Q271" s="7">
        <v>6</v>
      </c>
      <c r="R271" s="7">
        <v>7.2</v>
      </c>
      <c r="S271" s="7">
        <v>4.7293280000000006</v>
      </c>
      <c r="T271" s="7">
        <v>52</v>
      </c>
      <c r="U271" s="7">
        <v>1</v>
      </c>
    </row>
    <row r="272" spans="1:21" x14ac:dyDescent="0.3">
      <c r="A272" s="7" t="s">
        <v>182</v>
      </c>
      <c r="B272" s="7" t="s">
        <v>109</v>
      </c>
      <c r="C272" s="7" t="s">
        <v>144</v>
      </c>
      <c r="D272" s="7">
        <v>12</v>
      </c>
      <c r="E272" s="7">
        <v>281</v>
      </c>
      <c r="F272" s="7">
        <v>59</v>
      </c>
      <c r="G272" s="7">
        <v>8</v>
      </c>
      <c r="H272" s="7">
        <v>69</v>
      </c>
      <c r="I272" s="7" t="s">
        <v>175</v>
      </c>
      <c r="J272" s="7">
        <v>6</v>
      </c>
      <c r="K272" s="7">
        <v>16</v>
      </c>
      <c r="L272" s="7"/>
      <c r="M272" s="7"/>
      <c r="N272" s="7"/>
      <c r="O272" s="7"/>
      <c r="P272" s="7"/>
      <c r="Q272" s="7"/>
      <c r="R272" s="7"/>
      <c r="S272" s="7"/>
      <c r="T272" s="7">
        <v>22</v>
      </c>
      <c r="U272" s="7">
        <v>2.3636363636363642</v>
      </c>
    </row>
    <row r="273" spans="1:21" x14ac:dyDescent="0.3">
      <c r="A273" s="7" t="s">
        <v>182</v>
      </c>
      <c r="B273" s="7" t="s">
        <v>109</v>
      </c>
      <c r="C273" s="7" t="s">
        <v>144</v>
      </c>
      <c r="D273" s="7">
        <v>13</v>
      </c>
      <c r="E273" s="7">
        <v>328</v>
      </c>
      <c r="F273" s="7">
        <v>64</v>
      </c>
      <c r="G273" s="7">
        <v>10</v>
      </c>
      <c r="H273" s="7">
        <v>120</v>
      </c>
      <c r="I273" s="7" t="s">
        <v>175</v>
      </c>
      <c r="J273" s="7">
        <v>6</v>
      </c>
      <c r="K273" s="7">
        <v>16</v>
      </c>
      <c r="L273" s="7"/>
      <c r="M273" s="7"/>
      <c r="N273" s="7"/>
      <c r="O273" s="7"/>
      <c r="P273" s="7"/>
      <c r="Q273" s="7"/>
      <c r="R273" s="7"/>
      <c r="S273" s="7"/>
      <c r="T273" s="7">
        <v>22</v>
      </c>
      <c r="U273" s="7">
        <v>2.3636363636363642</v>
      </c>
    </row>
    <row r="274" spans="1:21" x14ac:dyDescent="0.3">
      <c r="A274" s="7" t="s">
        <v>182</v>
      </c>
      <c r="B274" s="7" t="s">
        <v>109</v>
      </c>
      <c r="C274" s="7" t="s">
        <v>144</v>
      </c>
      <c r="D274" s="7">
        <v>14</v>
      </c>
      <c r="E274" s="7">
        <v>324</v>
      </c>
      <c r="F274" s="7">
        <v>66</v>
      </c>
      <c r="G274" s="7">
        <v>12</v>
      </c>
      <c r="H274" s="7">
        <v>130</v>
      </c>
      <c r="I274" s="7" t="s">
        <v>178</v>
      </c>
      <c r="J274" s="7">
        <v>46</v>
      </c>
      <c r="K274" s="7">
        <v>4</v>
      </c>
      <c r="L274" s="7">
        <v>11</v>
      </c>
      <c r="M274" s="7">
        <v>194</v>
      </c>
      <c r="N274" s="7">
        <v>6</v>
      </c>
      <c r="O274" s="7">
        <v>42.4</v>
      </c>
      <c r="P274" s="7">
        <v>39</v>
      </c>
      <c r="Q274" s="7">
        <v>8</v>
      </c>
      <c r="R274" s="7">
        <v>8.4</v>
      </c>
      <c r="S274" s="7">
        <v>6.7530355200000001</v>
      </c>
      <c r="T274" s="7">
        <v>50</v>
      </c>
      <c r="U274" s="7">
        <v>1.04</v>
      </c>
    </row>
    <row r="275" spans="1:21" x14ac:dyDescent="0.3">
      <c r="A275" s="7" t="s">
        <v>182</v>
      </c>
      <c r="B275" s="7" t="s">
        <v>97</v>
      </c>
      <c r="C275" s="7" t="s">
        <v>147</v>
      </c>
      <c r="D275" s="7">
        <v>1</v>
      </c>
      <c r="E275" s="7">
        <v>315</v>
      </c>
      <c r="F275" s="7">
        <v>62</v>
      </c>
      <c r="G275" s="7">
        <v>9</v>
      </c>
      <c r="H275" s="7">
        <v>45</v>
      </c>
      <c r="I275" s="7" t="s">
        <v>173</v>
      </c>
      <c r="J275" s="7">
        <v>3</v>
      </c>
      <c r="K275" s="7">
        <v>13</v>
      </c>
      <c r="L275" s="7"/>
      <c r="M275" s="7"/>
      <c r="N275" s="7"/>
      <c r="O275" s="7"/>
      <c r="P275" s="7"/>
      <c r="Q275" s="7"/>
      <c r="R275" s="7"/>
      <c r="S275" s="7"/>
      <c r="T275" s="7">
        <v>16</v>
      </c>
      <c r="U275" s="7">
        <v>3.25</v>
      </c>
    </row>
    <row r="276" spans="1:21" x14ac:dyDescent="0.3">
      <c r="A276" s="7" t="s">
        <v>182</v>
      </c>
      <c r="B276" s="7" t="s">
        <v>97</v>
      </c>
      <c r="C276" s="7" t="s">
        <v>147</v>
      </c>
      <c r="D276" s="7">
        <v>2</v>
      </c>
      <c r="E276" s="7">
        <v>300</v>
      </c>
      <c r="F276" s="7">
        <v>59</v>
      </c>
      <c r="G276" s="7">
        <v>9</v>
      </c>
      <c r="H276" s="7">
        <v>113</v>
      </c>
      <c r="I276" s="7" t="s">
        <v>177</v>
      </c>
      <c r="J276" s="7">
        <v>52</v>
      </c>
      <c r="K276" s="7">
        <v>10</v>
      </c>
      <c r="L276" s="7"/>
      <c r="M276" s="7"/>
      <c r="N276" s="7"/>
      <c r="O276" s="7"/>
      <c r="P276" s="7"/>
      <c r="Q276" s="7"/>
      <c r="R276" s="7"/>
      <c r="S276" s="7"/>
      <c r="T276" s="7">
        <v>62</v>
      </c>
      <c r="U276" s="7">
        <v>0.83870967741935487</v>
      </c>
    </row>
    <row r="277" spans="1:21" x14ac:dyDescent="0.3">
      <c r="A277" s="7" t="s">
        <v>182</v>
      </c>
      <c r="B277" s="7" t="s">
        <v>97</v>
      </c>
      <c r="C277" s="7" t="s">
        <v>147</v>
      </c>
      <c r="D277" s="7">
        <v>3</v>
      </c>
      <c r="E277" s="7">
        <v>300</v>
      </c>
      <c r="F277" s="7">
        <v>61</v>
      </c>
      <c r="G277" s="7">
        <v>10</v>
      </c>
      <c r="H277" s="7">
        <v>65</v>
      </c>
      <c r="I277" s="7" t="s">
        <v>177</v>
      </c>
      <c r="J277" s="7">
        <v>52</v>
      </c>
      <c r="K277" s="7">
        <v>10</v>
      </c>
      <c r="L277" s="7"/>
      <c r="M277" s="7"/>
      <c r="N277" s="7"/>
      <c r="O277" s="7"/>
      <c r="P277" s="7"/>
      <c r="Q277" s="7"/>
      <c r="R277" s="7"/>
      <c r="S277" s="7"/>
      <c r="T277" s="7">
        <v>62</v>
      </c>
      <c r="U277" s="7">
        <v>0.83870967741935487</v>
      </c>
    </row>
    <row r="278" spans="1:21" x14ac:dyDescent="0.3">
      <c r="A278" s="7" t="s">
        <v>182</v>
      </c>
      <c r="B278" s="7" t="s">
        <v>97</v>
      </c>
      <c r="C278" s="7" t="s">
        <v>147</v>
      </c>
      <c r="D278" s="7">
        <v>4</v>
      </c>
      <c r="E278" s="7">
        <v>342</v>
      </c>
      <c r="F278" s="7">
        <v>65</v>
      </c>
      <c r="G278" s="7">
        <v>13</v>
      </c>
      <c r="H278" s="7">
        <v>135</v>
      </c>
      <c r="I278" s="7" t="s">
        <v>177</v>
      </c>
      <c r="J278" s="7">
        <v>44</v>
      </c>
      <c r="K278" s="7">
        <v>2</v>
      </c>
      <c r="L278" s="7">
        <v>12</v>
      </c>
      <c r="M278" s="7">
        <v>204</v>
      </c>
      <c r="N278" s="7">
        <v>4</v>
      </c>
      <c r="O278" s="7">
        <v>40.700000000000003</v>
      </c>
      <c r="P278" s="7">
        <v>37</v>
      </c>
      <c r="Q278" s="7">
        <v>7</v>
      </c>
      <c r="R278" s="7">
        <v>7.4</v>
      </c>
      <c r="S278" s="7">
        <v>4.3768262400000006</v>
      </c>
      <c r="T278" s="7">
        <v>46</v>
      </c>
      <c r="U278" s="7">
        <v>1.130434782608696</v>
      </c>
    </row>
    <row r="279" spans="1:21" x14ac:dyDescent="0.3">
      <c r="A279" s="7" t="s">
        <v>182</v>
      </c>
      <c r="B279" s="7" t="s">
        <v>97</v>
      </c>
      <c r="C279" s="7" t="s">
        <v>147</v>
      </c>
      <c r="D279" s="7">
        <v>5</v>
      </c>
      <c r="E279" s="7">
        <v>365</v>
      </c>
      <c r="F279" s="7">
        <v>69</v>
      </c>
      <c r="G279" s="7">
        <v>11</v>
      </c>
      <c r="H279" s="7">
        <v>127</v>
      </c>
      <c r="I279" s="7" t="s">
        <v>179</v>
      </c>
      <c r="J279" s="7">
        <v>49</v>
      </c>
      <c r="K279" s="7">
        <v>7</v>
      </c>
      <c r="L279" s="7"/>
      <c r="M279" s="7"/>
      <c r="N279" s="7"/>
      <c r="O279" s="7"/>
      <c r="P279" s="7"/>
      <c r="Q279" s="7"/>
      <c r="R279" s="7"/>
      <c r="S279" s="7"/>
      <c r="T279" s="7">
        <v>56</v>
      </c>
      <c r="U279" s="7">
        <v>0.9285714285714286</v>
      </c>
    </row>
    <row r="280" spans="1:21" x14ac:dyDescent="0.3">
      <c r="A280" s="7" t="s">
        <v>182</v>
      </c>
      <c r="B280" s="7" t="s">
        <v>97</v>
      </c>
      <c r="C280" s="7" t="s">
        <v>147</v>
      </c>
      <c r="D280" s="7">
        <v>6</v>
      </c>
      <c r="E280" s="7">
        <v>342</v>
      </c>
      <c r="F280" s="7">
        <v>63</v>
      </c>
      <c r="G280" s="7">
        <v>14</v>
      </c>
      <c r="H280" s="7">
        <v>162</v>
      </c>
      <c r="I280" s="7" t="s">
        <v>175</v>
      </c>
      <c r="J280" s="7">
        <v>43</v>
      </c>
      <c r="K280" s="7">
        <v>1</v>
      </c>
      <c r="L280" s="7">
        <v>12</v>
      </c>
      <c r="M280" s="7">
        <v>186</v>
      </c>
      <c r="N280" s="7">
        <v>4</v>
      </c>
      <c r="O280" s="7">
        <v>38.200000000000003</v>
      </c>
      <c r="P280" s="7">
        <v>39</v>
      </c>
      <c r="Q280" s="7">
        <v>7</v>
      </c>
      <c r="R280" s="7">
        <v>7.6</v>
      </c>
      <c r="S280" s="7">
        <v>4.4804160000000008</v>
      </c>
      <c r="T280" s="7">
        <v>44</v>
      </c>
      <c r="U280" s="7">
        <v>1.1818181818181821</v>
      </c>
    </row>
    <row r="281" spans="1:21" x14ac:dyDescent="0.3">
      <c r="A281" s="7" t="s">
        <v>182</v>
      </c>
      <c r="B281" s="7" t="s">
        <v>97</v>
      </c>
      <c r="C281" s="7" t="s">
        <v>147</v>
      </c>
      <c r="D281" s="7">
        <v>7</v>
      </c>
      <c r="E281" s="7">
        <v>327</v>
      </c>
      <c r="F281" s="7">
        <v>58</v>
      </c>
      <c r="G281" s="7">
        <v>10</v>
      </c>
      <c r="H281" s="7">
        <v>25</v>
      </c>
      <c r="I281" s="7" t="s">
        <v>174</v>
      </c>
      <c r="J281" s="7">
        <v>50</v>
      </c>
      <c r="K281" s="7">
        <v>8</v>
      </c>
      <c r="L281" s="7"/>
      <c r="M281" s="7"/>
      <c r="N281" s="7"/>
      <c r="O281" s="7"/>
      <c r="P281" s="7"/>
      <c r="Q281" s="7"/>
      <c r="R281" s="7"/>
      <c r="S281" s="7"/>
      <c r="T281" s="7">
        <v>58</v>
      </c>
      <c r="U281" s="7">
        <v>0.89655172413793105</v>
      </c>
    </row>
    <row r="282" spans="1:21" x14ac:dyDescent="0.3">
      <c r="A282" s="7" t="s">
        <v>182</v>
      </c>
      <c r="B282" s="7" t="s">
        <v>97</v>
      </c>
      <c r="C282" s="7" t="s">
        <v>147</v>
      </c>
      <c r="D282" s="7">
        <v>8</v>
      </c>
      <c r="E282" s="7">
        <v>363</v>
      </c>
      <c r="F282" s="7">
        <v>71</v>
      </c>
      <c r="G282" s="7">
        <v>15</v>
      </c>
      <c r="H282" s="7">
        <v>130</v>
      </c>
      <c r="I282" s="7" t="s">
        <v>175</v>
      </c>
      <c r="J282" s="7">
        <v>43</v>
      </c>
      <c r="K282" s="7">
        <v>1</v>
      </c>
      <c r="L282" s="7">
        <v>11</v>
      </c>
      <c r="M282" s="7">
        <v>210</v>
      </c>
      <c r="N282" s="7">
        <v>7</v>
      </c>
      <c r="O282" s="7">
        <v>51</v>
      </c>
      <c r="P282" s="7">
        <v>39</v>
      </c>
      <c r="Q282" s="7">
        <v>8</v>
      </c>
      <c r="R282" s="7">
        <v>7.6</v>
      </c>
      <c r="S282" s="7">
        <v>7.7591696000000008</v>
      </c>
      <c r="T282" s="7">
        <v>44</v>
      </c>
      <c r="U282" s="7">
        <v>1.1818181818181821</v>
      </c>
    </row>
    <row r="283" spans="1:21" x14ac:dyDescent="0.3">
      <c r="A283" s="7" t="s">
        <v>182</v>
      </c>
      <c r="B283" s="7" t="s">
        <v>97</v>
      </c>
      <c r="C283" s="7" t="s">
        <v>147</v>
      </c>
      <c r="D283" s="7">
        <v>9</v>
      </c>
      <c r="E283" s="7">
        <v>340</v>
      </c>
      <c r="F283" s="7">
        <v>65</v>
      </c>
      <c r="G283" s="7">
        <v>13</v>
      </c>
      <c r="H283" s="7">
        <v>126</v>
      </c>
      <c r="I283" s="7" t="s">
        <v>175</v>
      </c>
      <c r="J283" s="7">
        <v>43</v>
      </c>
      <c r="K283" s="7">
        <v>1</v>
      </c>
      <c r="L283" s="7">
        <v>12</v>
      </c>
      <c r="M283" s="7">
        <v>165</v>
      </c>
      <c r="N283" s="7">
        <v>6</v>
      </c>
      <c r="O283" s="7">
        <v>34.5</v>
      </c>
      <c r="P283" s="7">
        <v>37</v>
      </c>
      <c r="Q283" s="7">
        <v>6</v>
      </c>
      <c r="R283" s="7">
        <v>7.6</v>
      </c>
      <c r="S283" s="7">
        <v>5.8626719999999999</v>
      </c>
      <c r="T283" s="7">
        <v>44</v>
      </c>
      <c r="U283" s="7">
        <v>1.1818181818181821</v>
      </c>
    </row>
    <row r="284" spans="1:21" x14ac:dyDescent="0.3">
      <c r="A284" s="7" t="s">
        <v>182</v>
      </c>
      <c r="B284" s="7" t="s">
        <v>97</v>
      </c>
      <c r="C284" s="7" t="s">
        <v>147</v>
      </c>
      <c r="D284" s="7">
        <v>10</v>
      </c>
      <c r="E284" s="7">
        <v>290</v>
      </c>
      <c r="F284" s="7">
        <v>53</v>
      </c>
      <c r="G284" s="7">
        <v>11</v>
      </c>
      <c r="H284" s="7">
        <v>75</v>
      </c>
      <c r="I284" s="7" t="s">
        <v>179</v>
      </c>
      <c r="J284" s="7">
        <v>41</v>
      </c>
      <c r="K284" s="7">
        <v>51</v>
      </c>
      <c r="L284" s="7">
        <v>11</v>
      </c>
      <c r="M284" s="7">
        <v>174</v>
      </c>
      <c r="N284" s="7">
        <v>7</v>
      </c>
      <c r="O284" s="7">
        <v>35</v>
      </c>
      <c r="P284" s="7">
        <v>39</v>
      </c>
      <c r="Q284" s="7">
        <v>6</v>
      </c>
      <c r="R284" s="7">
        <v>7.8</v>
      </c>
      <c r="S284" s="7">
        <v>5.42178</v>
      </c>
      <c r="T284" s="7">
        <v>92</v>
      </c>
      <c r="U284" s="7">
        <v>0.56521739130434778</v>
      </c>
    </row>
    <row r="285" spans="1:21" x14ac:dyDescent="0.3">
      <c r="A285" s="7" t="s">
        <v>182</v>
      </c>
      <c r="B285" s="7" t="s">
        <v>97</v>
      </c>
      <c r="C285" s="7" t="s">
        <v>147</v>
      </c>
      <c r="D285" s="7">
        <v>11</v>
      </c>
      <c r="E285" s="7">
        <v>340</v>
      </c>
      <c r="F285" s="7">
        <v>65</v>
      </c>
      <c r="G285" s="7">
        <v>13</v>
      </c>
      <c r="H285" s="7">
        <v>137</v>
      </c>
      <c r="I285" s="7" t="s">
        <v>173</v>
      </c>
      <c r="J285" s="7">
        <v>47</v>
      </c>
      <c r="K285" s="7">
        <v>5</v>
      </c>
      <c r="L285" s="7">
        <v>11</v>
      </c>
      <c r="M285" s="7">
        <v>204</v>
      </c>
      <c r="N285" s="7">
        <v>6</v>
      </c>
      <c r="O285" s="7">
        <v>40.299999999999997</v>
      </c>
      <c r="P285" s="7">
        <v>38</v>
      </c>
      <c r="Q285" s="7">
        <v>7</v>
      </c>
      <c r="R285" s="7">
        <v>7.6</v>
      </c>
      <c r="S285" s="7">
        <v>6.1772544000000007</v>
      </c>
      <c r="T285" s="7">
        <v>52</v>
      </c>
      <c r="U285" s="7">
        <v>1</v>
      </c>
    </row>
    <row r="286" spans="1:21" x14ac:dyDescent="0.3">
      <c r="A286" s="7" t="s">
        <v>182</v>
      </c>
      <c r="B286" s="7" t="s">
        <v>97</v>
      </c>
      <c r="C286" s="7" t="s">
        <v>147</v>
      </c>
      <c r="D286" s="7">
        <v>12</v>
      </c>
      <c r="E286" s="7">
        <v>336</v>
      </c>
      <c r="F286" s="7">
        <v>57</v>
      </c>
      <c r="G286" s="7">
        <v>13</v>
      </c>
      <c r="H286" s="7">
        <v>120</v>
      </c>
      <c r="I286" s="7" t="s">
        <v>175</v>
      </c>
      <c r="J286" s="7">
        <v>43</v>
      </c>
      <c r="K286" s="7">
        <v>52</v>
      </c>
      <c r="L286" s="7">
        <v>10</v>
      </c>
      <c r="M286" s="7">
        <v>165</v>
      </c>
      <c r="N286" s="7">
        <v>6</v>
      </c>
      <c r="O286" s="7">
        <v>36</v>
      </c>
      <c r="P286" s="7">
        <v>39</v>
      </c>
      <c r="Q286" s="7">
        <v>6</v>
      </c>
      <c r="R286" s="7">
        <v>8</v>
      </c>
      <c r="S286" s="7">
        <v>6.1311792000000009</v>
      </c>
      <c r="T286" s="7">
        <v>95</v>
      </c>
      <c r="U286" s="7">
        <v>0.54736842105263162</v>
      </c>
    </row>
    <row r="287" spans="1:21" x14ac:dyDescent="0.3">
      <c r="A287" s="7" t="s">
        <v>182</v>
      </c>
      <c r="B287" s="7" t="s">
        <v>97</v>
      </c>
      <c r="C287" s="7" t="s">
        <v>147</v>
      </c>
      <c r="D287" s="7">
        <v>13</v>
      </c>
      <c r="E287" s="7">
        <v>303</v>
      </c>
      <c r="F287" s="7">
        <v>60</v>
      </c>
      <c r="G287" s="7">
        <v>10</v>
      </c>
      <c r="H287" s="7">
        <v>166</v>
      </c>
      <c r="I287" s="7" t="s">
        <v>174</v>
      </c>
      <c r="J287" s="7">
        <v>50</v>
      </c>
      <c r="K287" s="7">
        <v>8</v>
      </c>
      <c r="L287" s="7"/>
      <c r="M287" s="7"/>
      <c r="N287" s="7"/>
      <c r="O287" s="7"/>
      <c r="P287" s="7"/>
      <c r="Q287" s="7"/>
      <c r="R287" s="7"/>
      <c r="S287" s="7"/>
      <c r="T287" s="7">
        <v>58</v>
      </c>
      <c r="U287" s="7">
        <v>0.89655172413793105</v>
      </c>
    </row>
    <row r="288" spans="1:21" x14ac:dyDescent="0.3">
      <c r="A288" s="7" t="s">
        <v>182</v>
      </c>
      <c r="B288" s="7" t="s">
        <v>97</v>
      </c>
      <c r="C288" s="7" t="s">
        <v>147</v>
      </c>
      <c r="D288" s="7">
        <v>14</v>
      </c>
      <c r="E288" s="7">
        <v>332</v>
      </c>
      <c r="F288" s="7">
        <v>65</v>
      </c>
      <c r="G288" s="7">
        <v>12</v>
      </c>
      <c r="H288" s="7">
        <v>170</v>
      </c>
      <c r="I288" s="7" t="s">
        <v>175</v>
      </c>
      <c r="J288" s="7">
        <v>43</v>
      </c>
      <c r="K288" s="7">
        <v>1</v>
      </c>
      <c r="L288" s="7">
        <v>11</v>
      </c>
      <c r="M288" s="7">
        <v>135</v>
      </c>
      <c r="N288" s="7">
        <v>7</v>
      </c>
      <c r="O288" s="7">
        <v>46.6</v>
      </c>
      <c r="P288" s="7">
        <v>39</v>
      </c>
      <c r="Q288" s="7">
        <v>7</v>
      </c>
      <c r="R288" s="7">
        <v>7.8</v>
      </c>
      <c r="S288" s="7">
        <v>8.78161536</v>
      </c>
      <c r="T288" s="7">
        <v>44</v>
      </c>
      <c r="U288" s="7">
        <v>1.1818181818181821</v>
      </c>
    </row>
    <row r="289" spans="1:21" x14ac:dyDescent="0.3">
      <c r="A289" s="7" t="s">
        <v>182</v>
      </c>
      <c r="B289" s="7" t="s">
        <v>172</v>
      </c>
      <c r="C289" s="7" t="s">
        <v>144</v>
      </c>
      <c r="D289" s="7">
        <v>1</v>
      </c>
      <c r="E289" s="7">
        <v>347</v>
      </c>
      <c r="F289" s="7">
        <v>65</v>
      </c>
      <c r="G289" s="7">
        <v>12</v>
      </c>
      <c r="H289" s="7">
        <v>107</v>
      </c>
      <c r="I289" s="7" t="s">
        <v>176</v>
      </c>
      <c r="J289" s="7">
        <v>45</v>
      </c>
      <c r="K289" s="7">
        <v>3</v>
      </c>
      <c r="L289" s="7">
        <v>11</v>
      </c>
      <c r="M289" s="7">
        <v>196</v>
      </c>
      <c r="N289" s="7">
        <v>6</v>
      </c>
      <c r="O289" s="7">
        <v>36.4</v>
      </c>
      <c r="P289" s="7">
        <v>38</v>
      </c>
      <c r="Q289" s="7">
        <v>7</v>
      </c>
      <c r="R289" s="7">
        <v>7.8</v>
      </c>
      <c r="S289" s="7">
        <v>7.1241792000000013</v>
      </c>
      <c r="T289" s="7">
        <v>48</v>
      </c>
      <c r="U289" s="7">
        <v>1.083333333333333</v>
      </c>
    </row>
    <row r="290" spans="1:21" x14ac:dyDescent="0.3">
      <c r="A290" s="7" t="s">
        <v>182</v>
      </c>
      <c r="B290" s="7" t="s">
        <v>172</v>
      </c>
      <c r="C290" s="7" t="s">
        <v>144</v>
      </c>
      <c r="D290" s="7">
        <v>2</v>
      </c>
      <c r="E290" s="7">
        <v>315</v>
      </c>
      <c r="F290" s="7">
        <v>59</v>
      </c>
      <c r="G290" s="7">
        <v>12</v>
      </c>
      <c r="H290" s="7">
        <v>118</v>
      </c>
      <c r="I290" s="7" t="s">
        <v>178</v>
      </c>
      <c r="J290" s="7">
        <v>46</v>
      </c>
      <c r="K290" s="7">
        <v>4</v>
      </c>
      <c r="L290" s="7">
        <v>12</v>
      </c>
      <c r="M290" s="7">
        <v>182</v>
      </c>
      <c r="N290" s="7">
        <v>4</v>
      </c>
      <c r="O290" s="7">
        <v>35.799999999999997</v>
      </c>
      <c r="P290" s="7">
        <v>37</v>
      </c>
      <c r="Q290" s="7">
        <v>7</v>
      </c>
      <c r="R290" s="7">
        <v>7.6</v>
      </c>
      <c r="S290" s="7">
        <v>4.0215705599999998</v>
      </c>
      <c r="T290" s="7">
        <v>50</v>
      </c>
      <c r="U290" s="7">
        <v>1.04</v>
      </c>
    </row>
    <row r="291" spans="1:21" x14ac:dyDescent="0.3">
      <c r="A291" s="7" t="s">
        <v>182</v>
      </c>
      <c r="B291" s="7" t="s">
        <v>172</v>
      </c>
      <c r="C291" s="7" t="s">
        <v>144</v>
      </c>
      <c r="D291" s="7">
        <v>3</v>
      </c>
      <c r="E291" s="7">
        <v>300</v>
      </c>
      <c r="F291" s="7">
        <v>55</v>
      </c>
      <c r="G291" s="7">
        <v>9</v>
      </c>
      <c r="H291" s="7">
        <v>97</v>
      </c>
      <c r="I291" s="7" t="s">
        <v>174</v>
      </c>
      <c r="J291" s="7">
        <v>42</v>
      </c>
      <c r="K291" s="7">
        <v>52</v>
      </c>
      <c r="L291" s="7">
        <v>11</v>
      </c>
      <c r="M291" s="7">
        <v>155</v>
      </c>
      <c r="N291" s="7">
        <v>6</v>
      </c>
      <c r="O291" s="7">
        <v>36</v>
      </c>
      <c r="P291" s="7">
        <v>39</v>
      </c>
      <c r="Q291" s="7">
        <v>6</v>
      </c>
      <c r="R291" s="7">
        <v>8</v>
      </c>
      <c r="S291" s="7">
        <v>4.7733907200000001</v>
      </c>
      <c r="T291" s="7">
        <v>94</v>
      </c>
      <c r="U291" s="7">
        <v>0.55319148936170215</v>
      </c>
    </row>
    <row r="292" spans="1:21" x14ac:dyDescent="0.3">
      <c r="A292" s="7" t="s">
        <v>182</v>
      </c>
      <c r="B292" s="7" t="s">
        <v>172</v>
      </c>
      <c r="C292" s="7" t="s">
        <v>144</v>
      </c>
      <c r="D292" s="7">
        <v>4</v>
      </c>
      <c r="E292" s="7">
        <v>320</v>
      </c>
      <c r="F292" s="7">
        <v>62</v>
      </c>
      <c r="G292" s="7">
        <v>12</v>
      </c>
      <c r="H292" s="7">
        <v>142</v>
      </c>
      <c r="I292" s="7" t="s">
        <v>177</v>
      </c>
      <c r="J292" s="7">
        <v>44</v>
      </c>
      <c r="K292" s="7">
        <v>2</v>
      </c>
      <c r="L292" s="7">
        <v>11</v>
      </c>
      <c r="M292" s="7">
        <v>180</v>
      </c>
      <c r="N292" s="7">
        <v>5</v>
      </c>
      <c r="O292" s="7">
        <v>41</v>
      </c>
      <c r="P292" s="7">
        <v>39</v>
      </c>
      <c r="Q292" s="7">
        <v>7</v>
      </c>
      <c r="R292" s="7">
        <v>8</v>
      </c>
      <c r="S292" s="7">
        <v>5.5290240000000006</v>
      </c>
      <c r="T292" s="7">
        <v>46</v>
      </c>
      <c r="U292" s="7">
        <v>1.130434782608696</v>
      </c>
    </row>
    <row r="293" spans="1:21" x14ac:dyDescent="0.3">
      <c r="A293" s="7" t="s">
        <v>182</v>
      </c>
      <c r="B293" s="7" t="s">
        <v>172</v>
      </c>
      <c r="C293" s="7" t="s">
        <v>144</v>
      </c>
      <c r="D293" s="7">
        <v>5</v>
      </c>
      <c r="E293" s="7">
        <v>304</v>
      </c>
      <c r="F293" s="7">
        <v>59</v>
      </c>
      <c r="G293" s="7">
        <v>10</v>
      </c>
      <c r="H293" s="7">
        <v>103</v>
      </c>
      <c r="I293" s="7" t="s">
        <v>179</v>
      </c>
      <c r="J293" s="7">
        <v>49</v>
      </c>
      <c r="K293" s="7">
        <v>7</v>
      </c>
      <c r="L293" s="7"/>
      <c r="M293" s="7"/>
      <c r="N293" s="7"/>
      <c r="O293" s="7"/>
      <c r="P293" s="7"/>
      <c r="Q293" s="7"/>
      <c r="R293" s="7"/>
      <c r="S293" s="7"/>
      <c r="T293" s="7">
        <v>56</v>
      </c>
      <c r="U293" s="7">
        <v>0.9285714285714286</v>
      </c>
    </row>
    <row r="294" spans="1:21" x14ac:dyDescent="0.3">
      <c r="A294" s="7" t="s">
        <v>182</v>
      </c>
      <c r="B294" s="7" t="s">
        <v>172</v>
      </c>
      <c r="C294" s="7" t="s">
        <v>144</v>
      </c>
      <c r="D294" s="7">
        <v>6</v>
      </c>
      <c r="E294" s="7">
        <v>360</v>
      </c>
      <c r="F294" s="7">
        <v>67</v>
      </c>
      <c r="G294" s="7">
        <v>15</v>
      </c>
      <c r="H294" s="7">
        <v>110</v>
      </c>
      <c r="I294" s="7" t="s">
        <v>173</v>
      </c>
      <c r="J294" s="7">
        <v>47</v>
      </c>
      <c r="K294" s="7">
        <v>5</v>
      </c>
      <c r="L294" s="7">
        <v>12</v>
      </c>
      <c r="M294" s="7">
        <v>195</v>
      </c>
      <c r="N294" s="7">
        <v>6</v>
      </c>
      <c r="O294" s="7">
        <v>50.9</v>
      </c>
      <c r="P294" s="7">
        <v>39</v>
      </c>
      <c r="Q294" s="7">
        <v>7</v>
      </c>
      <c r="R294" s="7">
        <v>7.4</v>
      </c>
      <c r="S294" s="7">
        <v>7.1623104000000017</v>
      </c>
      <c r="T294" s="7">
        <v>52</v>
      </c>
      <c r="U294" s="7">
        <v>1</v>
      </c>
    </row>
    <row r="295" spans="1:21" x14ac:dyDescent="0.3">
      <c r="A295" s="7" t="s">
        <v>182</v>
      </c>
      <c r="B295" s="7" t="s">
        <v>172</v>
      </c>
      <c r="C295" s="7" t="s">
        <v>144</v>
      </c>
      <c r="D295" s="7">
        <v>7</v>
      </c>
      <c r="E295" s="7">
        <v>315</v>
      </c>
      <c r="F295" s="7">
        <v>62</v>
      </c>
      <c r="G295" s="7">
        <v>10</v>
      </c>
      <c r="H295" s="7">
        <v>116</v>
      </c>
      <c r="I295" s="7" t="s">
        <v>179</v>
      </c>
      <c r="J295" s="7">
        <v>49</v>
      </c>
      <c r="K295" s="7">
        <v>7</v>
      </c>
      <c r="L295" s="7"/>
      <c r="M295" s="7"/>
      <c r="N295" s="7"/>
      <c r="O295" s="7"/>
      <c r="P295" s="7"/>
      <c r="Q295" s="7"/>
      <c r="R295" s="7"/>
      <c r="S295" s="7"/>
      <c r="T295" s="7">
        <v>56</v>
      </c>
      <c r="U295" s="7">
        <v>0.9285714285714286</v>
      </c>
    </row>
    <row r="296" spans="1:21" x14ac:dyDescent="0.3">
      <c r="A296" s="7" t="s">
        <v>182</v>
      </c>
      <c r="B296" s="7" t="s">
        <v>172</v>
      </c>
      <c r="C296" s="7" t="s">
        <v>144</v>
      </c>
      <c r="D296" s="7">
        <v>8</v>
      </c>
      <c r="E296" s="7">
        <v>320</v>
      </c>
      <c r="F296" s="7">
        <v>67</v>
      </c>
      <c r="G296" s="7">
        <v>14</v>
      </c>
      <c r="H296" s="7">
        <v>96</v>
      </c>
      <c r="I296" s="7" t="s">
        <v>177</v>
      </c>
      <c r="J296" s="7">
        <v>44</v>
      </c>
      <c r="K296" s="7">
        <v>2</v>
      </c>
      <c r="L296" s="7">
        <v>11</v>
      </c>
      <c r="M296" s="7">
        <v>175</v>
      </c>
      <c r="N296" s="7">
        <v>5</v>
      </c>
      <c r="O296" s="7">
        <v>41</v>
      </c>
      <c r="P296" s="7">
        <v>37</v>
      </c>
      <c r="Q296" s="7">
        <v>7</v>
      </c>
      <c r="R296" s="7">
        <v>8</v>
      </c>
      <c r="S296" s="7">
        <v>5.8976255999999996</v>
      </c>
      <c r="T296" s="7">
        <v>46</v>
      </c>
      <c r="U296" s="7">
        <v>1.130434782608696</v>
      </c>
    </row>
    <row r="297" spans="1:21" x14ac:dyDescent="0.3">
      <c r="A297" s="7" t="s">
        <v>182</v>
      </c>
      <c r="B297" s="7" t="s">
        <v>172</v>
      </c>
      <c r="C297" s="7" t="s">
        <v>144</v>
      </c>
      <c r="D297" s="7">
        <v>9</v>
      </c>
      <c r="E297" s="7">
        <v>315</v>
      </c>
      <c r="F297" s="7">
        <v>67</v>
      </c>
      <c r="G297" s="7">
        <v>13</v>
      </c>
      <c r="H297" s="7">
        <v>110</v>
      </c>
      <c r="I297" s="7" t="s">
        <v>178</v>
      </c>
      <c r="J297" s="7">
        <v>46</v>
      </c>
      <c r="K297" s="7">
        <v>4</v>
      </c>
      <c r="L297" s="7">
        <v>11</v>
      </c>
      <c r="M297" s="7">
        <v>186</v>
      </c>
      <c r="N297" s="7">
        <v>4</v>
      </c>
      <c r="O297" s="7">
        <v>42</v>
      </c>
      <c r="P297" s="7">
        <v>38</v>
      </c>
      <c r="Q297" s="7">
        <v>7</v>
      </c>
      <c r="R297" s="7">
        <v>8.1999999999999993</v>
      </c>
      <c r="S297" s="7">
        <v>4.0440256000000003</v>
      </c>
      <c r="T297" s="7">
        <v>50</v>
      </c>
      <c r="U297" s="7">
        <v>1.04</v>
      </c>
    </row>
    <row r="298" spans="1:21" x14ac:dyDescent="0.3">
      <c r="A298" s="7" t="s">
        <v>182</v>
      </c>
      <c r="B298" s="7" t="s">
        <v>172</v>
      </c>
      <c r="C298" s="7" t="s">
        <v>147</v>
      </c>
      <c r="D298" s="7">
        <v>1</v>
      </c>
      <c r="E298" s="7">
        <v>336</v>
      </c>
      <c r="F298" s="7">
        <v>64</v>
      </c>
      <c r="G298" s="7">
        <v>12</v>
      </c>
      <c r="H298" s="7">
        <v>106</v>
      </c>
      <c r="I298" s="7" t="s">
        <v>179</v>
      </c>
      <c r="J298" s="7">
        <v>41</v>
      </c>
      <c r="K298" s="7">
        <v>51</v>
      </c>
      <c r="L298" s="7">
        <v>11</v>
      </c>
      <c r="M298" s="7">
        <v>210</v>
      </c>
      <c r="N298" s="7">
        <v>6</v>
      </c>
      <c r="O298" s="7">
        <v>44</v>
      </c>
      <c r="P298" s="7">
        <v>40</v>
      </c>
      <c r="Q298" s="7">
        <v>7</v>
      </c>
      <c r="R298" s="7">
        <v>8</v>
      </c>
      <c r="S298" s="7">
        <v>4.0037760000000002</v>
      </c>
      <c r="T298" s="7">
        <v>92</v>
      </c>
      <c r="U298" s="7">
        <v>0.56521739130434778</v>
      </c>
    </row>
    <row r="299" spans="1:21" x14ac:dyDescent="0.3">
      <c r="A299" s="7" t="s">
        <v>182</v>
      </c>
      <c r="B299" s="7" t="s">
        <v>172</v>
      </c>
      <c r="C299" s="7" t="s">
        <v>147</v>
      </c>
      <c r="D299" s="7">
        <v>2</v>
      </c>
      <c r="E299" s="7">
        <v>310</v>
      </c>
      <c r="F299" s="7">
        <v>67</v>
      </c>
      <c r="G299" s="7">
        <v>10</v>
      </c>
      <c r="H299" s="7">
        <v>157</v>
      </c>
      <c r="I299" s="7" t="s">
        <v>175</v>
      </c>
      <c r="J299" s="7">
        <v>7</v>
      </c>
      <c r="K299" s="7">
        <v>17</v>
      </c>
      <c r="L299" s="7"/>
      <c r="M299" s="7"/>
      <c r="N299" s="7"/>
      <c r="O299" s="7"/>
      <c r="P299" s="7"/>
      <c r="Q299" s="7"/>
      <c r="R299" s="7"/>
      <c r="S299" s="7"/>
      <c r="T299" s="7">
        <v>24</v>
      </c>
      <c r="U299" s="7">
        <v>2.166666666666667</v>
      </c>
    </row>
    <row r="300" spans="1:21" x14ac:dyDescent="0.3">
      <c r="A300" s="7" t="s">
        <v>182</v>
      </c>
      <c r="B300" s="7" t="s">
        <v>172</v>
      </c>
      <c r="C300" s="7" t="s">
        <v>147</v>
      </c>
      <c r="D300" s="7">
        <v>3</v>
      </c>
      <c r="E300" s="7">
        <v>344</v>
      </c>
      <c r="F300" s="7">
        <v>67</v>
      </c>
      <c r="G300" s="7">
        <v>15</v>
      </c>
      <c r="H300" s="7">
        <v>92</v>
      </c>
      <c r="I300" s="7" t="s">
        <v>177</v>
      </c>
      <c r="J300" s="7">
        <v>44</v>
      </c>
      <c r="K300" s="7">
        <v>2</v>
      </c>
      <c r="L300" s="7">
        <v>11</v>
      </c>
      <c r="M300" s="7">
        <v>180</v>
      </c>
      <c r="N300" s="7">
        <v>4</v>
      </c>
      <c r="O300" s="7">
        <v>46.9</v>
      </c>
      <c r="P300" s="7">
        <v>38</v>
      </c>
      <c r="Q300" s="7">
        <v>7</v>
      </c>
      <c r="R300" s="7">
        <v>7.6</v>
      </c>
      <c r="S300" s="7">
        <v>4.9418035200000006</v>
      </c>
      <c r="T300" s="7">
        <v>46</v>
      </c>
      <c r="U300" s="7">
        <v>1.130434782608696</v>
      </c>
    </row>
    <row r="301" spans="1:21" x14ac:dyDescent="0.3">
      <c r="A301" s="7" t="s">
        <v>182</v>
      </c>
      <c r="B301" s="7" t="s">
        <v>172</v>
      </c>
      <c r="C301" s="7" t="s">
        <v>147</v>
      </c>
      <c r="D301" s="7">
        <v>4</v>
      </c>
      <c r="E301" s="7">
        <v>340</v>
      </c>
      <c r="F301" s="7">
        <v>68</v>
      </c>
      <c r="G301" s="7">
        <v>14</v>
      </c>
      <c r="H301" s="7">
        <v>150</v>
      </c>
      <c r="I301" s="7" t="s">
        <v>178</v>
      </c>
      <c r="J301" s="7">
        <v>46</v>
      </c>
      <c r="K301" s="7">
        <v>4</v>
      </c>
      <c r="L301" s="7">
        <v>12</v>
      </c>
      <c r="M301" s="7">
        <v>200</v>
      </c>
      <c r="N301" s="7">
        <v>5</v>
      </c>
      <c r="O301" s="7">
        <v>44.3</v>
      </c>
      <c r="P301" s="7">
        <v>38</v>
      </c>
      <c r="Q301" s="7">
        <v>7</v>
      </c>
      <c r="R301" s="7">
        <v>7.8</v>
      </c>
      <c r="S301" s="7">
        <v>4.7769920000000008</v>
      </c>
      <c r="T301" s="7">
        <v>50</v>
      </c>
      <c r="U301" s="7">
        <v>1.04</v>
      </c>
    </row>
    <row r="302" spans="1:21" x14ac:dyDescent="0.3">
      <c r="A302" s="7" t="s">
        <v>182</v>
      </c>
      <c r="B302" s="7" t="s">
        <v>172</v>
      </c>
      <c r="C302" s="7" t="s">
        <v>147</v>
      </c>
      <c r="D302" s="7">
        <v>5</v>
      </c>
      <c r="E302" s="7">
        <v>352</v>
      </c>
      <c r="F302" s="7">
        <v>71</v>
      </c>
      <c r="G302" s="7">
        <v>15</v>
      </c>
      <c r="H302" s="7">
        <v>115</v>
      </c>
      <c r="I302" s="7" t="s">
        <v>175</v>
      </c>
      <c r="J302" s="7">
        <v>43</v>
      </c>
      <c r="K302" s="7">
        <v>52</v>
      </c>
      <c r="L302" s="7">
        <v>10</v>
      </c>
      <c r="M302" s="7">
        <v>220</v>
      </c>
      <c r="N302" s="7">
        <v>6</v>
      </c>
      <c r="O302" s="7">
        <v>52</v>
      </c>
      <c r="P302" s="7">
        <v>39</v>
      </c>
      <c r="Q302" s="7">
        <v>8</v>
      </c>
      <c r="R302" s="7">
        <v>8.1999999999999993</v>
      </c>
      <c r="S302" s="7">
        <v>6.1502448000000012</v>
      </c>
      <c r="T302" s="7">
        <v>95</v>
      </c>
      <c r="U302" s="7">
        <v>0.54736842105263162</v>
      </c>
    </row>
    <row r="303" spans="1:21" x14ac:dyDescent="0.3">
      <c r="A303" s="7" t="s">
        <v>182</v>
      </c>
      <c r="B303" s="7" t="s">
        <v>172</v>
      </c>
      <c r="C303" s="7" t="s">
        <v>147</v>
      </c>
      <c r="D303" s="7">
        <v>6</v>
      </c>
      <c r="E303" s="7">
        <v>348</v>
      </c>
      <c r="F303" s="7">
        <v>61</v>
      </c>
      <c r="G303" s="7">
        <v>11</v>
      </c>
      <c r="H303" s="7">
        <v>140</v>
      </c>
      <c r="I303" s="7" t="s">
        <v>177</v>
      </c>
      <c r="J303" s="7">
        <v>44</v>
      </c>
      <c r="K303" s="7">
        <v>2</v>
      </c>
      <c r="L303" s="7">
        <v>11</v>
      </c>
      <c r="M303" s="7">
        <v>104</v>
      </c>
      <c r="N303" s="7">
        <v>4</v>
      </c>
      <c r="O303" s="7">
        <v>42.2</v>
      </c>
      <c r="P303" s="7">
        <v>37</v>
      </c>
      <c r="Q303" s="7">
        <v>7</v>
      </c>
      <c r="R303" s="7">
        <v>8</v>
      </c>
      <c r="S303" s="7">
        <v>4.7229728000000009</v>
      </c>
      <c r="T303" s="7">
        <v>46</v>
      </c>
      <c r="U303" s="7">
        <v>1.130434782608696</v>
      </c>
    </row>
    <row r="304" spans="1:21" x14ac:dyDescent="0.3">
      <c r="A304" s="7" t="s">
        <v>182</v>
      </c>
      <c r="B304" s="7" t="s">
        <v>172</v>
      </c>
      <c r="C304" s="7" t="s">
        <v>147</v>
      </c>
      <c r="D304" s="7">
        <v>7</v>
      </c>
      <c r="E304" s="7">
        <v>323</v>
      </c>
      <c r="F304" s="7">
        <v>59</v>
      </c>
      <c r="G304" s="7">
        <v>12</v>
      </c>
      <c r="H304" s="7">
        <v>92</v>
      </c>
      <c r="I304" s="7" t="s">
        <v>173</v>
      </c>
      <c r="J304" s="7">
        <v>47</v>
      </c>
      <c r="K304" s="7">
        <v>5</v>
      </c>
      <c r="L304" s="7">
        <v>12</v>
      </c>
      <c r="M304" s="7">
        <v>140</v>
      </c>
      <c r="N304" s="7">
        <v>6</v>
      </c>
      <c r="O304" s="7">
        <v>30</v>
      </c>
      <c r="P304" s="7">
        <v>37</v>
      </c>
      <c r="Q304" s="7">
        <v>7</v>
      </c>
      <c r="R304" s="7">
        <v>8</v>
      </c>
      <c r="S304" s="7">
        <v>6.5776320000000004</v>
      </c>
      <c r="T304" s="7">
        <v>52</v>
      </c>
      <c r="U304" s="7">
        <v>1</v>
      </c>
    </row>
    <row r="305" spans="1:21" x14ac:dyDescent="0.3">
      <c r="A305" s="7" t="s">
        <v>182</v>
      </c>
      <c r="B305" s="7" t="s">
        <v>172</v>
      </c>
      <c r="C305" s="7" t="s">
        <v>147</v>
      </c>
      <c r="D305" s="7">
        <v>8</v>
      </c>
      <c r="E305" s="7">
        <v>353</v>
      </c>
      <c r="F305" s="7">
        <v>69</v>
      </c>
      <c r="G305" s="7">
        <v>12</v>
      </c>
      <c r="H305" s="7">
        <v>170</v>
      </c>
      <c r="I305" s="7" t="s">
        <v>175</v>
      </c>
      <c r="J305" s="7">
        <v>43</v>
      </c>
      <c r="K305" s="7">
        <v>1</v>
      </c>
      <c r="L305" s="7">
        <v>11</v>
      </c>
      <c r="M305" s="7">
        <v>218</v>
      </c>
      <c r="N305" s="7">
        <v>6</v>
      </c>
      <c r="O305" s="7">
        <v>46.3</v>
      </c>
      <c r="P305" s="7">
        <v>39</v>
      </c>
      <c r="Q305" s="7">
        <v>7</v>
      </c>
      <c r="R305" s="7">
        <v>8</v>
      </c>
      <c r="S305" s="7">
        <v>7.2284044800000009</v>
      </c>
      <c r="T305" s="7">
        <v>44</v>
      </c>
      <c r="U305" s="7">
        <v>1.1818181818181821</v>
      </c>
    </row>
    <row r="306" spans="1:21" x14ac:dyDescent="0.3">
      <c r="A306" s="7" t="s">
        <v>182</v>
      </c>
      <c r="B306" s="7" t="s">
        <v>172</v>
      </c>
      <c r="C306" s="7" t="s">
        <v>147</v>
      </c>
      <c r="D306" s="7">
        <v>9</v>
      </c>
      <c r="E306" s="7">
        <v>336</v>
      </c>
      <c r="F306" s="7">
        <v>64</v>
      </c>
      <c r="G306" s="7">
        <v>12</v>
      </c>
      <c r="H306" s="7">
        <v>154</v>
      </c>
      <c r="I306" s="7" t="s">
        <v>180</v>
      </c>
      <c r="J306" s="7">
        <v>40</v>
      </c>
      <c r="K306" s="7">
        <v>50</v>
      </c>
      <c r="L306" s="7">
        <v>11</v>
      </c>
      <c r="M306" s="7">
        <v>193</v>
      </c>
      <c r="N306" s="7">
        <v>7</v>
      </c>
      <c r="O306" s="7">
        <v>49</v>
      </c>
      <c r="P306" s="7">
        <v>40</v>
      </c>
      <c r="Q306" s="7">
        <v>8</v>
      </c>
      <c r="R306" s="7">
        <v>8</v>
      </c>
      <c r="S306" s="7">
        <v>5.6052864000000007</v>
      </c>
      <c r="T306" s="7">
        <v>90</v>
      </c>
      <c r="U306" s="7">
        <v>0.57777777777777772</v>
      </c>
    </row>
    <row r="307" spans="1:21" x14ac:dyDescent="0.3">
      <c r="A307" s="7" t="s">
        <v>182</v>
      </c>
      <c r="B307" s="7" t="s">
        <v>172</v>
      </c>
      <c r="C307" s="7" t="s">
        <v>147</v>
      </c>
      <c r="D307" s="7">
        <v>10</v>
      </c>
      <c r="E307" s="7">
        <v>335</v>
      </c>
      <c r="F307" s="7">
        <v>64</v>
      </c>
      <c r="G307" s="7">
        <v>12</v>
      </c>
      <c r="H307" s="7">
        <v>100</v>
      </c>
      <c r="I307" s="7" t="s">
        <v>179</v>
      </c>
      <c r="J307" s="7">
        <v>41</v>
      </c>
      <c r="K307" s="7">
        <v>51</v>
      </c>
      <c r="L307" s="7">
        <v>11</v>
      </c>
      <c r="M307" s="7">
        <v>142</v>
      </c>
      <c r="N307" s="7">
        <v>8</v>
      </c>
      <c r="O307" s="7">
        <v>45</v>
      </c>
      <c r="P307" s="7">
        <v>40</v>
      </c>
      <c r="Q307" s="7">
        <v>7</v>
      </c>
      <c r="R307" s="7">
        <v>8</v>
      </c>
      <c r="S307" s="7">
        <v>6.7619328000000012</v>
      </c>
      <c r="T307" s="7">
        <v>92</v>
      </c>
      <c r="U307" s="7">
        <v>0.56521739130434778</v>
      </c>
    </row>
    <row r="308" spans="1:21" x14ac:dyDescent="0.3">
      <c r="A308" s="7" t="s">
        <v>182</v>
      </c>
      <c r="B308" s="7" t="s">
        <v>172</v>
      </c>
      <c r="C308" s="7" t="s">
        <v>147</v>
      </c>
      <c r="D308" s="7">
        <v>11</v>
      </c>
      <c r="E308" s="7">
        <v>315</v>
      </c>
      <c r="F308" s="7">
        <v>64</v>
      </c>
      <c r="G308" s="7">
        <v>12</v>
      </c>
      <c r="H308" s="7">
        <v>93</v>
      </c>
      <c r="I308" s="7" t="s">
        <v>177</v>
      </c>
      <c r="J308" s="7">
        <v>44</v>
      </c>
      <c r="K308" s="7">
        <v>2</v>
      </c>
      <c r="L308" s="7">
        <v>12</v>
      </c>
      <c r="M308" s="7">
        <v>158</v>
      </c>
      <c r="N308" s="7">
        <v>6</v>
      </c>
      <c r="O308" s="7">
        <v>30.6</v>
      </c>
      <c r="P308" s="7">
        <v>37</v>
      </c>
      <c r="Q308" s="7">
        <v>7</v>
      </c>
      <c r="R308" s="7">
        <v>8</v>
      </c>
      <c r="S308" s="7">
        <v>5.2112639999999999</v>
      </c>
      <c r="T308" s="7">
        <v>46</v>
      </c>
      <c r="U308" s="7">
        <v>1.130434782608696</v>
      </c>
    </row>
    <row r="309" spans="1:21" x14ac:dyDescent="0.3">
      <c r="A309" s="7" t="s">
        <v>182</v>
      </c>
      <c r="B309" s="7" t="s">
        <v>172</v>
      </c>
      <c r="C309" s="7" t="s">
        <v>147</v>
      </c>
      <c r="D309" s="7">
        <v>12</v>
      </c>
      <c r="E309" s="7">
        <v>328</v>
      </c>
      <c r="F309" s="7">
        <v>64</v>
      </c>
      <c r="G309" s="7">
        <v>11</v>
      </c>
      <c r="H309" s="7">
        <v>160</v>
      </c>
      <c r="I309" s="7" t="s">
        <v>174</v>
      </c>
      <c r="J309" s="7">
        <v>50</v>
      </c>
      <c r="K309" s="7">
        <v>8</v>
      </c>
      <c r="L309" s="7"/>
      <c r="M309" s="7"/>
      <c r="N309" s="7"/>
      <c r="O309" s="7"/>
      <c r="P309" s="7"/>
      <c r="Q309" s="7"/>
      <c r="R309" s="7"/>
      <c r="S309" s="7"/>
      <c r="T309" s="7">
        <v>58</v>
      </c>
      <c r="U309" s="7">
        <v>0.89655172413793105</v>
      </c>
    </row>
    <row r="310" spans="1:21" x14ac:dyDescent="0.3">
      <c r="A310" s="7" t="s">
        <v>182</v>
      </c>
      <c r="B310" s="7" t="s">
        <v>172</v>
      </c>
      <c r="C310" s="7" t="s">
        <v>147</v>
      </c>
      <c r="D310" s="7">
        <v>13</v>
      </c>
      <c r="E310" s="7">
        <v>275</v>
      </c>
      <c r="F310" s="7">
        <v>56</v>
      </c>
      <c r="G310" s="7">
        <v>10</v>
      </c>
      <c r="H310" s="7">
        <v>123</v>
      </c>
      <c r="I310" s="7" t="s">
        <v>174</v>
      </c>
      <c r="J310" s="7">
        <v>50</v>
      </c>
      <c r="K310" s="7">
        <v>8</v>
      </c>
      <c r="L310" s="7"/>
      <c r="M310" s="7"/>
      <c r="N310" s="7"/>
      <c r="O310" s="7"/>
      <c r="P310" s="7"/>
      <c r="Q310" s="7"/>
      <c r="R310" s="7"/>
      <c r="S310" s="7"/>
      <c r="T310" s="7">
        <v>58</v>
      </c>
      <c r="U310" s="7">
        <v>0.89655172413793105</v>
      </c>
    </row>
    <row r="311" spans="1:21" x14ac:dyDescent="0.3">
      <c r="A311" s="7" t="s">
        <v>182</v>
      </c>
      <c r="B311" s="7" t="s">
        <v>172</v>
      </c>
      <c r="C311" s="7" t="s">
        <v>147</v>
      </c>
      <c r="D311" s="7">
        <v>14</v>
      </c>
      <c r="E311" s="7">
        <v>290</v>
      </c>
      <c r="F311" s="7">
        <v>57</v>
      </c>
      <c r="G311" s="7">
        <v>12</v>
      </c>
      <c r="H311" s="7">
        <v>86</v>
      </c>
      <c r="I311" s="7" t="s">
        <v>176</v>
      </c>
      <c r="J311" s="7">
        <v>45</v>
      </c>
      <c r="K311" s="7">
        <v>3</v>
      </c>
      <c r="L311" s="7">
        <v>11</v>
      </c>
      <c r="M311" s="7">
        <v>160</v>
      </c>
      <c r="N311" s="7">
        <v>6</v>
      </c>
      <c r="O311" s="7">
        <v>23.3</v>
      </c>
      <c r="P311" s="7">
        <v>37</v>
      </c>
      <c r="Q311" s="7">
        <v>6</v>
      </c>
      <c r="R311" s="7">
        <v>7.6</v>
      </c>
      <c r="S311" s="7">
        <v>5.7323904000000008</v>
      </c>
      <c r="T311" s="7">
        <v>48</v>
      </c>
      <c r="U311" s="7">
        <v>1.083333333333333</v>
      </c>
    </row>
    <row r="312" spans="1:21" x14ac:dyDescent="0.3">
      <c r="A312" s="7" t="s">
        <v>182</v>
      </c>
      <c r="B312" s="7" t="s">
        <v>99</v>
      </c>
      <c r="C312" s="7" t="s">
        <v>146</v>
      </c>
      <c r="D312" s="7">
        <v>1</v>
      </c>
      <c r="E312" s="7">
        <v>344</v>
      </c>
      <c r="F312" s="7">
        <v>62</v>
      </c>
      <c r="G312" s="7">
        <v>14</v>
      </c>
      <c r="H312" s="7">
        <v>90</v>
      </c>
      <c r="I312" s="7" t="s">
        <v>177</v>
      </c>
      <c r="J312" s="7">
        <v>44</v>
      </c>
      <c r="K312" s="7">
        <v>2</v>
      </c>
      <c r="L312" s="7">
        <v>11</v>
      </c>
      <c r="M312" s="7">
        <v>170</v>
      </c>
      <c r="N312" s="7">
        <v>6</v>
      </c>
      <c r="O312" s="7">
        <v>40.6</v>
      </c>
      <c r="P312" s="7">
        <v>39</v>
      </c>
      <c r="Q312" s="7">
        <v>7</v>
      </c>
      <c r="R312" s="7">
        <v>7.8</v>
      </c>
      <c r="S312" s="7">
        <v>7.2207782400000013</v>
      </c>
      <c r="T312" s="7">
        <v>46</v>
      </c>
      <c r="U312" s="7">
        <v>1.130434782608696</v>
      </c>
    </row>
    <row r="313" spans="1:21" x14ac:dyDescent="0.3">
      <c r="A313" s="7" t="s">
        <v>182</v>
      </c>
      <c r="B313" s="7" t="s">
        <v>99</v>
      </c>
      <c r="C313" s="7" t="s">
        <v>146</v>
      </c>
      <c r="D313" s="7">
        <v>2</v>
      </c>
      <c r="E313" s="7">
        <v>345</v>
      </c>
      <c r="F313" s="7">
        <v>66</v>
      </c>
      <c r="G313" s="7">
        <v>12</v>
      </c>
      <c r="H313" s="7">
        <v>165</v>
      </c>
      <c r="I313" s="7" t="s">
        <v>174</v>
      </c>
      <c r="J313" s="7">
        <v>42</v>
      </c>
      <c r="K313" s="7">
        <v>52</v>
      </c>
      <c r="L313" s="7">
        <v>10</v>
      </c>
      <c r="M313" s="7">
        <v>230</v>
      </c>
      <c r="N313" s="7">
        <v>6</v>
      </c>
      <c r="O313" s="7">
        <v>44.7</v>
      </c>
      <c r="P313" s="7">
        <v>39</v>
      </c>
      <c r="Q313" s="7">
        <v>7</v>
      </c>
      <c r="R313" s="7">
        <v>7.6</v>
      </c>
      <c r="S313" s="7">
        <v>5.8467840000000004</v>
      </c>
      <c r="T313" s="7">
        <v>94</v>
      </c>
      <c r="U313" s="7">
        <v>0.55319148936170215</v>
      </c>
    </row>
    <row r="314" spans="1:21" x14ac:dyDescent="0.3">
      <c r="A314" s="7" t="s">
        <v>182</v>
      </c>
      <c r="B314" s="7" t="s">
        <v>99</v>
      </c>
      <c r="C314" s="7" t="s">
        <v>146</v>
      </c>
      <c r="D314" s="7">
        <v>3</v>
      </c>
      <c r="E314" s="7">
        <v>340</v>
      </c>
      <c r="F314" s="7">
        <v>64</v>
      </c>
      <c r="G314" s="7">
        <v>14</v>
      </c>
      <c r="H314" s="7">
        <v>133</v>
      </c>
      <c r="I314" s="7" t="s">
        <v>177</v>
      </c>
      <c r="J314" s="7">
        <v>44</v>
      </c>
      <c r="K314" s="7">
        <v>2</v>
      </c>
      <c r="L314" s="7">
        <v>12</v>
      </c>
      <c r="M314" s="7">
        <v>204</v>
      </c>
      <c r="N314" s="7">
        <v>6</v>
      </c>
      <c r="O314" s="7">
        <v>37</v>
      </c>
      <c r="P314" s="7">
        <v>38</v>
      </c>
      <c r="Q314" s="7">
        <v>7</v>
      </c>
      <c r="R314" s="7">
        <v>7.4</v>
      </c>
      <c r="S314" s="7">
        <v>5.8722047999999996</v>
      </c>
      <c r="T314" s="7">
        <v>46</v>
      </c>
      <c r="U314" s="7">
        <v>1.130434782608696</v>
      </c>
    </row>
    <row r="315" spans="1:21" x14ac:dyDescent="0.3">
      <c r="A315" s="7" t="s">
        <v>182</v>
      </c>
      <c r="B315" s="7" t="s">
        <v>99</v>
      </c>
      <c r="C315" s="7" t="s">
        <v>146</v>
      </c>
      <c r="D315" s="7">
        <v>4</v>
      </c>
      <c r="E315" s="7">
        <v>327</v>
      </c>
      <c r="F315" s="7">
        <v>73</v>
      </c>
      <c r="G315" s="7">
        <v>12</v>
      </c>
      <c r="H315" s="7">
        <v>135</v>
      </c>
      <c r="I315" s="7" t="s">
        <v>173</v>
      </c>
      <c r="J315" s="7">
        <v>47</v>
      </c>
      <c r="K315" s="7">
        <v>5</v>
      </c>
      <c r="L315" s="7">
        <v>11</v>
      </c>
      <c r="M315" s="7">
        <v>206</v>
      </c>
      <c r="N315" s="7">
        <v>6</v>
      </c>
      <c r="O315" s="7">
        <v>46.5</v>
      </c>
      <c r="P315" s="7">
        <v>40</v>
      </c>
      <c r="Q315" s="7">
        <v>7</v>
      </c>
      <c r="R315" s="7">
        <v>8</v>
      </c>
      <c r="S315" s="7">
        <v>6.1391231999999993</v>
      </c>
      <c r="T315" s="7">
        <v>52</v>
      </c>
      <c r="U315" s="7">
        <v>1</v>
      </c>
    </row>
    <row r="316" spans="1:21" x14ac:dyDescent="0.3">
      <c r="A316" s="7" t="s">
        <v>182</v>
      </c>
      <c r="B316" s="7" t="s">
        <v>99</v>
      </c>
      <c r="C316" s="7" t="s">
        <v>146</v>
      </c>
      <c r="D316" s="7">
        <v>5</v>
      </c>
      <c r="E316" s="7">
        <v>342</v>
      </c>
      <c r="F316" s="7">
        <v>65</v>
      </c>
      <c r="G316" s="7">
        <v>10</v>
      </c>
      <c r="H316" s="7">
        <v>135</v>
      </c>
      <c r="I316" s="7" t="s">
        <v>173</v>
      </c>
      <c r="J316" s="7">
        <v>47</v>
      </c>
      <c r="K316" s="7">
        <v>5</v>
      </c>
      <c r="L316" s="7">
        <v>11</v>
      </c>
      <c r="M316" s="7">
        <v>205</v>
      </c>
      <c r="N316" s="7">
        <v>6</v>
      </c>
      <c r="O316" s="7">
        <v>40.200000000000003</v>
      </c>
      <c r="P316" s="7">
        <v>39</v>
      </c>
      <c r="Q316" s="7">
        <v>7</v>
      </c>
      <c r="R316" s="7">
        <v>7.8</v>
      </c>
      <c r="S316" s="7">
        <v>6.0485616000000011</v>
      </c>
      <c r="T316" s="7">
        <v>52</v>
      </c>
      <c r="U316" s="7">
        <v>1</v>
      </c>
    </row>
    <row r="317" spans="1:21" x14ac:dyDescent="0.3">
      <c r="A317" s="7" t="s">
        <v>182</v>
      </c>
      <c r="B317" s="7" t="s">
        <v>99</v>
      </c>
      <c r="C317" s="7" t="s">
        <v>146</v>
      </c>
      <c r="D317" s="7">
        <v>6</v>
      </c>
      <c r="E317" s="7">
        <v>305</v>
      </c>
      <c r="F317" s="7">
        <v>68</v>
      </c>
      <c r="G317" s="7">
        <v>16</v>
      </c>
      <c r="H317" s="7">
        <v>133</v>
      </c>
      <c r="I317" s="7" t="s">
        <v>175</v>
      </c>
      <c r="J317" s="7">
        <v>43</v>
      </c>
      <c r="K317" s="7">
        <v>1</v>
      </c>
      <c r="L317" s="7"/>
      <c r="M317" s="7"/>
      <c r="N317" s="7"/>
      <c r="O317" s="7"/>
      <c r="P317" s="7"/>
      <c r="Q317" s="7"/>
      <c r="R317" s="7"/>
      <c r="S317" s="7"/>
      <c r="T317" s="7">
        <v>44</v>
      </c>
      <c r="U317" s="7">
        <v>1.1818181818181821</v>
      </c>
    </row>
    <row r="318" spans="1:21" x14ac:dyDescent="0.3">
      <c r="A318" s="7" t="s">
        <v>182</v>
      </c>
      <c r="B318" s="7" t="s">
        <v>99</v>
      </c>
      <c r="C318" s="7" t="s">
        <v>146</v>
      </c>
      <c r="D318" s="7">
        <v>7</v>
      </c>
      <c r="E318" s="7">
        <v>345</v>
      </c>
      <c r="F318" s="7">
        <v>66</v>
      </c>
      <c r="G318" s="7">
        <v>16</v>
      </c>
      <c r="H318" s="7">
        <v>133</v>
      </c>
      <c r="I318" s="7" t="s">
        <v>175</v>
      </c>
      <c r="J318" s="7">
        <v>43</v>
      </c>
      <c r="K318" s="7">
        <v>1</v>
      </c>
      <c r="L318" s="7">
        <v>11</v>
      </c>
      <c r="M318" s="7">
        <v>210</v>
      </c>
      <c r="N318" s="7">
        <v>7</v>
      </c>
      <c r="O318" s="7">
        <v>40.700000000000003</v>
      </c>
      <c r="P318" s="7">
        <v>38</v>
      </c>
      <c r="Q318" s="7">
        <v>7</v>
      </c>
      <c r="R318" s="7">
        <v>8.4</v>
      </c>
      <c r="S318" s="7">
        <v>7.8748342400000011</v>
      </c>
      <c r="T318" s="7">
        <v>44</v>
      </c>
      <c r="U318" s="7">
        <v>1.1818181818181821</v>
      </c>
    </row>
    <row r="319" spans="1:21" x14ac:dyDescent="0.3">
      <c r="A319" s="7" t="s">
        <v>182</v>
      </c>
      <c r="B319" s="7" t="s">
        <v>99</v>
      </c>
      <c r="C319" s="7" t="s">
        <v>146</v>
      </c>
      <c r="D319" s="7">
        <v>8</v>
      </c>
      <c r="E319" s="7">
        <v>335</v>
      </c>
      <c r="F319" s="7">
        <v>66</v>
      </c>
      <c r="G319" s="7">
        <v>13</v>
      </c>
      <c r="H319" s="7">
        <v>104</v>
      </c>
      <c r="I319" s="7" t="s">
        <v>174</v>
      </c>
      <c r="J319" s="7">
        <v>42</v>
      </c>
      <c r="K319" s="7">
        <v>52</v>
      </c>
      <c r="L319" s="7">
        <v>10</v>
      </c>
      <c r="M319" s="7">
        <v>190</v>
      </c>
      <c r="N319" s="7">
        <v>7</v>
      </c>
      <c r="O319" s="7">
        <v>47.5</v>
      </c>
      <c r="P319" s="7">
        <v>37</v>
      </c>
      <c r="Q319" s="7">
        <v>7</v>
      </c>
      <c r="R319" s="7">
        <v>7.6</v>
      </c>
      <c r="S319" s="7">
        <v>7.4603692800000001</v>
      </c>
      <c r="T319" s="7">
        <v>94</v>
      </c>
      <c r="U319" s="7">
        <v>0.55319148936170215</v>
      </c>
    </row>
    <row r="320" spans="1:21" x14ac:dyDescent="0.3">
      <c r="A320" s="7" t="s">
        <v>182</v>
      </c>
      <c r="B320" s="7" t="s">
        <v>99</v>
      </c>
      <c r="C320" s="7" t="s">
        <v>146</v>
      </c>
      <c r="D320" s="7">
        <v>9</v>
      </c>
      <c r="E320" s="7">
        <v>310</v>
      </c>
      <c r="F320" s="7">
        <v>62</v>
      </c>
      <c r="G320" s="7">
        <v>10</v>
      </c>
      <c r="H320" s="7">
        <v>65</v>
      </c>
      <c r="I320" s="7" t="s">
        <v>177</v>
      </c>
      <c r="J320" s="7">
        <v>52</v>
      </c>
      <c r="K320" s="7">
        <v>10</v>
      </c>
      <c r="L320" s="7"/>
      <c r="M320" s="7"/>
      <c r="N320" s="7"/>
      <c r="O320" s="7"/>
      <c r="P320" s="7"/>
      <c r="Q320" s="7"/>
      <c r="R320" s="7"/>
      <c r="S320" s="7"/>
      <c r="T320" s="7">
        <v>62</v>
      </c>
      <c r="U320" s="7">
        <v>0.83870967741935487</v>
      </c>
    </row>
    <row r="321" spans="1:21" x14ac:dyDescent="0.3">
      <c r="A321" s="7" t="s">
        <v>182</v>
      </c>
      <c r="B321" s="7" t="s">
        <v>99</v>
      </c>
      <c r="C321" s="7" t="s">
        <v>146</v>
      </c>
      <c r="D321" s="7">
        <v>10</v>
      </c>
      <c r="E321" s="7">
        <v>336</v>
      </c>
      <c r="F321" s="7">
        <v>64</v>
      </c>
      <c r="G321" s="7">
        <v>11</v>
      </c>
      <c r="H321" s="7">
        <v>97</v>
      </c>
      <c r="I321" s="7" t="s">
        <v>178</v>
      </c>
      <c r="J321" s="7">
        <v>2</v>
      </c>
      <c r="K321" s="7">
        <v>12</v>
      </c>
      <c r="L321" s="7"/>
      <c r="M321" s="7"/>
      <c r="N321" s="7"/>
      <c r="O321" s="7"/>
      <c r="P321" s="7"/>
      <c r="Q321" s="7"/>
      <c r="R321" s="7"/>
      <c r="S321" s="7"/>
      <c r="T321" s="7">
        <v>14</v>
      </c>
      <c r="U321" s="7">
        <v>3.714285714285714</v>
      </c>
    </row>
    <row r="322" spans="1:21" x14ac:dyDescent="0.3">
      <c r="A322" s="7" t="s">
        <v>182</v>
      </c>
      <c r="B322" s="7" t="s">
        <v>99</v>
      </c>
      <c r="C322" s="7" t="s">
        <v>146</v>
      </c>
      <c r="D322" s="7">
        <v>11</v>
      </c>
      <c r="E322" s="7">
        <v>285</v>
      </c>
      <c r="F322" s="7">
        <v>61</v>
      </c>
      <c r="G322" s="7">
        <v>11</v>
      </c>
      <c r="H322" s="7">
        <v>147</v>
      </c>
      <c r="I322" s="7" t="s">
        <v>176</v>
      </c>
      <c r="J322" s="7">
        <v>45</v>
      </c>
      <c r="K322" s="7">
        <v>3</v>
      </c>
      <c r="L322" s="7"/>
      <c r="M322" s="7"/>
      <c r="N322" s="7"/>
      <c r="O322" s="7"/>
      <c r="P322" s="7"/>
      <c r="Q322" s="7"/>
      <c r="R322" s="7"/>
      <c r="S322" s="7"/>
      <c r="T322" s="7">
        <v>48</v>
      </c>
      <c r="U322" s="7">
        <v>1.083333333333333</v>
      </c>
    </row>
    <row r="323" spans="1:21" x14ac:dyDescent="0.3">
      <c r="A323" s="7" t="s">
        <v>182</v>
      </c>
      <c r="B323" s="7" t="s">
        <v>99</v>
      </c>
      <c r="C323" s="7" t="s">
        <v>146</v>
      </c>
      <c r="D323" s="7">
        <v>12</v>
      </c>
      <c r="E323" s="7">
        <v>326</v>
      </c>
      <c r="F323" s="7">
        <v>66</v>
      </c>
      <c r="G323" s="7">
        <v>11</v>
      </c>
      <c r="H323" s="7">
        <v>147</v>
      </c>
      <c r="I323" s="7" t="s">
        <v>176</v>
      </c>
      <c r="J323" s="7">
        <v>45</v>
      </c>
      <c r="K323" s="7">
        <v>3</v>
      </c>
      <c r="L323" s="7">
        <v>12</v>
      </c>
      <c r="M323" s="7">
        <v>190</v>
      </c>
      <c r="N323" s="7">
        <v>6</v>
      </c>
      <c r="O323" s="7">
        <v>36.6</v>
      </c>
      <c r="P323" s="7">
        <v>38</v>
      </c>
      <c r="Q323" s="7">
        <v>7</v>
      </c>
      <c r="R323" s="7">
        <v>6.8</v>
      </c>
      <c r="S323" s="7">
        <v>5.9840563200000014</v>
      </c>
      <c r="T323" s="7">
        <v>48</v>
      </c>
      <c r="U323" s="7">
        <v>1.083333333333333</v>
      </c>
    </row>
    <row r="324" spans="1:21" x14ac:dyDescent="0.3">
      <c r="A324" s="7" t="s">
        <v>182</v>
      </c>
      <c r="B324" s="7" t="s">
        <v>99</v>
      </c>
      <c r="C324" s="7" t="s">
        <v>146</v>
      </c>
      <c r="D324" s="7">
        <v>13</v>
      </c>
      <c r="E324" s="7">
        <v>290</v>
      </c>
      <c r="F324" s="7">
        <v>55</v>
      </c>
      <c r="G324" s="7">
        <v>9</v>
      </c>
      <c r="H324" s="7">
        <v>110</v>
      </c>
      <c r="I324" s="7" t="s">
        <v>173</v>
      </c>
      <c r="J324" s="7">
        <v>47</v>
      </c>
      <c r="K324" s="7">
        <v>5</v>
      </c>
      <c r="L324" s="7">
        <v>11</v>
      </c>
      <c r="M324" s="7">
        <v>170</v>
      </c>
      <c r="N324" s="7">
        <v>4</v>
      </c>
      <c r="O324" s="7">
        <v>34</v>
      </c>
      <c r="P324" s="7">
        <v>30</v>
      </c>
      <c r="Q324" s="7">
        <v>6</v>
      </c>
      <c r="R324" s="7">
        <v>7</v>
      </c>
      <c r="S324" s="7">
        <v>3.4699392000000011</v>
      </c>
      <c r="T324" s="7">
        <v>52</v>
      </c>
      <c r="U324" s="7">
        <v>1</v>
      </c>
    </row>
    <row r="325" spans="1:21" x14ac:dyDescent="0.3">
      <c r="A325" s="7" t="s">
        <v>182</v>
      </c>
      <c r="B325" s="7" t="s">
        <v>99</v>
      </c>
      <c r="C325" s="7" t="s">
        <v>146</v>
      </c>
      <c r="D325" s="7">
        <v>14</v>
      </c>
      <c r="E325" s="7">
        <v>360</v>
      </c>
      <c r="F325" s="7">
        <v>70</v>
      </c>
      <c r="G325" s="7">
        <v>12</v>
      </c>
      <c r="H325" s="7">
        <v>120</v>
      </c>
      <c r="I325" s="7" t="s">
        <v>179</v>
      </c>
      <c r="J325" s="7">
        <v>49</v>
      </c>
      <c r="K325" s="7">
        <v>7</v>
      </c>
      <c r="L325" s="7"/>
      <c r="M325" s="7"/>
      <c r="N325" s="7"/>
      <c r="O325" s="7"/>
      <c r="P325" s="7"/>
      <c r="Q325" s="7"/>
      <c r="R325" s="7"/>
      <c r="S325" s="7"/>
      <c r="T325" s="7">
        <v>56</v>
      </c>
      <c r="U325" s="7">
        <v>0.9285714285714286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CD205-8893-4A8F-BC60-2543D1F58337}">
  <dimension ref="A1:S205"/>
  <sheetViews>
    <sheetView workbookViewId="0">
      <selection sqref="A1:S1"/>
    </sheetView>
  </sheetViews>
  <sheetFormatPr baseColWidth="10" defaultRowHeight="14.4" x14ac:dyDescent="0.3"/>
  <cols>
    <col min="1" max="16384" width="11.5546875" style="3"/>
  </cols>
  <sheetData>
    <row r="1" spans="1:19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124</v>
      </c>
      <c r="K1" s="2" t="s">
        <v>170</v>
      </c>
      <c r="L1" s="2" t="s">
        <v>126</v>
      </c>
      <c r="M1" s="2" t="s">
        <v>127</v>
      </c>
      <c r="N1" s="2" t="s">
        <v>171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</row>
    <row r="2" spans="1:19" x14ac:dyDescent="0.3">
      <c r="A2" s="7" t="s">
        <v>96</v>
      </c>
      <c r="B2" s="7" t="s">
        <v>172</v>
      </c>
      <c r="C2" s="7" t="s">
        <v>144</v>
      </c>
      <c r="D2" s="7">
        <v>2</v>
      </c>
      <c r="E2" s="7">
        <v>340</v>
      </c>
      <c r="F2" s="7">
        <v>70</v>
      </c>
      <c r="G2" s="7">
        <v>14</v>
      </c>
      <c r="H2" s="7">
        <v>120</v>
      </c>
      <c r="I2" s="7" t="s">
        <v>173</v>
      </c>
      <c r="J2" s="7">
        <v>47</v>
      </c>
      <c r="K2" s="7">
        <v>5</v>
      </c>
      <c r="L2" s="7">
        <v>11</v>
      </c>
      <c r="M2" s="7">
        <v>184</v>
      </c>
      <c r="N2" s="7">
        <v>6</v>
      </c>
      <c r="O2" s="7">
        <v>48</v>
      </c>
      <c r="P2" s="7">
        <v>38</v>
      </c>
      <c r="Q2" s="7">
        <v>8</v>
      </c>
      <c r="R2" s="7">
        <v>8.1999999999999993</v>
      </c>
      <c r="S2" s="7">
        <v>7.3211904000000008</v>
      </c>
    </row>
    <row r="3" spans="1:19" x14ac:dyDescent="0.3">
      <c r="A3" s="7" t="s">
        <v>96</v>
      </c>
      <c r="B3" s="7" t="s">
        <v>172</v>
      </c>
      <c r="C3" s="7" t="s">
        <v>144</v>
      </c>
      <c r="D3" s="7">
        <v>3</v>
      </c>
      <c r="E3" s="7">
        <v>330</v>
      </c>
      <c r="F3" s="7">
        <v>63</v>
      </c>
      <c r="G3" s="7">
        <v>11</v>
      </c>
      <c r="H3" s="7">
        <v>138</v>
      </c>
      <c r="I3" s="7" t="s">
        <v>174</v>
      </c>
      <c r="J3" s="7">
        <v>42</v>
      </c>
      <c r="K3" s="7">
        <v>52</v>
      </c>
      <c r="L3" s="7">
        <v>11</v>
      </c>
      <c r="M3" s="7">
        <v>160</v>
      </c>
      <c r="N3" s="7">
        <v>7</v>
      </c>
      <c r="O3" s="7">
        <v>42</v>
      </c>
      <c r="P3" s="7">
        <v>39</v>
      </c>
      <c r="Q3" s="7">
        <v>7</v>
      </c>
      <c r="R3" s="7">
        <v>8</v>
      </c>
      <c r="S3" s="7">
        <v>6.2280960000000007</v>
      </c>
    </row>
    <row r="4" spans="1:19" x14ac:dyDescent="0.3">
      <c r="A4" s="7" t="s">
        <v>96</v>
      </c>
      <c r="B4" s="7" t="s">
        <v>172</v>
      </c>
      <c r="C4" s="7" t="s">
        <v>144</v>
      </c>
      <c r="D4" s="7">
        <v>8</v>
      </c>
      <c r="E4" s="7">
        <v>300</v>
      </c>
      <c r="F4" s="7">
        <v>59</v>
      </c>
      <c r="G4" s="7">
        <v>13</v>
      </c>
      <c r="H4" s="7">
        <v>122</v>
      </c>
      <c r="I4" s="7" t="s">
        <v>173</v>
      </c>
      <c r="J4" s="7">
        <v>47</v>
      </c>
      <c r="K4" s="7">
        <v>5</v>
      </c>
      <c r="L4" s="7">
        <v>12</v>
      </c>
      <c r="M4" s="7">
        <v>167</v>
      </c>
      <c r="N4" s="7">
        <v>5</v>
      </c>
      <c r="O4" s="7">
        <v>27</v>
      </c>
      <c r="P4" s="7">
        <v>37</v>
      </c>
      <c r="Q4" s="7">
        <v>6</v>
      </c>
      <c r="R4" s="7">
        <v>7.2</v>
      </c>
      <c r="S4" s="7">
        <v>4.2341520000000008</v>
      </c>
    </row>
    <row r="5" spans="1:19" x14ac:dyDescent="0.3">
      <c r="A5" s="7" t="s">
        <v>96</v>
      </c>
      <c r="B5" s="7" t="s">
        <v>172</v>
      </c>
      <c r="C5" s="7" t="s">
        <v>144</v>
      </c>
      <c r="D5" s="7">
        <v>11</v>
      </c>
      <c r="E5" s="7">
        <v>290</v>
      </c>
      <c r="F5" s="7">
        <v>57</v>
      </c>
      <c r="G5" s="7">
        <v>12</v>
      </c>
      <c r="H5" s="7">
        <v>80</v>
      </c>
      <c r="I5" s="7" t="s">
        <v>174</v>
      </c>
      <c r="J5" s="7">
        <v>42</v>
      </c>
      <c r="K5" s="7">
        <v>52</v>
      </c>
      <c r="L5" s="7">
        <v>11</v>
      </c>
      <c r="M5" s="7">
        <v>150</v>
      </c>
      <c r="N5" s="7">
        <v>6</v>
      </c>
      <c r="O5" s="7">
        <v>37</v>
      </c>
      <c r="P5" s="7">
        <v>39</v>
      </c>
      <c r="Q5" s="7">
        <v>6</v>
      </c>
      <c r="R5" s="7">
        <v>7.8</v>
      </c>
      <c r="S5" s="7">
        <v>5.3383680000000018</v>
      </c>
    </row>
    <row r="6" spans="1:19" x14ac:dyDescent="0.3">
      <c r="A6" s="7" t="s">
        <v>96</v>
      </c>
      <c r="B6" s="7" t="s">
        <v>172</v>
      </c>
      <c r="C6" s="7" t="s">
        <v>144</v>
      </c>
      <c r="D6" s="7">
        <v>13</v>
      </c>
      <c r="E6" s="7">
        <v>354</v>
      </c>
      <c r="F6" s="7">
        <v>70</v>
      </c>
      <c r="G6" s="7">
        <v>11</v>
      </c>
      <c r="H6" s="7">
        <v>172</v>
      </c>
      <c r="I6" s="7" t="s">
        <v>175</v>
      </c>
      <c r="J6" s="7">
        <v>43</v>
      </c>
      <c r="K6" s="7">
        <v>1</v>
      </c>
      <c r="L6" s="7">
        <v>11</v>
      </c>
      <c r="M6" s="7">
        <v>230</v>
      </c>
      <c r="N6" s="7">
        <v>6</v>
      </c>
      <c r="O6" s="7">
        <v>51</v>
      </c>
      <c r="P6" s="7">
        <v>39</v>
      </c>
      <c r="Q6" s="7">
        <v>8</v>
      </c>
      <c r="R6" s="7">
        <v>7.6</v>
      </c>
      <c r="S6" s="7">
        <v>6.1486560000000008</v>
      </c>
    </row>
    <row r="7" spans="1:19" x14ac:dyDescent="0.3">
      <c r="A7" s="7" t="s">
        <v>96</v>
      </c>
      <c r="B7" s="7" t="s">
        <v>172</v>
      </c>
      <c r="C7" s="7" t="s">
        <v>144</v>
      </c>
      <c r="D7" s="7">
        <v>14</v>
      </c>
      <c r="E7" s="7">
        <v>340</v>
      </c>
      <c r="F7" s="7">
        <v>63</v>
      </c>
      <c r="G7" s="7">
        <v>13</v>
      </c>
      <c r="H7" s="7">
        <v>155</v>
      </c>
      <c r="I7" s="7" t="s">
        <v>176</v>
      </c>
      <c r="J7" s="7">
        <v>45</v>
      </c>
      <c r="K7" s="7">
        <v>3</v>
      </c>
      <c r="L7" s="7">
        <v>11</v>
      </c>
      <c r="M7" s="7">
        <v>215</v>
      </c>
      <c r="N7" s="7">
        <v>5</v>
      </c>
      <c r="O7" s="7">
        <v>43</v>
      </c>
      <c r="P7" s="7">
        <v>39</v>
      </c>
      <c r="Q7" s="7">
        <v>7</v>
      </c>
      <c r="R7" s="7">
        <v>8</v>
      </c>
      <c r="S7" s="7">
        <v>6.156600000000001</v>
      </c>
    </row>
    <row r="8" spans="1:19" x14ac:dyDescent="0.3">
      <c r="A8" s="7" t="s">
        <v>96</v>
      </c>
      <c r="B8" s="7" t="s">
        <v>97</v>
      </c>
      <c r="C8" s="7" t="s">
        <v>147</v>
      </c>
      <c r="D8" s="7">
        <v>2</v>
      </c>
      <c r="E8" s="7">
        <v>370</v>
      </c>
      <c r="F8" s="7">
        <v>71</v>
      </c>
      <c r="G8" s="7">
        <v>14</v>
      </c>
      <c r="H8" s="7">
        <v>153</v>
      </c>
      <c r="I8" s="7" t="s">
        <v>177</v>
      </c>
      <c r="J8" s="7">
        <v>44</v>
      </c>
      <c r="K8" s="7">
        <v>2</v>
      </c>
      <c r="L8" s="7">
        <v>11</v>
      </c>
      <c r="M8" s="7">
        <v>245</v>
      </c>
      <c r="N8" s="7">
        <v>6</v>
      </c>
      <c r="O8" s="7">
        <v>51.5</v>
      </c>
      <c r="P8" s="7">
        <v>39</v>
      </c>
      <c r="Q8" s="7">
        <v>8</v>
      </c>
      <c r="R8" s="7">
        <v>8.1999999999999993</v>
      </c>
      <c r="S8" s="7">
        <v>6.6195763200000002</v>
      </c>
    </row>
    <row r="9" spans="1:19" x14ac:dyDescent="0.3">
      <c r="A9" s="7" t="s">
        <v>96</v>
      </c>
      <c r="B9" s="7" t="s">
        <v>97</v>
      </c>
      <c r="C9" s="7" t="s">
        <v>147</v>
      </c>
      <c r="D9" s="7">
        <v>9</v>
      </c>
      <c r="E9" s="7">
        <v>330</v>
      </c>
      <c r="F9" s="7">
        <v>64</v>
      </c>
      <c r="G9" s="7">
        <v>12</v>
      </c>
      <c r="H9" s="7">
        <v>120</v>
      </c>
      <c r="I9" s="7" t="s">
        <v>175</v>
      </c>
      <c r="J9" s="7">
        <v>43</v>
      </c>
      <c r="K9" s="7">
        <v>1</v>
      </c>
      <c r="L9" s="7">
        <v>11</v>
      </c>
      <c r="M9" s="7">
        <v>205</v>
      </c>
      <c r="N9" s="7">
        <v>6</v>
      </c>
      <c r="O9" s="7">
        <v>42.2</v>
      </c>
      <c r="P9" s="7">
        <v>38</v>
      </c>
      <c r="Q9" s="7">
        <v>8</v>
      </c>
      <c r="R9" s="7">
        <v>7.6</v>
      </c>
      <c r="S9" s="7">
        <v>6.2916480000000012</v>
      </c>
    </row>
    <row r="10" spans="1:19" x14ac:dyDescent="0.3">
      <c r="A10" s="7" t="s">
        <v>96</v>
      </c>
      <c r="B10" s="7" t="s">
        <v>97</v>
      </c>
      <c r="C10" s="7" t="s">
        <v>147</v>
      </c>
      <c r="D10" s="7">
        <v>11</v>
      </c>
      <c r="E10" s="7">
        <v>305</v>
      </c>
      <c r="F10" s="7">
        <v>60</v>
      </c>
      <c r="G10" s="7">
        <v>13</v>
      </c>
      <c r="H10" s="7">
        <v>60</v>
      </c>
      <c r="I10" s="7" t="s">
        <v>177</v>
      </c>
      <c r="J10" s="7">
        <v>44</v>
      </c>
      <c r="K10" s="7">
        <v>2</v>
      </c>
      <c r="L10" s="7">
        <v>11</v>
      </c>
      <c r="M10" s="7">
        <v>160</v>
      </c>
      <c r="N10" s="7">
        <v>5</v>
      </c>
      <c r="O10" s="7">
        <v>41.5</v>
      </c>
      <c r="P10" s="7">
        <v>38</v>
      </c>
      <c r="Q10" s="7">
        <v>7</v>
      </c>
      <c r="R10" s="7">
        <v>7.8</v>
      </c>
      <c r="S10" s="7">
        <v>4.6604800000000024</v>
      </c>
    </row>
    <row r="11" spans="1:19" x14ac:dyDescent="0.3">
      <c r="A11" s="7" t="s">
        <v>96</v>
      </c>
      <c r="B11" s="7" t="s">
        <v>97</v>
      </c>
      <c r="C11" s="7" t="s">
        <v>147</v>
      </c>
      <c r="D11" s="7">
        <v>12</v>
      </c>
      <c r="E11" s="7">
        <v>330</v>
      </c>
      <c r="F11" s="7">
        <v>63</v>
      </c>
      <c r="G11" s="7">
        <v>12</v>
      </c>
      <c r="H11" s="7">
        <v>100</v>
      </c>
      <c r="I11" s="7" t="s">
        <v>177</v>
      </c>
      <c r="J11" s="7">
        <v>44</v>
      </c>
      <c r="K11" s="7">
        <v>2</v>
      </c>
      <c r="L11" s="7">
        <v>11</v>
      </c>
      <c r="M11" s="7">
        <v>166</v>
      </c>
      <c r="N11" s="7">
        <v>5</v>
      </c>
      <c r="O11" s="7">
        <v>39.5</v>
      </c>
      <c r="P11" s="7">
        <v>39</v>
      </c>
      <c r="Q11" s="7">
        <v>7</v>
      </c>
      <c r="R11" s="7">
        <v>7.8</v>
      </c>
      <c r="S11" s="7">
        <v>5.3012960000000033</v>
      </c>
    </row>
    <row r="12" spans="1:19" x14ac:dyDescent="0.3">
      <c r="A12" s="7" t="s">
        <v>96</v>
      </c>
      <c r="B12" s="7" t="s">
        <v>97</v>
      </c>
      <c r="C12" s="7" t="s">
        <v>147</v>
      </c>
      <c r="D12" s="7">
        <v>13</v>
      </c>
      <c r="E12" s="7">
        <v>330</v>
      </c>
      <c r="F12" s="7">
        <v>65</v>
      </c>
      <c r="G12" s="7">
        <v>13</v>
      </c>
      <c r="H12" s="7">
        <v>132</v>
      </c>
      <c r="I12" s="7" t="s">
        <v>177</v>
      </c>
      <c r="J12" s="7">
        <v>44</v>
      </c>
      <c r="K12" s="7">
        <v>2</v>
      </c>
      <c r="L12" s="7">
        <v>11</v>
      </c>
      <c r="M12" s="7">
        <v>220</v>
      </c>
      <c r="N12" s="7">
        <v>5</v>
      </c>
      <c r="O12" s="7">
        <v>42</v>
      </c>
      <c r="P12" s="7">
        <v>39</v>
      </c>
      <c r="Q12" s="7">
        <v>7</v>
      </c>
      <c r="R12" s="7">
        <v>8</v>
      </c>
      <c r="S12" s="7">
        <v>5.3026200000000001</v>
      </c>
    </row>
    <row r="13" spans="1:19" x14ac:dyDescent="0.3">
      <c r="A13" s="7" t="s">
        <v>96</v>
      </c>
      <c r="B13" s="7" t="s">
        <v>97</v>
      </c>
      <c r="C13" s="7" t="s">
        <v>147</v>
      </c>
      <c r="D13" s="7">
        <v>14</v>
      </c>
      <c r="E13" s="7">
        <v>295</v>
      </c>
      <c r="F13" s="7">
        <v>59</v>
      </c>
      <c r="G13" s="7">
        <v>11</v>
      </c>
      <c r="H13" s="7">
        <v>105</v>
      </c>
      <c r="I13" s="7" t="s">
        <v>178</v>
      </c>
      <c r="J13" s="7">
        <v>46</v>
      </c>
      <c r="K13" s="7">
        <v>4</v>
      </c>
      <c r="L13" s="7">
        <v>11</v>
      </c>
      <c r="M13" s="7">
        <v>182</v>
      </c>
      <c r="N13" s="7">
        <v>5</v>
      </c>
      <c r="O13" s="7">
        <v>36</v>
      </c>
      <c r="P13" s="7">
        <v>38</v>
      </c>
      <c r="Q13" s="7">
        <v>6</v>
      </c>
      <c r="R13" s="7">
        <v>7.8</v>
      </c>
      <c r="S13" s="7">
        <v>4.448640000000001</v>
      </c>
    </row>
    <row r="14" spans="1:19" x14ac:dyDescent="0.3">
      <c r="A14" s="7" t="s">
        <v>96</v>
      </c>
      <c r="B14" s="7" t="s">
        <v>109</v>
      </c>
      <c r="C14" s="7" t="s">
        <v>144</v>
      </c>
      <c r="D14" s="7">
        <v>1</v>
      </c>
      <c r="E14" s="7">
        <v>360</v>
      </c>
      <c r="F14" s="7">
        <v>67</v>
      </c>
      <c r="G14" s="7">
        <v>13</v>
      </c>
      <c r="H14" s="7">
        <v>118</v>
      </c>
      <c r="I14" s="7" t="s">
        <v>177</v>
      </c>
      <c r="J14" s="7">
        <v>44</v>
      </c>
      <c r="K14" s="7">
        <v>2</v>
      </c>
      <c r="L14" s="7">
        <v>11</v>
      </c>
      <c r="M14" s="7">
        <v>190</v>
      </c>
      <c r="N14" s="7">
        <v>6</v>
      </c>
      <c r="O14" s="7">
        <v>48</v>
      </c>
      <c r="P14" s="7">
        <v>38</v>
      </c>
      <c r="Q14" s="7">
        <v>8</v>
      </c>
      <c r="R14" s="7">
        <v>8.4</v>
      </c>
      <c r="S14" s="7">
        <v>7.0161408000000014</v>
      </c>
    </row>
    <row r="15" spans="1:19" x14ac:dyDescent="0.3">
      <c r="A15" s="7" t="s">
        <v>96</v>
      </c>
      <c r="B15" s="7" t="s">
        <v>109</v>
      </c>
      <c r="C15" s="7" t="s">
        <v>144</v>
      </c>
      <c r="D15" s="7">
        <v>2</v>
      </c>
      <c r="E15" s="7">
        <v>330</v>
      </c>
      <c r="F15" s="7">
        <v>60</v>
      </c>
      <c r="G15" s="7">
        <v>12</v>
      </c>
      <c r="H15" s="7">
        <v>80</v>
      </c>
      <c r="I15" s="7" t="s">
        <v>176</v>
      </c>
      <c r="J15" s="7">
        <v>45</v>
      </c>
      <c r="K15" s="7">
        <v>3</v>
      </c>
      <c r="L15" s="7">
        <v>11</v>
      </c>
      <c r="M15" s="7">
        <v>170</v>
      </c>
      <c r="N15" s="7">
        <v>5</v>
      </c>
      <c r="O15" s="7">
        <v>40</v>
      </c>
      <c r="P15" s="7">
        <v>39</v>
      </c>
      <c r="Q15" s="7">
        <v>7</v>
      </c>
      <c r="R15" s="7">
        <v>8.1999999999999993</v>
      </c>
      <c r="S15" s="7">
        <v>5.4813599999999996</v>
      </c>
    </row>
    <row r="16" spans="1:19" x14ac:dyDescent="0.3">
      <c r="A16" s="7" t="s">
        <v>96</v>
      </c>
      <c r="B16" s="7" t="s">
        <v>109</v>
      </c>
      <c r="C16" s="7" t="s">
        <v>144</v>
      </c>
      <c r="D16" s="7">
        <v>4</v>
      </c>
      <c r="E16" s="7">
        <v>357</v>
      </c>
      <c r="F16" s="7">
        <v>72</v>
      </c>
      <c r="G16" s="7">
        <v>13</v>
      </c>
      <c r="H16" s="7">
        <v>125</v>
      </c>
      <c r="I16" s="7" t="s">
        <v>176</v>
      </c>
      <c r="J16" s="7">
        <v>45</v>
      </c>
      <c r="K16" s="7">
        <v>3</v>
      </c>
      <c r="L16" s="7">
        <v>11</v>
      </c>
      <c r="M16" s="7">
        <v>235</v>
      </c>
      <c r="N16" s="7">
        <v>5</v>
      </c>
      <c r="O16" s="7">
        <v>50</v>
      </c>
      <c r="P16" s="7">
        <v>39</v>
      </c>
      <c r="Q16" s="7">
        <v>8</v>
      </c>
      <c r="R16" s="7">
        <v>8.1999999999999993</v>
      </c>
      <c r="S16" s="7">
        <v>6.2890000000000006</v>
      </c>
    </row>
    <row r="17" spans="1:19" x14ac:dyDescent="0.3">
      <c r="A17" s="7" t="s">
        <v>96</v>
      </c>
      <c r="B17" s="7" t="s">
        <v>109</v>
      </c>
      <c r="C17" s="7" t="s">
        <v>144</v>
      </c>
      <c r="D17" s="7">
        <v>5</v>
      </c>
      <c r="E17" s="7">
        <v>355</v>
      </c>
      <c r="F17" s="7">
        <v>64</v>
      </c>
      <c r="G17" s="7">
        <v>13</v>
      </c>
      <c r="H17" s="7">
        <v>125</v>
      </c>
      <c r="I17" s="7" t="s">
        <v>174</v>
      </c>
      <c r="J17" s="7">
        <v>42</v>
      </c>
      <c r="K17" s="7">
        <v>52</v>
      </c>
      <c r="L17" s="7">
        <v>11</v>
      </c>
      <c r="M17" s="7">
        <v>213</v>
      </c>
      <c r="N17" s="7">
        <v>5</v>
      </c>
      <c r="O17" s="7">
        <v>46.2</v>
      </c>
      <c r="P17" s="7">
        <v>40</v>
      </c>
      <c r="Q17" s="7">
        <v>8</v>
      </c>
      <c r="R17" s="7">
        <v>8.4</v>
      </c>
      <c r="S17" s="7">
        <v>5.3860320000000002</v>
      </c>
    </row>
    <row r="18" spans="1:19" x14ac:dyDescent="0.3">
      <c r="A18" s="7" t="s">
        <v>96</v>
      </c>
      <c r="B18" s="7" t="s">
        <v>109</v>
      </c>
      <c r="C18" s="7" t="s">
        <v>144</v>
      </c>
      <c r="D18" s="7">
        <v>6</v>
      </c>
      <c r="E18" s="7">
        <v>345</v>
      </c>
      <c r="F18" s="7">
        <v>66</v>
      </c>
      <c r="G18" s="7">
        <v>13</v>
      </c>
      <c r="H18" s="7">
        <v>148</v>
      </c>
      <c r="I18" s="7" t="s">
        <v>175</v>
      </c>
      <c r="J18" s="7">
        <v>43</v>
      </c>
      <c r="K18" s="7">
        <v>1</v>
      </c>
      <c r="L18" s="7">
        <v>11</v>
      </c>
      <c r="M18" s="7">
        <v>215</v>
      </c>
      <c r="N18" s="7">
        <v>6</v>
      </c>
      <c r="O18" s="7">
        <v>42.2</v>
      </c>
      <c r="P18" s="7">
        <v>39</v>
      </c>
      <c r="Q18" s="7">
        <v>8</v>
      </c>
      <c r="R18" s="7">
        <v>7.6</v>
      </c>
      <c r="S18" s="7">
        <v>7.4355840000000022</v>
      </c>
    </row>
    <row r="19" spans="1:19" x14ac:dyDescent="0.3">
      <c r="A19" s="7" t="s">
        <v>96</v>
      </c>
      <c r="B19" s="7" t="s">
        <v>109</v>
      </c>
      <c r="C19" s="7" t="s">
        <v>144</v>
      </c>
      <c r="D19" s="7">
        <v>10</v>
      </c>
      <c r="E19" s="7">
        <v>336</v>
      </c>
      <c r="F19" s="7">
        <v>67</v>
      </c>
      <c r="G19" s="7">
        <v>12</v>
      </c>
      <c r="H19" s="7">
        <v>124</v>
      </c>
      <c r="I19" s="7" t="s">
        <v>179</v>
      </c>
      <c r="J19" s="7">
        <v>41</v>
      </c>
      <c r="K19" s="7">
        <v>51</v>
      </c>
      <c r="L19" s="7">
        <v>11</v>
      </c>
      <c r="M19" s="7">
        <v>190</v>
      </c>
      <c r="N19" s="7">
        <v>7</v>
      </c>
      <c r="O19" s="7">
        <v>52</v>
      </c>
      <c r="P19" s="7">
        <v>40</v>
      </c>
      <c r="Q19" s="7">
        <v>8</v>
      </c>
      <c r="R19" s="7">
        <v>8</v>
      </c>
      <c r="S19" s="7">
        <v>7.6739039999999994</v>
      </c>
    </row>
    <row r="20" spans="1:19" x14ac:dyDescent="0.3">
      <c r="A20" s="7" t="s">
        <v>96</v>
      </c>
      <c r="B20" s="7" t="s">
        <v>109</v>
      </c>
      <c r="C20" s="7" t="s">
        <v>144</v>
      </c>
      <c r="D20" s="7">
        <v>11</v>
      </c>
      <c r="E20" s="7">
        <v>305</v>
      </c>
      <c r="F20" s="7">
        <v>62</v>
      </c>
      <c r="G20" s="7">
        <v>13</v>
      </c>
      <c r="H20" s="7">
        <v>110</v>
      </c>
      <c r="I20" s="7" t="s">
        <v>178</v>
      </c>
      <c r="J20" s="7">
        <v>46</v>
      </c>
      <c r="K20" s="7">
        <v>4</v>
      </c>
      <c r="L20" s="7">
        <v>11</v>
      </c>
      <c r="M20" s="7">
        <v>173</v>
      </c>
      <c r="N20" s="7">
        <v>5</v>
      </c>
      <c r="O20" s="7">
        <v>39</v>
      </c>
      <c r="P20" s="7">
        <v>38</v>
      </c>
      <c r="Q20" s="7">
        <v>7</v>
      </c>
      <c r="R20" s="7">
        <v>7.8</v>
      </c>
      <c r="S20" s="7">
        <v>4.448640000000001</v>
      </c>
    </row>
    <row r="21" spans="1:19" x14ac:dyDescent="0.3">
      <c r="A21" s="7" t="s">
        <v>96</v>
      </c>
      <c r="B21" s="7" t="s">
        <v>109</v>
      </c>
      <c r="C21" s="7" t="s">
        <v>144</v>
      </c>
      <c r="D21" s="7">
        <v>12</v>
      </c>
      <c r="E21" s="7">
        <v>305</v>
      </c>
      <c r="F21" s="7">
        <v>62</v>
      </c>
      <c r="G21" s="7">
        <v>13</v>
      </c>
      <c r="H21" s="7">
        <v>110</v>
      </c>
      <c r="I21" s="7" t="s">
        <v>178</v>
      </c>
      <c r="J21" s="7">
        <v>46</v>
      </c>
      <c r="K21" s="7">
        <v>4</v>
      </c>
      <c r="L21" s="7">
        <v>11</v>
      </c>
      <c r="M21" s="7">
        <v>184</v>
      </c>
      <c r="N21" s="7">
        <v>4</v>
      </c>
      <c r="O21" s="7">
        <v>38.9</v>
      </c>
      <c r="P21" s="7">
        <v>37</v>
      </c>
      <c r="Q21" s="7">
        <v>7</v>
      </c>
      <c r="R21" s="7">
        <v>8.1999999999999993</v>
      </c>
      <c r="S21" s="7">
        <v>4.3952563200000014</v>
      </c>
    </row>
    <row r="22" spans="1:19" x14ac:dyDescent="0.3">
      <c r="A22" s="7" t="s">
        <v>96</v>
      </c>
      <c r="B22" s="7" t="s">
        <v>109</v>
      </c>
      <c r="C22" s="7" t="s">
        <v>144</v>
      </c>
      <c r="D22" s="7">
        <v>13</v>
      </c>
      <c r="E22" s="7">
        <v>298</v>
      </c>
      <c r="F22" s="7">
        <v>58</v>
      </c>
      <c r="G22" s="7">
        <v>13</v>
      </c>
      <c r="H22" s="7">
        <v>102</v>
      </c>
      <c r="I22" s="7" t="s">
        <v>176</v>
      </c>
      <c r="J22" s="7">
        <v>45</v>
      </c>
      <c r="K22" s="7">
        <v>3</v>
      </c>
      <c r="L22" s="7">
        <v>11</v>
      </c>
      <c r="M22" s="7">
        <v>160</v>
      </c>
      <c r="N22" s="7">
        <v>5</v>
      </c>
      <c r="O22" s="7">
        <v>36</v>
      </c>
      <c r="P22" s="7">
        <v>38</v>
      </c>
      <c r="Q22" s="7">
        <v>6</v>
      </c>
      <c r="R22" s="7">
        <v>7.8</v>
      </c>
      <c r="S22" s="7">
        <v>5.2960000000000003</v>
      </c>
    </row>
    <row r="23" spans="1:19" x14ac:dyDescent="0.3">
      <c r="A23" s="7" t="s">
        <v>96</v>
      </c>
      <c r="B23" s="7" t="s">
        <v>109</v>
      </c>
      <c r="C23" s="7" t="s">
        <v>144</v>
      </c>
      <c r="D23" s="7">
        <v>14</v>
      </c>
      <c r="E23" s="7">
        <v>318</v>
      </c>
      <c r="F23" s="7">
        <v>65</v>
      </c>
      <c r="G23" s="7">
        <v>13</v>
      </c>
      <c r="H23" s="7">
        <v>105</v>
      </c>
      <c r="I23" s="7" t="s">
        <v>176</v>
      </c>
      <c r="J23" s="7">
        <v>45</v>
      </c>
      <c r="K23" s="7">
        <v>3</v>
      </c>
      <c r="L23" s="7">
        <v>10</v>
      </c>
      <c r="M23" s="7">
        <v>175</v>
      </c>
      <c r="N23" s="7">
        <v>6</v>
      </c>
      <c r="O23" s="7">
        <v>42.7</v>
      </c>
      <c r="P23" s="7">
        <v>37</v>
      </c>
      <c r="Q23" s="7">
        <v>7</v>
      </c>
      <c r="R23" s="7">
        <v>7.8</v>
      </c>
      <c r="S23" s="7">
        <v>6.7238016000000007</v>
      </c>
    </row>
    <row r="24" spans="1:19" x14ac:dyDescent="0.3">
      <c r="A24" s="7" t="s">
        <v>96</v>
      </c>
      <c r="B24" s="7" t="s">
        <v>99</v>
      </c>
      <c r="C24" s="7" t="s">
        <v>147</v>
      </c>
      <c r="D24" s="7">
        <v>1</v>
      </c>
      <c r="E24" s="7">
        <v>380</v>
      </c>
      <c r="F24" s="7">
        <v>73</v>
      </c>
      <c r="G24" s="7">
        <v>12</v>
      </c>
      <c r="H24" s="7">
        <v>185</v>
      </c>
      <c r="I24" s="7" t="s">
        <v>173</v>
      </c>
      <c r="J24" s="7">
        <v>47</v>
      </c>
      <c r="K24" s="7">
        <v>5</v>
      </c>
      <c r="L24" s="7">
        <v>11</v>
      </c>
      <c r="M24" s="7">
        <v>235</v>
      </c>
      <c r="N24" s="7">
        <v>7</v>
      </c>
      <c r="O24" s="7">
        <v>50</v>
      </c>
      <c r="P24" s="7">
        <v>37</v>
      </c>
      <c r="Q24" s="7">
        <v>8</v>
      </c>
      <c r="R24" s="7">
        <v>8</v>
      </c>
      <c r="S24" s="7">
        <v>7.6739039999999994</v>
      </c>
    </row>
    <row r="25" spans="1:19" x14ac:dyDescent="0.3">
      <c r="A25" s="7" t="s">
        <v>96</v>
      </c>
      <c r="B25" s="7" t="s">
        <v>99</v>
      </c>
      <c r="C25" s="7" t="s">
        <v>147</v>
      </c>
      <c r="D25" s="7">
        <v>2</v>
      </c>
      <c r="E25" s="7">
        <v>327</v>
      </c>
      <c r="F25" s="7">
        <v>66</v>
      </c>
      <c r="G25" s="7">
        <v>12</v>
      </c>
      <c r="H25" s="7">
        <v>88</v>
      </c>
      <c r="I25" s="7" t="s">
        <v>180</v>
      </c>
      <c r="J25" s="7">
        <v>48</v>
      </c>
      <c r="K25" s="7">
        <v>6</v>
      </c>
      <c r="L25" s="7">
        <v>11</v>
      </c>
      <c r="M25" s="7">
        <v>140</v>
      </c>
      <c r="N25" s="7">
        <v>7</v>
      </c>
      <c r="O25" s="7">
        <v>40</v>
      </c>
      <c r="P25" s="7">
        <v>39</v>
      </c>
      <c r="Q25" s="7">
        <v>8</v>
      </c>
      <c r="R25" s="7">
        <v>8</v>
      </c>
      <c r="S25" s="7">
        <v>8.2707631999999993</v>
      </c>
    </row>
    <row r="26" spans="1:19" x14ac:dyDescent="0.3">
      <c r="A26" s="7" t="s">
        <v>96</v>
      </c>
      <c r="B26" s="7" t="s">
        <v>99</v>
      </c>
      <c r="C26" s="7" t="s">
        <v>147</v>
      </c>
      <c r="D26" s="7">
        <v>3</v>
      </c>
      <c r="E26" s="7">
        <v>378</v>
      </c>
      <c r="F26" s="7">
        <v>74</v>
      </c>
      <c r="G26" s="7">
        <v>16</v>
      </c>
      <c r="H26" s="7">
        <v>100</v>
      </c>
      <c r="I26" s="7" t="s">
        <v>176</v>
      </c>
      <c r="J26" s="7">
        <v>45</v>
      </c>
      <c r="K26" s="7">
        <v>3</v>
      </c>
      <c r="L26" s="7">
        <v>11</v>
      </c>
      <c r="M26" s="7">
        <v>183</v>
      </c>
      <c r="N26" s="7">
        <v>7</v>
      </c>
      <c r="O26" s="7">
        <v>51</v>
      </c>
      <c r="P26" s="7">
        <v>39</v>
      </c>
      <c r="Q26" s="7">
        <v>8</v>
      </c>
      <c r="R26" s="7">
        <v>8</v>
      </c>
      <c r="S26" s="7">
        <v>9.1567840000000018</v>
      </c>
    </row>
    <row r="27" spans="1:19" x14ac:dyDescent="0.3">
      <c r="A27" s="7" t="s">
        <v>96</v>
      </c>
      <c r="B27" s="7" t="s">
        <v>99</v>
      </c>
      <c r="C27" s="7" t="s">
        <v>147</v>
      </c>
      <c r="D27" s="7">
        <v>4</v>
      </c>
      <c r="E27" s="7">
        <v>305</v>
      </c>
      <c r="F27" s="7">
        <v>63</v>
      </c>
      <c r="G27" s="7">
        <v>13</v>
      </c>
      <c r="H27" s="7">
        <v>130</v>
      </c>
      <c r="I27" s="7" t="s">
        <v>175</v>
      </c>
      <c r="J27" s="7">
        <v>43</v>
      </c>
      <c r="K27" s="7">
        <v>1</v>
      </c>
      <c r="L27" s="7">
        <v>11</v>
      </c>
      <c r="M27" s="7">
        <v>195</v>
      </c>
      <c r="N27" s="7">
        <v>5</v>
      </c>
      <c r="O27" s="7">
        <v>35.1</v>
      </c>
      <c r="P27" s="7">
        <v>37</v>
      </c>
      <c r="Q27" s="7">
        <v>7</v>
      </c>
      <c r="R27" s="7">
        <v>8.1999999999999993</v>
      </c>
      <c r="S27" s="7">
        <v>5.3595520000000008</v>
      </c>
    </row>
    <row r="28" spans="1:19" x14ac:dyDescent="0.3">
      <c r="A28" s="7" t="s">
        <v>96</v>
      </c>
      <c r="B28" s="7" t="s">
        <v>99</v>
      </c>
      <c r="C28" s="7" t="s">
        <v>147</v>
      </c>
      <c r="D28" s="7">
        <v>5</v>
      </c>
      <c r="E28" s="7">
        <v>360</v>
      </c>
      <c r="F28" s="7">
        <v>71</v>
      </c>
      <c r="G28" s="7">
        <v>13</v>
      </c>
      <c r="H28" s="7">
        <v>140</v>
      </c>
      <c r="I28" s="7" t="s">
        <v>175</v>
      </c>
      <c r="J28" s="7">
        <v>43</v>
      </c>
      <c r="K28" s="7">
        <v>1</v>
      </c>
      <c r="L28" s="7">
        <v>11</v>
      </c>
      <c r="M28" s="7">
        <v>210</v>
      </c>
      <c r="N28" s="7">
        <v>4</v>
      </c>
      <c r="O28" s="7">
        <v>51.5</v>
      </c>
      <c r="P28" s="7">
        <v>39</v>
      </c>
      <c r="Q28" s="7">
        <v>8</v>
      </c>
      <c r="R28" s="7">
        <v>8</v>
      </c>
      <c r="S28" s="7">
        <v>5.9315199999999999</v>
      </c>
    </row>
    <row r="29" spans="1:19" x14ac:dyDescent="0.3">
      <c r="A29" s="7" t="s">
        <v>96</v>
      </c>
      <c r="B29" s="7" t="s">
        <v>99</v>
      </c>
      <c r="C29" s="7" t="s">
        <v>147</v>
      </c>
      <c r="D29" s="7">
        <v>6</v>
      </c>
      <c r="E29" s="7">
        <v>366</v>
      </c>
      <c r="F29" s="7">
        <v>69</v>
      </c>
      <c r="G29" s="7">
        <v>13</v>
      </c>
      <c r="H29" s="7">
        <v>120</v>
      </c>
      <c r="I29" s="7" t="s">
        <v>177</v>
      </c>
      <c r="J29" s="7">
        <v>44</v>
      </c>
      <c r="K29" s="7">
        <v>2</v>
      </c>
      <c r="L29" s="7">
        <v>11</v>
      </c>
      <c r="M29" s="7">
        <v>200</v>
      </c>
      <c r="N29" s="7">
        <v>5</v>
      </c>
      <c r="O29" s="7">
        <v>51.3</v>
      </c>
      <c r="P29" s="7">
        <v>39</v>
      </c>
      <c r="Q29" s="7">
        <v>8</v>
      </c>
      <c r="R29" s="7">
        <v>8.1999999999999993</v>
      </c>
      <c r="S29" s="7">
        <v>5.8467840000000004</v>
      </c>
    </row>
    <row r="30" spans="1:19" x14ac:dyDescent="0.3">
      <c r="A30" s="7" t="s">
        <v>96</v>
      </c>
      <c r="B30" s="7" t="s">
        <v>99</v>
      </c>
      <c r="C30" s="7" t="s">
        <v>147</v>
      </c>
      <c r="D30" s="7">
        <v>7</v>
      </c>
      <c r="E30" s="7">
        <v>361</v>
      </c>
      <c r="F30" s="7">
        <v>62</v>
      </c>
      <c r="G30" s="7">
        <v>12</v>
      </c>
      <c r="H30" s="7">
        <v>90</v>
      </c>
      <c r="I30" s="7" t="s">
        <v>177</v>
      </c>
      <c r="J30" s="7">
        <v>44</v>
      </c>
      <c r="K30" s="7">
        <v>2</v>
      </c>
      <c r="L30" s="7">
        <v>11</v>
      </c>
      <c r="M30" s="7">
        <v>155</v>
      </c>
      <c r="N30" s="7">
        <v>6</v>
      </c>
      <c r="O30" s="7">
        <v>40.700000000000003</v>
      </c>
      <c r="P30" s="7">
        <v>38</v>
      </c>
      <c r="Q30" s="7">
        <v>7</v>
      </c>
      <c r="R30" s="7">
        <v>8</v>
      </c>
      <c r="S30" s="7">
        <v>7.0161408000000014</v>
      </c>
    </row>
    <row r="31" spans="1:19" x14ac:dyDescent="0.3">
      <c r="A31" s="7" t="s">
        <v>96</v>
      </c>
      <c r="B31" s="7" t="s">
        <v>99</v>
      </c>
      <c r="C31" s="7" t="s">
        <v>147</v>
      </c>
      <c r="D31" s="7">
        <v>8</v>
      </c>
      <c r="E31" s="7">
        <v>325</v>
      </c>
      <c r="F31" s="7">
        <v>65</v>
      </c>
      <c r="G31" s="7">
        <v>14</v>
      </c>
      <c r="H31" s="7">
        <v>110</v>
      </c>
      <c r="I31" s="7" t="s">
        <v>178</v>
      </c>
      <c r="J31" s="7">
        <v>46</v>
      </c>
      <c r="K31" s="7">
        <v>4</v>
      </c>
      <c r="L31" s="7">
        <v>12</v>
      </c>
      <c r="M31" s="7">
        <v>170</v>
      </c>
      <c r="N31" s="7">
        <v>5</v>
      </c>
      <c r="O31" s="7">
        <v>31.3</v>
      </c>
      <c r="P31" s="7">
        <v>36</v>
      </c>
      <c r="Q31" s="7">
        <v>7</v>
      </c>
      <c r="R31" s="7">
        <v>7.4</v>
      </c>
      <c r="S31" s="7">
        <v>5.3595520000000008</v>
      </c>
    </row>
    <row r="32" spans="1:19" x14ac:dyDescent="0.3">
      <c r="A32" s="7" t="s">
        <v>96</v>
      </c>
      <c r="B32" s="7" t="s">
        <v>99</v>
      </c>
      <c r="C32" s="7" t="s">
        <v>147</v>
      </c>
      <c r="D32" s="7">
        <v>12</v>
      </c>
      <c r="E32" s="7">
        <v>330</v>
      </c>
      <c r="F32" s="7">
        <v>64</v>
      </c>
      <c r="G32" s="7">
        <v>12</v>
      </c>
      <c r="H32" s="7">
        <v>135</v>
      </c>
      <c r="I32" s="7" t="s">
        <v>176</v>
      </c>
      <c r="J32" s="7">
        <v>45</v>
      </c>
      <c r="K32" s="7">
        <v>3</v>
      </c>
      <c r="L32" s="7">
        <v>11</v>
      </c>
      <c r="M32" s="7">
        <v>190</v>
      </c>
      <c r="N32" s="7">
        <v>5</v>
      </c>
      <c r="O32" s="7">
        <v>48.1</v>
      </c>
      <c r="P32" s="7">
        <v>38</v>
      </c>
      <c r="Q32" s="7">
        <v>8</v>
      </c>
      <c r="R32" s="7">
        <v>8</v>
      </c>
      <c r="S32" s="7">
        <v>4.7875839999999998</v>
      </c>
    </row>
    <row r="33" spans="1:19" x14ac:dyDescent="0.3">
      <c r="A33" s="7" t="s">
        <v>96</v>
      </c>
      <c r="B33" s="7" t="s">
        <v>99</v>
      </c>
      <c r="C33" s="7" t="s">
        <v>147</v>
      </c>
      <c r="D33" s="7">
        <v>13</v>
      </c>
      <c r="E33" s="7">
        <v>362</v>
      </c>
      <c r="F33" s="7">
        <v>69</v>
      </c>
      <c r="G33" s="7">
        <v>14</v>
      </c>
      <c r="H33" s="7">
        <v>83</v>
      </c>
      <c r="I33" s="7" t="s">
        <v>177</v>
      </c>
      <c r="J33" s="7">
        <v>44</v>
      </c>
      <c r="K33" s="7">
        <v>2</v>
      </c>
      <c r="L33" s="7">
        <v>11</v>
      </c>
      <c r="M33" s="7">
        <v>172</v>
      </c>
      <c r="N33" s="7">
        <v>7</v>
      </c>
      <c r="O33" s="7">
        <v>50.5</v>
      </c>
      <c r="P33" s="7">
        <v>39</v>
      </c>
      <c r="Q33" s="7">
        <v>8</v>
      </c>
      <c r="R33" s="7">
        <v>8</v>
      </c>
      <c r="S33" s="7">
        <v>8.0965248000000027</v>
      </c>
    </row>
    <row r="34" spans="1:19" x14ac:dyDescent="0.3">
      <c r="A34" s="7" t="s">
        <v>96</v>
      </c>
      <c r="B34" s="7" t="s">
        <v>99</v>
      </c>
      <c r="C34" s="7" t="s">
        <v>147</v>
      </c>
      <c r="D34" s="7">
        <v>14</v>
      </c>
      <c r="E34" s="7">
        <v>337</v>
      </c>
      <c r="F34" s="7">
        <v>69</v>
      </c>
      <c r="G34" s="7">
        <v>13</v>
      </c>
      <c r="H34" s="7">
        <v>95</v>
      </c>
      <c r="I34" s="7" t="s">
        <v>175</v>
      </c>
      <c r="J34" s="7">
        <v>43</v>
      </c>
      <c r="K34" s="7">
        <v>1</v>
      </c>
      <c r="L34" s="7">
        <v>11</v>
      </c>
      <c r="M34" s="7">
        <v>158</v>
      </c>
      <c r="N34" s="7">
        <v>7</v>
      </c>
      <c r="O34" s="7">
        <v>46.7</v>
      </c>
      <c r="P34" s="7">
        <v>37</v>
      </c>
      <c r="Q34" s="7">
        <v>8</v>
      </c>
      <c r="R34" s="7">
        <v>7.6</v>
      </c>
      <c r="S34" s="7">
        <v>9.3243494400000024</v>
      </c>
    </row>
    <row r="35" spans="1:19" x14ac:dyDescent="0.3">
      <c r="A35" s="7" t="s">
        <v>96</v>
      </c>
      <c r="B35" s="7" t="s">
        <v>109</v>
      </c>
      <c r="C35" s="7" t="s">
        <v>146</v>
      </c>
      <c r="D35" s="7">
        <v>1</v>
      </c>
      <c r="E35" s="7">
        <v>383</v>
      </c>
      <c r="F35" s="7">
        <v>78</v>
      </c>
      <c r="G35" s="7">
        <v>15</v>
      </c>
      <c r="H35" s="7">
        <v>180</v>
      </c>
      <c r="I35" s="7" t="s">
        <v>176</v>
      </c>
      <c r="J35" s="7">
        <v>45</v>
      </c>
      <c r="K35" s="7">
        <v>3</v>
      </c>
      <c r="L35" s="7">
        <v>10</v>
      </c>
      <c r="M35" s="7">
        <v>237</v>
      </c>
      <c r="N35" s="7">
        <v>7</v>
      </c>
      <c r="O35" s="7">
        <v>58.7</v>
      </c>
      <c r="P35" s="7">
        <v>39</v>
      </c>
      <c r="Q35" s="7">
        <v>8</v>
      </c>
      <c r="R35" s="7">
        <v>9</v>
      </c>
      <c r="S35" s="7">
        <v>9.8314944000000004</v>
      </c>
    </row>
    <row r="36" spans="1:19" x14ac:dyDescent="0.3">
      <c r="A36" s="7" t="s">
        <v>96</v>
      </c>
      <c r="B36" s="7" t="s">
        <v>109</v>
      </c>
      <c r="C36" s="7" t="s">
        <v>146</v>
      </c>
      <c r="D36" s="7">
        <v>3</v>
      </c>
      <c r="E36" s="7">
        <v>334</v>
      </c>
      <c r="F36" s="7">
        <v>68</v>
      </c>
      <c r="G36" s="7">
        <v>14</v>
      </c>
      <c r="H36" s="7">
        <v>130</v>
      </c>
      <c r="I36" s="7" t="s">
        <v>178</v>
      </c>
      <c r="J36" s="7">
        <v>46</v>
      </c>
      <c r="K36" s="7">
        <v>4</v>
      </c>
      <c r="L36" s="7">
        <v>11</v>
      </c>
      <c r="M36" s="7">
        <v>190</v>
      </c>
      <c r="N36" s="7">
        <v>5</v>
      </c>
      <c r="O36" s="7">
        <v>46</v>
      </c>
      <c r="P36" s="7">
        <v>38</v>
      </c>
      <c r="Q36" s="7">
        <v>7</v>
      </c>
      <c r="R36" s="7">
        <v>8.4</v>
      </c>
      <c r="S36" s="7">
        <v>6.2386879999999998</v>
      </c>
    </row>
    <row r="37" spans="1:19" x14ac:dyDescent="0.3">
      <c r="A37" s="7" t="s">
        <v>96</v>
      </c>
      <c r="B37" s="7" t="s">
        <v>109</v>
      </c>
      <c r="C37" s="7" t="s">
        <v>146</v>
      </c>
      <c r="D37" s="7">
        <v>4</v>
      </c>
      <c r="E37" s="7">
        <v>350</v>
      </c>
      <c r="F37" s="7">
        <v>71</v>
      </c>
      <c r="G37" s="7">
        <v>12</v>
      </c>
      <c r="H37" s="7">
        <v>168</v>
      </c>
      <c r="I37" s="7" t="s">
        <v>180</v>
      </c>
      <c r="J37" s="7">
        <v>40</v>
      </c>
      <c r="K37" s="7">
        <v>50</v>
      </c>
      <c r="L37" s="7">
        <v>11</v>
      </c>
      <c r="M37" s="7">
        <v>215</v>
      </c>
      <c r="N37" s="7">
        <v>6</v>
      </c>
      <c r="O37" s="7">
        <v>52.4</v>
      </c>
      <c r="P37" s="7">
        <v>39</v>
      </c>
      <c r="Q37" s="7">
        <v>8</v>
      </c>
      <c r="R37" s="7">
        <v>8</v>
      </c>
      <c r="S37" s="7">
        <v>7.7851200000000018</v>
      </c>
    </row>
    <row r="38" spans="1:19" x14ac:dyDescent="0.3">
      <c r="A38" s="7" t="s">
        <v>96</v>
      </c>
      <c r="B38" s="7" t="s">
        <v>109</v>
      </c>
      <c r="C38" s="7" t="s">
        <v>146</v>
      </c>
      <c r="D38" s="7">
        <v>5</v>
      </c>
      <c r="E38" s="7">
        <v>330</v>
      </c>
      <c r="F38" s="7">
        <v>64</v>
      </c>
      <c r="G38" s="7">
        <v>11</v>
      </c>
      <c r="H38" s="7">
        <v>165</v>
      </c>
      <c r="I38" s="7" t="s">
        <v>180</v>
      </c>
      <c r="J38" s="7">
        <v>40</v>
      </c>
      <c r="K38" s="7">
        <v>50</v>
      </c>
      <c r="L38" s="7">
        <v>11</v>
      </c>
      <c r="M38" s="7">
        <v>215</v>
      </c>
      <c r="N38" s="7">
        <v>6</v>
      </c>
      <c r="O38" s="7">
        <v>48</v>
      </c>
      <c r="P38" s="7">
        <v>40</v>
      </c>
      <c r="Q38" s="7">
        <v>8</v>
      </c>
      <c r="R38" s="7">
        <v>7.8</v>
      </c>
      <c r="S38" s="7">
        <v>6.7206240000000008</v>
      </c>
    </row>
    <row r="39" spans="1:19" x14ac:dyDescent="0.3">
      <c r="A39" s="7" t="s">
        <v>96</v>
      </c>
      <c r="B39" s="7" t="s">
        <v>109</v>
      </c>
      <c r="C39" s="7" t="s">
        <v>146</v>
      </c>
      <c r="D39" s="7">
        <v>6</v>
      </c>
      <c r="E39" s="7">
        <v>325</v>
      </c>
      <c r="F39" s="7">
        <v>61</v>
      </c>
      <c r="G39" s="7">
        <v>13</v>
      </c>
      <c r="H39" s="7">
        <v>95</v>
      </c>
      <c r="I39" s="7" t="s">
        <v>176</v>
      </c>
      <c r="J39" s="7">
        <v>45</v>
      </c>
      <c r="K39" s="7">
        <v>3</v>
      </c>
      <c r="L39" s="7">
        <v>11</v>
      </c>
      <c r="M39" s="7">
        <v>164</v>
      </c>
      <c r="N39" s="7">
        <v>4</v>
      </c>
      <c r="O39" s="7">
        <v>43.3</v>
      </c>
      <c r="P39" s="7">
        <v>39</v>
      </c>
      <c r="Q39" s="7">
        <v>7</v>
      </c>
      <c r="R39" s="7">
        <v>8.1999999999999993</v>
      </c>
      <c r="S39" s="7">
        <v>4.0037760000000011</v>
      </c>
    </row>
    <row r="40" spans="1:19" x14ac:dyDescent="0.3">
      <c r="A40" s="7" t="s">
        <v>96</v>
      </c>
      <c r="B40" s="7" t="s">
        <v>109</v>
      </c>
      <c r="C40" s="7" t="s">
        <v>146</v>
      </c>
      <c r="D40" s="7">
        <v>7</v>
      </c>
      <c r="E40" s="7">
        <v>345</v>
      </c>
      <c r="F40" s="7">
        <v>66</v>
      </c>
      <c r="G40" s="7">
        <v>11</v>
      </c>
      <c r="H40" s="7">
        <v>144</v>
      </c>
      <c r="I40" s="7" t="s">
        <v>173</v>
      </c>
      <c r="J40" s="7">
        <v>39</v>
      </c>
      <c r="K40" s="7">
        <v>49</v>
      </c>
      <c r="L40" s="7">
        <v>11</v>
      </c>
      <c r="M40" s="7">
        <v>175</v>
      </c>
      <c r="N40" s="7">
        <v>8</v>
      </c>
      <c r="O40" s="7">
        <v>49</v>
      </c>
      <c r="P40" s="7">
        <v>40</v>
      </c>
      <c r="Q40" s="7">
        <v>8</v>
      </c>
      <c r="R40" s="7">
        <v>8.1999999999999993</v>
      </c>
      <c r="S40" s="7">
        <v>9.5497472000000023</v>
      </c>
    </row>
    <row r="41" spans="1:19" x14ac:dyDescent="0.3">
      <c r="A41" s="7" t="s">
        <v>96</v>
      </c>
      <c r="B41" s="7" t="s">
        <v>109</v>
      </c>
      <c r="C41" s="7" t="s">
        <v>146</v>
      </c>
      <c r="D41" s="7">
        <v>8</v>
      </c>
      <c r="E41" s="7">
        <v>370</v>
      </c>
      <c r="F41" s="7">
        <v>69</v>
      </c>
      <c r="G41" s="7">
        <v>14</v>
      </c>
      <c r="H41" s="7">
        <v>125</v>
      </c>
      <c r="I41" s="7" t="s">
        <v>175</v>
      </c>
      <c r="J41" s="7">
        <v>42</v>
      </c>
      <c r="K41" s="7">
        <v>52</v>
      </c>
      <c r="L41" s="7">
        <v>11</v>
      </c>
      <c r="M41" s="7">
        <v>198</v>
      </c>
      <c r="N41" s="7">
        <v>4</v>
      </c>
      <c r="O41" s="7">
        <v>53.5</v>
      </c>
      <c r="P41" s="7">
        <v>39</v>
      </c>
      <c r="Q41" s="7">
        <v>8</v>
      </c>
      <c r="R41" s="7">
        <v>7.6</v>
      </c>
      <c r="S41" s="7">
        <v>4.1414720000000003</v>
      </c>
    </row>
    <row r="42" spans="1:19" x14ac:dyDescent="0.3">
      <c r="A42" s="7" t="s">
        <v>96</v>
      </c>
      <c r="B42" s="7" t="s">
        <v>109</v>
      </c>
      <c r="C42" s="7" t="s">
        <v>146</v>
      </c>
      <c r="D42" s="7">
        <v>9</v>
      </c>
      <c r="E42" s="7">
        <v>363</v>
      </c>
      <c r="F42" s="7">
        <v>70</v>
      </c>
      <c r="G42" s="7">
        <v>12</v>
      </c>
      <c r="H42" s="7">
        <v>100</v>
      </c>
      <c r="I42" s="7" t="s">
        <v>174</v>
      </c>
      <c r="J42" s="7">
        <v>42</v>
      </c>
      <c r="K42" s="7">
        <v>52</v>
      </c>
      <c r="L42" s="7">
        <v>11</v>
      </c>
      <c r="M42" s="7">
        <v>180</v>
      </c>
      <c r="N42" s="7">
        <v>5</v>
      </c>
      <c r="O42" s="7">
        <v>52</v>
      </c>
      <c r="P42" s="7">
        <v>39</v>
      </c>
      <c r="Q42" s="7">
        <v>8</v>
      </c>
      <c r="R42" s="7">
        <v>8</v>
      </c>
      <c r="S42" s="7">
        <v>5.9421119999999998</v>
      </c>
    </row>
    <row r="43" spans="1:19" x14ac:dyDescent="0.3">
      <c r="A43" s="7" t="s">
        <v>96</v>
      </c>
      <c r="B43" s="7" t="s">
        <v>109</v>
      </c>
      <c r="C43" s="7" t="s">
        <v>146</v>
      </c>
      <c r="D43" s="7">
        <v>12</v>
      </c>
      <c r="E43" s="7">
        <v>350</v>
      </c>
      <c r="F43" s="7">
        <v>63</v>
      </c>
      <c r="G43" s="7">
        <v>12</v>
      </c>
      <c r="H43" s="7">
        <v>156</v>
      </c>
      <c r="I43" s="7" t="s">
        <v>174</v>
      </c>
      <c r="J43" s="7">
        <v>42</v>
      </c>
      <c r="K43" s="7">
        <v>52</v>
      </c>
      <c r="L43" s="7">
        <v>11</v>
      </c>
      <c r="M43" s="7">
        <v>185</v>
      </c>
      <c r="N43" s="7">
        <v>6</v>
      </c>
      <c r="O43" s="7">
        <v>42</v>
      </c>
      <c r="P43" s="7">
        <v>39</v>
      </c>
      <c r="Q43" s="7">
        <v>7</v>
      </c>
      <c r="R43" s="7">
        <v>7.4</v>
      </c>
      <c r="S43" s="7">
        <v>6.7110912000000011</v>
      </c>
    </row>
    <row r="44" spans="1:19" x14ac:dyDescent="0.3">
      <c r="A44" s="7" t="s">
        <v>96</v>
      </c>
      <c r="B44" s="7" t="s">
        <v>109</v>
      </c>
      <c r="C44" s="7" t="s">
        <v>146</v>
      </c>
      <c r="D44" s="7">
        <v>13</v>
      </c>
      <c r="E44" s="7">
        <v>365</v>
      </c>
      <c r="F44" s="7">
        <v>72</v>
      </c>
      <c r="G44" s="7">
        <v>13</v>
      </c>
      <c r="H44" s="7">
        <v>110</v>
      </c>
      <c r="I44" s="7" t="s">
        <v>178</v>
      </c>
      <c r="J44" s="7">
        <v>46</v>
      </c>
      <c r="K44" s="7">
        <v>4</v>
      </c>
      <c r="L44" s="7">
        <v>11</v>
      </c>
      <c r="M44" s="7">
        <v>200</v>
      </c>
      <c r="N44" s="7">
        <v>5</v>
      </c>
      <c r="O44" s="7">
        <v>49.5</v>
      </c>
      <c r="P44" s="7">
        <v>38</v>
      </c>
      <c r="Q44" s="7">
        <v>8</v>
      </c>
      <c r="R44" s="7">
        <v>8.1999999999999993</v>
      </c>
      <c r="S44" s="7">
        <v>5.9580000000000002</v>
      </c>
    </row>
    <row r="45" spans="1:19" x14ac:dyDescent="0.3">
      <c r="A45" s="7" t="s">
        <v>96</v>
      </c>
      <c r="B45" s="7" t="s">
        <v>109</v>
      </c>
      <c r="C45" s="7" t="s">
        <v>146</v>
      </c>
      <c r="D45" s="7">
        <v>14</v>
      </c>
      <c r="E45" s="7">
        <v>367</v>
      </c>
      <c r="F45" s="7">
        <v>68</v>
      </c>
      <c r="G45" s="7">
        <v>12</v>
      </c>
      <c r="H45" s="7">
        <v>170</v>
      </c>
      <c r="I45" s="7" t="s">
        <v>179</v>
      </c>
      <c r="J45" s="7">
        <v>41</v>
      </c>
      <c r="K45" s="7">
        <v>51</v>
      </c>
      <c r="L45" s="7">
        <v>11</v>
      </c>
      <c r="M45" s="7">
        <v>230</v>
      </c>
      <c r="N45" s="7">
        <v>8</v>
      </c>
      <c r="O45" s="7">
        <v>53.5</v>
      </c>
      <c r="P45" s="7">
        <v>40</v>
      </c>
      <c r="Q45" s="7">
        <v>8</v>
      </c>
      <c r="R45" s="7">
        <v>8.4</v>
      </c>
      <c r="S45" s="7">
        <v>8.7701759999999993</v>
      </c>
    </row>
    <row r="46" spans="1:19" x14ac:dyDescent="0.3">
      <c r="A46" s="7" t="s">
        <v>96</v>
      </c>
      <c r="B46" s="7" t="s">
        <v>99</v>
      </c>
      <c r="C46" s="7" t="s">
        <v>144</v>
      </c>
      <c r="D46" s="7">
        <v>1</v>
      </c>
      <c r="E46" s="7">
        <v>351</v>
      </c>
      <c r="F46" s="7">
        <v>70</v>
      </c>
      <c r="G46" s="7">
        <v>13</v>
      </c>
      <c r="H46" s="7">
        <v>110</v>
      </c>
      <c r="I46" s="7" t="s">
        <v>175</v>
      </c>
      <c r="J46" s="7">
        <v>43</v>
      </c>
      <c r="K46" s="7">
        <v>1</v>
      </c>
      <c r="L46" s="7">
        <v>11</v>
      </c>
      <c r="M46" s="7">
        <v>170</v>
      </c>
      <c r="N46" s="7">
        <v>5</v>
      </c>
      <c r="O46" s="7">
        <v>52</v>
      </c>
      <c r="P46" s="7">
        <v>39</v>
      </c>
      <c r="Q46" s="7">
        <v>8</v>
      </c>
      <c r="R46" s="7">
        <v>8.1999999999999993</v>
      </c>
      <c r="S46" s="7">
        <v>6.3578480000000006</v>
      </c>
    </row>
    <row r="47" spans="1:19" x14ac:dyDescent="0.3">
      <c r="A47" s="7" t="s">
        <v>96</v>
      </c>
      <c r="B47" s="7" t="s">
        <v>99</v>
      </c>
      <c r="C47" s="7" t="s">
        <v>144</v>
      </c>
      <c r="D47" s="7">
        <v>2</v>
      </c>
      <c r="E47" s="7">
        <v>305</v>
      </c>
      <c r="F47" s="7">
        <v>60</v>
      </c>
      <c r="G47" s="7">
        <v>12</v>
      </c>
      <c r="H47" s="7">
        <v>125</v>
      </c>
      <c r="I47" s="7" t="s">
        <v>180</v>
      </c>
      <c r="J47" s="7">
        <v>48</v>
      </c>
      <c r="K47" s="7">
        <v>6</v>
      </c>
      <c r="L47" s="7">
        <v>11</v>
      </c>
      <c r="M47" s="7">
        <v>177</v>
      </c>
      <c r="N47" s="7">
        <v>6</v>
      </c>
      <c r="O47" s="7">
        <v>33</v>
      </c>
      <c r="P47" s="7">
        <v>38</v>
      </c>
      <c r="Q47" s="7">
        <v>7</v>
      </c>
      <c r="R47" s="7">
        <v>8.6</v>
      </c>
      <c r="S47" s="7">
        <v>6.0520569600000007</v>
      </c>
    </row>
    <row r="48" spans="1:19" x14ac:dyDescent="0.3">
      <c r="A48" s="7" t="s">
        <v>96</v>
      </c>
      <c r="B48" s="7" t="s">
        <v>99</v>
      </c>
      <c r="C48" s="7" t="s">
        <v>144</v>
      </c>
      <c r="D48" s="7">
        <v>5</v>
      </c>
      <c r="E48" s="7">
        <v>336</v>
      </c>
      <c r="F48" s="7">
        <v>62</v>
      </c>
      <c r="G48" s="7">
        <v>13</v>
      </c>
      <c r="H48" s="7">
        <v>90</v>
      </c>
      <c r="I48" s="7" t="s">
        <v>178</v>
      </c>
      <c r="J48" s="7">
        <v>46</v>
      </c>
      <c r="K48" s="7">
        <v>4</v>
      </c>
      <c r="L48" s="7">
        <v>12</v>
      </c>
      <c r="M48" s="7">
        <v>144</v>
      </c>
      <c r="N48" s="7">
        <v>4</v>
      </c>
      <c r="O48" s="7">
        <v>39.6</v>
      </c>
      <c r="P48" s="7">
        <v>39</v>
      </c>
      <c r="Q48" s="7">
        <v>7</v>
      </c>
      <c r="R48" s="7">
        <v>7.6</v>
      </c>
      <c r="S48" s="7">
        <v>4.6604800000000006</v>
      </c>
    </row>
    <row r="49" spans="1:19" x14ac:dyDescent="0.3">
      <c r="A49" s="7" t="s">
        <v>96</v>
      </c>
      <c r="B49" s="7" t="s">
        <v>99</v>
      </c>
      <c r="C49" s="7" t="s">
        <v>144</v>
      </c>
      <c r="D49" s="7">
        <v>6</v>
      </c>
      <c r="E49" s="7">
        <v>320</v>
      </c>
      <c r="F49" s="7">
        <v>66</v>
      </c>
      <c r="G49" s="7">
        <v>13</v>
      </c>
      <c r="H49" s="7">
        <v>86</v>
      </c>
      <c r="I49" s="7" t="s">
        <v>178</v>
      </c>
      <c r="J49" s="7">
        <v>46</v>
      </c>
      <c r="K49" s="7">
        <v>4</v>
      </c>
      <c r="L49" s="7">
        <v>11</v>
      </c>
      <c r="M49" s="7">
        <v>180</v>
      </c>
      <c r="N49" s="7">
        <v>4</v>
      </c>
      <c r="O49" s="7">
        <v>48</v>
      </c>
      <c r="P49" s="7">
        <v>37</v>
      </c>
      <c r="Q49" s="7">
        <v>8</v>
      </c>
      <c r="R49" s="7">
        <v>7.4</v>
      </c>
      <c r="S49" s="7">
        <v>4.1446496000000002</v>
      </c>
    </row>
    <row r="50" spans="1:19" x14ac:dyDescent="0.3">
      <c r="A50" s="7" t="s">
        <v>96</v>
      </c>
      <c r="B50" s="7" t="s">
        <v>99</v>
      </c>
      <c r="C50" s="7" t="s">
        <v>144</v>
      </c>
      <c r="D50" s="7">
        <v>7</v>
      </c>
      <c r="E50" s="7">
        <v>346</v>
      </c>
      <c r="F50" s="7">
        <v>69</v>
      </c>
      <c r="G50" s="7">
        <v>14</v>
      </c>
      <c r="H50" s="7">
        <v>78</v>
      </c>
      <c r="I50" s="7" t="s">
        <v>173</v>
      </c>
      <c r="J50" s="7">
        <v>3</v>
      </c>
      <c r="K50" s="7">
        <v>13</v>
      </c>
      <c r="L50" s="7">
        <v>11</v>
      </c>
      <c r="M50" s="7">
        <v>153</v>
      </c>
      <c r="N50" s="7">
        <v>6</v>
      </c>
      <c r="O50" s="7">
        <v>49.6</v>
      </c>
      <c r="P50" s="7">
        <v>39</v>
      </c>
      <c r="Q50" s="7">
        <v>8</v>
      </c>
      <c r="R50" s="7">
        <v>8.4</v>
      </c>
      <c r="S50" s="7">
        <v>7.9440000000000008</v>
      </c>
    </row>
    <row r="51" spans="1:19" x14ac:dyDescent="0.3">
      <c r="A51" s="7" t="s">
        <v>96</v>
      </c>
      <c r="B51" s="7" t="s">
        <v>99</v>
      </c>
      <c r="C51" s="7" t="s">
        <v>144</v>
      </c>
      <c r="D51" s="7">
        <v>8</v>
      </c>
      <c r="E51" s="7">
        <v>325</v>
      </c>
      <c r="F51" s="7">
        <v>63</v>
      </c>
      <c r="G51" s="7">
        <v>12</v>
      </c>
      <c r="H51" s="7">
        <v>60</v>
      </c>
      <c r="I51" s="7" t="s">
        <v>176</v>
      </c>
      <c r="J51" s="7">
        <v>45</v>
      </c>
      <c r="K51" s="7">
        <v>3</v>
      </c>
      <c r="L51" s="7">
        <v>11</v>
      </c>
      <c r="M51" s="7">
        <v>130</v>
      </c>
      <c r="N51" s="7">
        <v>5</v>
      </c>
      <c r="O51" s="7">
        <v>45.3</v>
      </c>
      <c r="P51" s="7">
        <v>38</v>
      </c>
      <c r="Q51" s="7">
        <v>7</v>
      </c>
      <c r="R51" s="7">
        <v>8</v>
      </c>
      <c r="S51" s="7">
        <v>4.4910080000000008</v>
      </c>
    </row>
    <row r="52" spans="1:19" x14ac:dyDescent="0.3">
      <c r="A52" s="7" t="s">
        <v>96</v>
      </c>
      <c r="B52" s="7" t="s">
        <v>99</v>
      </c>
      <c r="C52" s="7" t="s">
        <v>144</v>
      </c>
      <c r="D52" s="7">
        <v>9</v>
      </c>
      <c r="E52" s="7">
        <v>331</v>
      </c>
      <c r="F52" s="7">
        <v>64</v>
      </c>
      <c r="G52" s="7">
        <v>12</v>
      </c>
      <c r="H52" s="7">
        <v>85</v>
      </c>
      <c r="I52" s="7" t="s">
        <v>177</v>
      </c>
      <c r="J52" s="7">
        <v>44</v>
      </c>
      <c r="K52" s="7">
        <v>2</v>
      </c>
      <c r="L52" s="7">
        <v>11</v>
      </c>
      <c r="M52" s="7">
        <v>170</v>
      </c>
      <c r="N52" s="7">
        <v>5</v>
      </c>
      <c r="O52" s="7">
        <v>42</v>
      </c>
      <c r="P52" s="7">
        <v>38</v>
      </c>
      <c r="Q52" s="7">
        <v>7</v>
      </c>
      <c r="R52" s="7">
        <v>8</v>
      </c>
      <c r="S52" s="7">
        <v>5.6243520000000018</v>
      </c>
    </row>
    <row r="53" spans="1:19" x14ac:dyDescent="0.3">
      <c r="A53" s="7" t="s">
        <v>96</v>
      </c>
      <c r="B53" s="7" t="s">
        <v>99</v>
      </c>
      <c r="C53" s="7" t="s">
        <v>144</v>
      </c>
      <c r="D53" s="7">
        <v>10</v>
      </c>
      <c r="E53" s="7">
        <v>330</v>
      </c>
      <c r="F53" s="7">
        <v>66</v>
      </c>
      <c r="G53" s="7">
        <v>10</v>
      </c>
      <c r="H53" s="7">
        <v>130</v>
      </c>
      <c r="I53" s="7" t="s">
        <v>176</v>
      </c>
      <c r="J53" s="7">
        <v>45</v>
      </c>
      <c r="K53" s="7">
        <v>3</v>
      </c>
      <c r="L53" s="7">
        <v>11</v>
      </c>
      <c r="M53" s="7">
        <v>220</v>
      </c>
      <c r="N53" s="7">
        <v>2</v>
      </c>
      <c r="O53" s="7">
        <v>43.4</v>
      </c>
      <c r="P53" s="7">
        <v>38</v>
      </c>
      <c r="Q53" s="7">
        <v>8</v>
      </c>
      <c r="R53" s="7">
        <v>8.1999999999999993</v>
      </c>
      <c r="S53" s="7">
        <v>2.2412671999999998</v>
      </c>
    </row>
    <row r="54" spans="1:19" x14ac:dyDescent="0.3">
      <c r="A54" s="7" t="s">
        <v>96</v>
      </c>
      <c r="B54" s="7" t="s">
        <v>99</v>
      </c>
      <c r="C54" s="7" t="s">
        <v>144</v>
      </c>
      <c r="D54" s="7">
        <v>14</v>
      </c>
      <c r="E54" s="7">
        <v>266</v>
      </c>
      <c r="F54" s="7">
        <v>53</v>
      </c>
      <c r="G54" s="7">
        <v>11</v>
      </c>
      <c r="H54" s="7">
        <v>87</v>
      </c>
      <c r="I54" s="7" t="s">
        <v>177</v>
      </c>
      <c r="J54" s="7">
        <v>44</v>
      </c>
      <c r="K54" s="7">
        <v>2</v>
      </c>
      <c r="L54" s="7">
        <v>11</v>
      </c>
      <c r="M54" s="7">
        <v>148</v>
      </c>
      <c r="N54" s="7">
        <v>5</v>
      </c>
      <c r="O54" s="7">
        <v>28.6</v>
      </c>
      <c r="P54" s="7">
        <v>38</v>
      </c>
      <c r="Q54" s="7">
        <v>6</v>
      </c>
      <c r="R54" s="7">
        <v>7.8</v>
      </c>
      <c r="S54" s="7">
        <v>4.1798679999999999</v>
      </c>
    </row>
    <row r="55" spans="1:19" x14ac:dyDescent="0.3">
      <c r="A55" s="7" t="s">
        <v>96</v>
      </c>
      <c r="B55" s="7" t="s">
        <v>97</v>
      </c>
      <c r="C55" s="7" t="s">
        <v>144</v>
      </c>
      <c r="D55" s="7">
        <v>4</v>
      </c>
      <c r="E55" s="7">
        <v>325</v>
      </c>
      <c r="F55" s="7">
        <v>67</v>
      </c>
      <c r="G55" s="7">
        <v>10</v>
      </c>
      <c r="H55" s="7">
        <v>103</v>
      </c>
      <c r="I55" s="7" t="s">
        <v>173</v>
      </c>
      <c r="J55" s="7">
        <v>3</v>
      </c>
      <c r="K55" s="7">
        <v>13</v>
      </c>
      <c r="L55" s="7">
        <v>11</v>
      </c>
      <c r="M55" s="7">
        <v>150</v>
      </c>
      <c r="N55" s="7">
        <v>6</v>
      </c>
      <c r="O55" s="7">
        <v>33.9</v>
      </c>
      <c r="P55" s="7">
        <v>37</v>
      </c>
      <c r="Q55" s="7">
        <v>7</v>
      </c>
      <c r="R55" s="7">
        <v>7.4</v>
      </c>
      <c r="S55" s="7">
        <v>6.7307923200000008</v>
      </c>
    </row>
    <row r="56" spans="1:19" x14ac:dyDescent="0.3">
      <c r="A56" s="7" t="s">
        <v>96</v>
      </c>
      <c r="B56" s="7" t="s">
        <v>97</v>
      </c>
      <c r="C56" s="7" t="s">
        <v>144</v>
      </c>
      <c r="D56" s="7">
        <v>5</v>
      </c>
      <c r="E56" s="7">
        <v>294</v>
      </c>
      <c r="F56" s="7">
        <v>55</v>
      </c>
      <c r="G56" s="7">
        <v>8</v>
      </c>
      <c r="H56" s="7">
        <v>110</v>
      </c>
      <c r="I56" s="7" t="s">
        <v>175</v>
      </c>
      <c r="J56" s="7">
        <v>43</v>
      </c>
      <c r="K56" s="7">
        <v>1</v>
      </c>
      <c r="L56" s="7">
        <v>11</v>
      </c>
      <c r="M56" s="7">
        <v>154</v>
      </c>
      <c r="N56" s="7">
        <v>7</v>
      </c>
      <c r="O56" s="7">
        <v>34</v>
      </c>
      <c r="P56" s="7">
        <v>39</v>
      </c>
      <c r="Q56" s="7">
        <v>6</v>
      </c>
      <c r="R56" s="7">
        <v>7.8</v>
      </c>
      <c r="S56" s="7">
        <v>6.6507168000000014</v>
      </c>
    </row>
    <row r="57" spans="1:19" x14ac:dyDescent="0.3">
      <c r="A57" s="7" t="s">
        <v>96</v>
      </c>
      <c r="B57" s="7" t="s">
        <v>97</v>
      </c>
      <c r="C57" s="7" t="s">
        <v>144</v>
      </c>
      <c r="D57" s="7">
        <v>6</v>
      </c>
      <c r="E57" s="7">
        <v>360</v>
      </c>
      <c r="F57" s="7">
        <v>67</v>
      </c>
      <c r="G57" s="7">
        <v>12</v>
      </c>
      <c r="H57" s="7">
        <v>103</v>
      </c>
      <c r="I57" s="7" t="s">
        <v>173</v>
      </c>
      <c r="J57" s="7">
        <v>3</v>
      </c>
      <c r="K57" s="7">
        <v>13</v>
      </c>
      <c r="L57" s="7">
        <v>11</v>
      </c>
      <c r="M57" s="7">
        <v>210</v>
      </c>
      <c r="N57" s="7">
        <v>7</v>
      </c>
      <c r="O57" s="7">
        <v>45.9</v>
      </c>
      <c r="P57" s="7">
        <v>37</v>
      </c>
      <c r="Q57" s="7">
        <v>8</v>
      </c>
      <c r="R57" s="7">
        <v>8.1999999999999993</v>
      </c>
      <c r="S57" s="7">
        <v>9.6387200000000011</v>
      </c>
    </row>
    <row r="58" spans="1:19" x14ac:dyDescent="0.3">
      <c r="A58" s="7" t="s">
        <v>96</v>
      </c>
      <c r="B58" s="7" t="s">
        <v>97</v>
      </c>
      <c r="C58" s="7" t="s">
        <v>144</v>
      </c>
      <c r="D58" s="7">
        <v>7</v>
      </c>
      <c r="E58" s="7">
        <v>310</v>
      </c>
      <c r="F58" s="7">
        <v>57</v>
      </c>
      <c r="G58" s="7">
        <v>10</v>
      </c>
      <c r="H58" s="7">
        <v>60</v>
      </c>
      <c r="I58" s="7" t="s">
        <v>178</v>
      </c>
      <c r="J58" s="7">
        <v>46</v>
      </c>
      <c r="K58" s="7">
        <v>4</v>
      </c>
      <c r="L58" s="7">
        <v>11</v>
      </c>
      <c r="M58" s="7">
        <v>145</v>
      </c>
      <c r="N58" s="7">
        <v>6</v>
      </c>
      <c r="O58" s="7">
        <v>28.1</v>
      </c>
      <c r="P58" s="7">
        <v>38</v>
      </c>
      <c r="Q58" s="7">
        <v>6</v>
      </c>
      <c r="R58" s="7">
        <v>7.4</v>
      </c>
      <c r="S58" s="7">
        <v>7.2067968000000002</v>
      </c>
    </row>
    <row r="59" spans="1:19" x14ac:dyDescent="0.3">
      <c r="A59" s="7" t="s">
        <v>96</v>
      </c>
      <c r="B59" s="7" t="s">
        <v>97</v>
      </c>
      <c r="C59" s="7" t="s">
        <v>144</v>
      </c>
      <c r="D59" s="7">
        <v>9</v>
      </c>
      <c r="E59" s="7">
        <v>312</v>
      </c>
      <c r="F59" s="7">
        <v>58</v>
      </c>
      <c r="G59" s="7">
        <v>12</v>
      </c>
      <c r="H59" s="7">
        <v>88</v>
      </c>
      <c r="I59" s="7" t="s">
        <v>173</v>
      </c>
      <c r="J59" s="7">
        <v>3</v>
      </c>
      <c r="K59" s="7">
        <v>13</v>
      </c>
      <c r="L59" s="7">
        <v>11</v>
      </c>
      <c r="M59" s="7">
        <v>133</v>
      </c>
      <c r="N59" s="7">
        <v>6</v>
      </c>
      <c r="O59" s="7">
        <v>27.8</v>
      </c>
      <c r="P59" s="7">
        <v>38</v>
      </c>
      <c r="Q59" s="7">
        <v>6</v>
      </c>
      <c r="R59" s="7">
        <v>7.8</v>
      </c>
      <c r="S59" s="7">
        <v>5.8722047999999996</v>
      </c>
    </row>
    <row r="60" spans="1:19" x14ac:dyDescent="0.3">
      <c r="A60" s="7" t="s">
        <v>96</v>
      </c>
      <c r="B60" s="7" t="s">
        <v>97</v>
      </c>
      <c r="C60" s="7" t="s">
        <v>144</v>
      </c>
      <c r="D60" s="7">
        <v>10</v>
      </c>
      <c r="E60" s="7">
        <v>338</v>
      </c>
      <c r="F60" s="7">
        <v>61</v>
      </c>
      <c r="G60" s="7">
        <v>13</v>
      </c>
      <c r="H60" s="7">
        <v>55</v>
      </c>
      <c r="I60" s="7" t="s">
        <v>176</v>
      </c>
      <c r="J60" s="7">
        <v>45</v>
      </c>
      <c r="K60" s="7">
        <v>3</v>
      </c>
      <c r="L60" s="7">
        <v>11</v>
      </c>
      <c r="M60" s="7">
        <v>130</v>
      </c>
      <c r="N60" s="7">
        <v>5</v>
      </c>
      <c r="O60" s="7">
        <v>41</v>
      </c>
      <c r="P60" s="7">
        <v>38</v>
      </c>
      <c r="Q60" s="7">
        <v>7</v>
      </c>
      <c r="R60" s="7">
        <v>8.1999999999999993</v>
      </c>
      <c r="S60" s="7">
        <v>5.0841599999999998</v>
      </c>
    </row>
    <row r="61" spans="1:19" x14ac:dyDescent="0.3">
      <c r="A61" s="7" t="s">
        <v>96</v>
      </c>
      <c r="B61" s="7" t="s">
        <v>97</v>
      </c>
      <c r="C61" s="7" t="s">
        <v>144</v>
      </c>
      <c r="D61" s="7">
        <v>11</v>
      </c>
      <c r="E61" s="7">
        <v>303</v>
      </c>
      <c r="F61" s="7">
        <v>60</v>
      </c>
      <c r="G61" s="7">
        <v>12</v>
      </c>
      <c r="H61" s="7">
        <v>90</v>
      </c>
      <c r="I61" s="7" t="s">
        <v>177</v>
      </c>
      <c r="J61" s="7">
        <v>44</v>
      </c>
      <c r="K61" s="7">
        <v>2</v>
      </c>
      <c r="L61" s="7">
        <v>11</v>
      </c>
      <c r="M61" s="7">
        <v>150</v>
      </c>
      <c r="N61" s="7">
        <v>4</v>
      </c>
      <c r="O61" s="7">
        <v>40.5</v>
      </c>
      <c r="P61" s="7">
        <v>38</v>
      </c>
      <c r="Q61" s="7">
        <v>7</v>
      </c>
      <c r="R61" s="7">
        <v>8</v>
      </c>
      <c r="S61" s="7">
        <v>3.914803200000001</v>
      </c>
    </row>
    <row r="62" spans="1:19" x14ac:dyDescent="0.3">
      <c r="A62" s="7" t="s">
        <v>96</v>
      </c>
      <c r="B62" s="7" t="s">
        <v>97</v>
      </c>
      <c r="C62" s="7" t="s">
        <v>144</v>
      </c>
      <c r="D62" s="7">
        <v>12</v>
      </c>
      <c r="E62" s="7">
        <v>315</v>
      </c>
      <c r="F62" s="7">
        <v>59</v>
      </c>
      <c r="G62" s="7">
        <v>13</v>
      </c>
      <c r="H62" s="7">
        <v>87</v>
      </c>
      <c r="I62" s="7" t="s">
        <v>176</v>
      </c>
      <c r="J62" s="7">
        <v>45</v>
      </c>
      <c r="K62" s="7">
        <v>3</v>
      </c>
      <c r="L62" s="7">
        <v>11</v>
      </c>
      <c r="M62" s="7">
        <v>142</v>
      </c>
      <c r="N62" s="7">
        <v>5</v>
      </c>
      <c r="O62" s="7">
        <v>32.200000000000003</v>
      </c>
      <c r="P62" s="7">
        <v>38</v>
      </c>
      <c r="Q62" s="7">
        <v>6</v>
      </c>
      <c r="R62" s="7">
        <v>7.8</v>
      </c>
      <c r="S62" s="7">
        <v>4.5545600000000004</v>
      </c>
    </row>
    <row r="63" spans="1:19" x14ac:dyDescent="0.3">
      <c r="A63" s="7" t="s">
        <v>96</v>
      </c>
      <c r="B63" s="7" t="s">
        <v>97</v>
      </c>
      <c r="C63" s="7" t="s">
        <v>144</v>
      </c>
      <c r="D63" s="7">
        <v>13</v>
      </c>
      <c r="E63" s="7">
        <v>311</v>
      </c>
      <c r="F63" s="7">
        <v>61</v>
      </c>
      <c r="G63" s="7">
        <v>12</v>
      </c>
      <c r="H63" s="7">
        <v>127</v>
      </c>
      <c r="I63" s="7" t="s">
        <v>177</v>
      </c>
      <c r="J63" s="7">
        <v>44</v>
      </c>
      <c r="K63" s="7">
        <v>2</v>
      </c>
      <c r="L63" s="7">
        <v>11</v>
      </c>
      <c r="M63" s="7">
        <v>180</v>
      </c>
      <c r="N63" s="7">
        <v>5</v>
      </c>
      <c r="O63" s="7">
        <v>40</v>
      </c>
      <c r="P63" s="7">
        <v>39</v>
      </c>
      <c r="Q63" s="7">
        <v>7</v>
      </c>
      <c r="R63" s="7">
        <v>8</v>
      </c>
      <c r="S63" s="7">
        <v>5.6481840000000014</v>
      </c>
    </row>
    <row r="64" spans="1:19" x14ac:dyDescent="0.3">
      <c r="A64" s="7" t="s">
        <v>96</v>
      </c>
      <c r="B64" s="7" t="s">
        <v>172</v>
      </c>
      <c r="C64" s="7" t="s">
        <v>146</v>
      </c>
      <c r="D64" s="7">
        <v>1</v>
      </c>
      <c r="E64" s="7">
        <v>342</v>
      </c>
      <c r="F64" s="7">
        <v>70</v>
      </c>
      <c r="G64" s="7">
        <v>14</v>
      </c>
      <c r="H64" s="7">
        <v>130</v>
      </c>
      <c r="I64" s="7" t="s">
        <v>178</v>
      </c>
      <c r="J64" s="7">
        <v>46</v>
      </c>
      <c r="K64" s="7">
        <v>4</v>
      </c>
      <c r="L64" s="7">
        <v>11</v>
      </c>
      <c r="M64" s="7">
        <v>190</v>
      </c>
      <c r="N64" s="7">
        <v>5</v>
      </c>
      <c r="O64" s="7">
        <v>49.5</v>
      </c>
      <c r="P64" s="7">
        <v>39</v>
      </c>
      <c r="Q64" s="7">
        <v>8</v>
      </c>
      <c r="R64" s="7">
        <v>8.1999999999999993</v>
      </c>
      <c r="S64" s="7">
        <v>5.7196800000000003</v>
      </c>
    </row>
    <row r="65" spans="1:19" x14ac:dyDescent="0.3">
      <c r="A65" s="7" t="s">
        <v>96</v>
      </c>
      <c r="B65" s="7" t="s">
        <v>172</v>
      </c>
      <c r="C65" s="7" t="s">
        <v>146</v>
      </c>
      <c r="D65" s="7">
        <v>3</v>
      </c>
      <c r="E65" s="7">
        <v>335</v>
      </c>
      <c r="F65" s="7">
        <v>67</v>
      </c>
      <c r="G65" s="7">
        <v>12</v>
      </c>
      <c r="H65" s="7">
        <v>100</v>
      </c>
      <c r="I65" s="7" t="s">
        <v>177</v>
      </c>
      <c r="J65" s="7">
        <v>44</v>
      </c>
      <c r="K65" s="7">
        <v>2</v>
      </c>
      <c r="L65" s="7">
        <v>11</v>
      </c>
      <c r="M65" s="7">
        <v>165</v>
      </c>
      <c r="N65" s="7">
        <v>6</v>
      </c>
      <c r="O65" s="7">
        <v>44</v>
      </c>
      <c r="P65" s="7">
        <v>39</v>
      </c>
      <c r="Q65" s="7">
        <v>7</v>
      </c>
      <c r="R65" s="7">
        <v>8.1999999999999993</v>
      </c>
      <c r="S65" s="7">
        <v>6.8636160000000022</v>
      </c>
    </row>
    <row r="66" spans="1:19" x14ac:dyDescent="0.3">
      <c r="A66" s="7" t="s">
        <v>96</v>
      </c>
      <c r="B66" s="7" t="s">
        <v>172</v>
      </c>
      <c r="C66" s="7" t="s">
        <v>146</v>
      </c>
      <c r="D66" s="7">
        <v>4</v>
      </c>
      <c r="E66" s="7">
        <v>296</v>
      </c>
      <c r="F66" s="7">
        <v>61</v>
      </c>
      <c r="G66" s="7">
        <v>11</v>
      </c>
      <c r="H66" s="7">
        <v>64</v>
      </c>
      <c r="I66" s="7" t="s">
        <v>173</v>
      </c>
      <c r="J66" s="7">
        <v>3</v>
      </c>
      <c r="K66" s="7">
        <v>13</v>
      </c>
      <c r="L66" s="7">
        <v>11</v>
      </c>
      <c r="M66" s="7">
        <v>105</v>
      </c>
      <c r="N66" s="7">
        <v>4</v>
      </c>
      <c r="O66" s="7">
        <v>41</v>
      </c>
      <c r="P66" s="7">
        <v>38</v>
      </c>
      <c r="Q66" s="7">
        <v>7</v>
      </c>
      <c r="R66" s="7">
        <v>8.1999999999999993</v>
      </c>
      <c r="S66" s="7">
        <v>4.2876416000000006</v>
      </c>
    </row>
    <row r="67" spans="1:19" x14ac:dyDescent="0.3">
      <c r="A67" s="7" t="s">
        <v>96</v>
      </c>
      <c r="B67" s="7" t="s">
        <v>172</v>
      </c>
      <c r="C67" s="7" t="s">
        <v>146</v>
      </c>
      <c r="D67" s="7">
        <v>5</v>
      </c>
      <c r="E67" s="7">
        <v>352</v>
      </c>
      <c r="F67" s="7">
        <v>65</v>
      </c>
      <c r="G67" s="7">
        <v>12</v>
      </c>
      <c r="H67" s="7">
        <v>95</v>
      </c>
      <c r="I67" s="7" t="s">
        <v>176</v>
      </c>
      <c r="J67" s="7">
        <v>45</v>
      </c>
      <c r="K67" s="7">
        <v>3</v>
      </c>
      <c r="L67" s="7">
        <v>10</v>
      </c>
      <c r="M67" s="7">
        <v>164</v>
      </c>
      <c r="N67" s="7">
        <v>5</v>
      </c>
      <c r="O67" s="7">
        <v>44.4</v>
      </c>
      <c r="P67" s="7">
        <v>39</v>
      </c>
      <c r="Q67" s="7">
        <v>7</v>
      </c>
      <c r="R67" s="7">
        <v>8.4</v>
      </c>
      <c r="S67" s="7">
        <v>6.0374400000000001</v>
      </c>
    </row>
    <row r="68" spans="1:19" x14ac:dyDescent="0.3">
      <c r="A68" s="7" t="s">
        <v>96</v>
      </c>
      <c r="B68" s="7" t="s">
        <v>172</v>
      </c>
      <c r="C68" s="7" t="s">
        <v>146</v>
      </c>
      <c r="D68" s="7">
        <v>6</v>
      </c>
      <c r="E68" s="7">
        <v>300</v>
      </c>
      <c r="F68" s="7">
        <v>56</v>
      </c>
      <c r="G68" s="7">
        <v>13</v>
      </c>
      <c r="H68" s="7">
        <v>58</v>
      </c>
      <c r="I68" s="7" t="s">
        <v>178</v>
      </c>
      <c r="J68" s="7">
        <v>46</v>
      </c>
      <c r="K68" s="7">
        <v>4</v>
      </c>
      <c r="L68" s="7">
        <v>11</v>
      </c>
      <c r="M68" s="7">
        <v>126</v>
      </c>
      <c r="N68" s="7">
        <v>4</v>
      </c>
      <c r="O68" s="7">
        <v>34</v>
      </c>
      <c r="P68" s="7">
        <v>39</v>
      </c>
      <c r="Q68" s="7">
        <v>6</v>
      </c>
      <c r="R68" s="7">
        <v>7.6</v>
      </c>
      <c r="S68" s="7">
        <v>3.914803200000001</v>
      </c>
    </row>
    <row r="69" spans="1:19" x14ac:dyDescent="0.3">
      <c r="A69" s="7" t="s">
        <v>96</v>
      </c>
      <c r="B69" s="7" t="s">
        <v>172</v>
      </c>
      <c r="C69" s="7" t="s">
        <v>146</v>
      </c>
      <c r="D69" s="7">
        <v>7</v>
      </c>
      <c r="E69" s="7">
        <v>338</v>
      </c>
      <c r="F69" s="7">
        <v>64</v>
      </c>
      <c r="G69" s="7">
        <v>11</v>
      </c>
      <c r="H69" s="7">
        <v>110</v>
      </c>
      <c r="I69" s="7" t="s">
        <v>175</v>
      </c>
      <c r="J69" s="7">
        <v>43</v>
      </c>
      <c r="K69" s="7">
        <v>1</v>
      </c>
      <c r="L69" s="7">
        <v>11</v>
      </c>
      <c r="M69" s="7">
        <v>185</v>
      </c>
      <c r="N69" s="7">
        <v>6</v>
      </c>
      <c r="O69" s="7">
        <v>41</v>
      </c>
      <c r="P69" s="7">
        <v>39</v>
      </c>
      <c r="Q69" s="7">
        <v>7</v>
      </c>
      <c r="R69" s="7">
        <v>7.6</v>
      </c>
      <c r="S69" s="7">
        <v>6.7206240000000008</v>
      </c>
    </row>
    <row r="70" spans="1:19" x14ac:dyDescent="0.3">
      <c r="A70" s="7" t="s">
        <v>96</v>
      </c>
      <c r="B70" s="7" t="s">
        <v>172</v>
      </c>
      <c r="C70" s="7" t="s">
        <v>146</v>
      </c>
      <c r="D70" s="7">
        <v>9</v>
      </c>
      <c r="E70" s="7">
        <v>355</v>
      </c>
      <c r="F70" s="7">
        <v>66</v>
      </c>
      <c r="G70" s="7">
        <v>12</v>
      </c>
      <c r="H70" s="7">
        <v>150</v>
      </c>
      <c r="I70" s="7" t="s">
        <v>175</v>
      </c>
      <c r="J70" s="7">
        <v>43</v>
      </c>
      <c r="K70" s="7">
        <v>1</v>
      </c>
      <c r="L70" s="7">
        <v>12</v>
      </c>
      <c r="M70" s="7">
        <v>240</v>
      </c>
      <c r="N70" s="7">
        <v>6</v>
      </c>
      <c r="O70" s="7">
        <v>47.3</v>
      </c>
      <c r="P70" s="7">
        <v>40</v>
      </c>
      <c r="Q70" s="7">
        <v>7</v>
      </c>
      <c r="R70" s="7">
        <v>8.4</v>
      </c>
      <c r="S70" s="7">
        <v>6.3552000000000008</v>
      </c>
    </row>
    <row r="71" spans="1:19" x14ac:dyDescent="0.3">
      <c r="A71" s="7" t="s">
        <v>96</v>
      </c>
      <c r="B71" s="7" t="s">
        <v>172</v>
      </c>
      <c r="C71" s="7" t="s">
        <v>146</v>
      </c>
      <c r="D71" s="7">
        <v>11</v>
      </c>
      <c r="E71" s="7">
        <v>352</v>
      </c>
      <c r="F71" s="7">
        <v>72</v>
      </c>
      <c r="G71" s="7">
        <v>15</v>
      </c>
      <c r="H71" s="7">
        <v>84</v>
      </c>
      <c r="I71" s="7" t="s">
        <v>180</v>
      </c>
      <c r="J71" s="7">
        <v>48</v>
      </c>
      <c r="K71" s="7">
        <v>6</v>
      </c>
      <c r="L71" s="7">
        <v>11</v>
      </c>
      <c r="M71" s="7">
        <v>230</v>
      </c>
      <c r="N71" s="7">
        <v>7</v>
      </c>
      <c r="O71" s="7">
        <v>46</v>
      </c>
      <c r="P71" s="7">
        <v>38</v>
      </c>
      <c r="Q71" s="7">
        <v>8</v>
      </c>
      <c r="R71" s="7">
        <v>8.1999999999999993</v>
      </c>
      <c r="S71" s="7">
        <v>10.65004416</v>
      </c>
    </row>
    <row r="72" spans="1:19" x14ac:dyDescent="0.3">
      <c r="A72" s="7" t="s">
        <v>96</v>
      </c>
      <c r="B72" s="7" t="s">
        <v>172</v>
      </c>
      <c r="C72" s="7" t="s">
        <v>146</v>
      </c>
      <c r="D72" s="7">
        <v>12</v>
      </c>
      <c r="E72" s="7">
        <v>360</v>
      </c>
      <c r="F72" s="7">
        <v>70</v>
      </c>
      <c r="G72" s="7">
        <v>12</v>
      </c>
      <c r="H72" s="7">
        <v>144</v>
      </c>
      <c r="I72" s="7" t="s">
        <v>175</v>
      </c>
      <c r="J72" s="7">
        <v>43</v>
      </c>
      <c r="K72" s="7">
        <v>1</v>
      </c>
      <c r="L72" s="7">
        <v>12</v>
      </c>
      <c r="M72" s="7">
        <v>183</v>
      </c>
      <c r="N72" s="7">
        <v>5</v>
      </c>
      <c r="O72" s="7">
        <v>49.9</v>
      </c>
      <c r="P72" s="7">
        <v>38</v>
      </c>
      <c r="Q72" s="7">
        <v>8</v>
      </c>
      <c r="R72" s="7">
        <v>8.1999999999999993</v>
      </c>
      <c r="S72" s="7">
        <v>5.5300832</v>
      </c>
    </row>
    <row r="73" spans="1:19" x14ac:dyDescent="0.3">
      <c r="A73" s="7" t="s">
        <v>96</v>
      </c>
      <c r="B73" s="7" t="s">
        <v>172</v>
      </c>
      <c r="C73" s="7" t="s">
        <v>146</v>
      </c>
      <c r="D73" s="7">
        <v>13</v>
      </c>
      <c r="E73" s="7">
        <v>370</v>
      </c>
      <c r="F73" s="7">
        <v>72</v>
      </c>
      <c r="G73" s="7">
        <v>14</v>
      </c>
      <c r="H73" s="7">
        <v>153</v>
      </c>
      <c r="I73" s="7" t="s">
        <v>181</v>
      </c>
      <c r="J73" s="7">
        <v>45</v>
      </c>
      <c r="K73" s="7">
        <v>3</v>
      </c>
      <c r="L73" s="7">
        <v>11</v>
      </c>
      <c r="M73" s="7">
        <v>215</v>
      </c>
      <c r="N73" s="7">
        <v>6</v>
      </c>
      <c r="O73" s="7">
        <v>43.4</v>
      </c>
      <c r="P73" s="7">
        <v>38</v>
      </c>
      <c r="Q73" s="7">
        <v>7</v>
      </c>
      <c r="R73" s="7">
        <v>7.8</v>
      </c>
      <c r="S73" s="7">
        <v>6.5776320000000004</v>
      </c>
    </row>
    <row r="74" spans="1:19" x14ac:dyDescent="0.3">
      <c r="A74" s="7" t="s">
        <v>96</v>
      </c>
      <c r="B74" s="7" t="s">
        <v>109</v>
      </c>
      <c r="C74" s="7" t="s">
        <v>147</v>
      </c>
      <c r="D74" s="7">
        <v>1</v>
      </c>
      <c r="E74" s="7">
        <v>345</v>
      </c>
      <c r="F74" s="7">
        <v>72</v>
      </c>
      <c r="G74" s="7">
        <v>14</v>
      </c>
      <c r="H74" s="7">
        <v>100</v>
      </c>
      <c r="I74" s="7" t="s">
        <v>180</v>
      </c>
      <c r="J74" s="7">
        <v>48</v>
      </c>
      <c r="K74" s="7">
        <v>6</v>
      </c>
      <c r="L74" s="7">
        <v>11</v>
      </c>
      <c r="M74" s="7">
        <v>212</v>
      </c>
      <c r="N74" s="7">
        <v>6</v>
      </c>
      <c r="O74" s="7">
        <v>39</v>
      </c>
      <c r="P74" s="7">
        <v>37</v>
      </c>
      <c r="Q74" s="7">
        <v>7</v>
      </c>
      <c r="R74" s="7">
        <v>8.1999999999999993</v>
      </c>
      <c r="S74" s="7">
        <v>7.3211904000000017</v>
      </c>
    </row>
    <row r="75" spans="1:19" x14ac:dyDescent="0.3">
      <c r="A75" s="7" t="s">
        <v>96</v>
      </c>
      <c r="B75" s="7" t="s">
        <v>109</v>
      </c>
      <c r="C75" s="7" t="s">
        <v>147</v>
      </c>
      <c r="D75" s="7">
        <v>3</v>
      </c>
      <c r="E75" s="7">
        <v>320</v>
      </c>
      <c r="F75" s="7">
        <v>61</v>
      </c>
      <c r="G75" s="7">
        <v>13</v>
      </c>
      <c r="H75" s="7">
        <v>115</v>
      </c>
      <c r="I75" s="7" t="s">
        <v>177</v>
      </c>
      <c r="J75" s="7">
        <v>44</v>
      </c>
      <c r="K75" s="7">
        <v>2</v>
      </c>
      <c r="L75" s="7">
        <v>11</v>
      </c>
      <c r="M75" s="7">
        <v>165</v>
      </c>
      <c r="N75" s="7">
        <v>5</v>
      </c>
      <c r="O75" s="7">
        <v>41</v>
      </c>
      <c r="P75" s="7">
        <v>39</v>
      </c>
      <c r="Q75" s="7">
        <v>7</v>
      </c>
      <c r="R75" s="7">
        <v>8</v>
      </c>
      <c r="S75" s="7">
        <v>4.951760000000001</v>
      </c>
    </row>
    <row r="76" spans="1:19" x14ac:dyDescent="0.3">
      <c r="A76" s="7" t="s">
        <v>96</v>
      </c>
      <c r="B76" s="7" t="s">
        <v>109</v>
      </c>
      <c r="C76" s="7" t="s">
        <v>147</v>
      </c>
      <c r="D76" s="7">
        <v>4</v>
      </c>
      <c r="E76" s="7">
        <v>328</v>
      </c>
      <c r="F76" s="7">
        <v>62</v>
      </c>
      <c r="G76" s="7">
        <v>12</v>
      </c>
      <c r="H76" s="7">
        <v>97</v>
      </c>
      <c r="I76" s="7" t="s">
        <v>173</v>
      </c>
      <c r="J76" s="7">
        <v>3</v>
      </c>
      <c r="K76" s="7">
        <v>13</v>
      </c>
      <c r="L76" s="7">
        <v>11</v>
      </c>
      <c r="M76" s="7">
        <v>152</v>
      </c>
      <c r="N76" s="7">
        <v>5</v>
      </c>
      <c r="O76" s="7">
        <v>40.1</v>
      </c>
      <c r="P76" s="7">
        <v>38</v>
      </c>
      <c r="Q76" s="7">
        <v>7</v>
      </c>
      <c r="R76" s="7">
        <v>8</v>
      </c>
      <c r="S76" s="7">
        <v>5.9580000000000002</v>
      </c>
    </row>
    <row r="77" spans="1:19" x14ac:dyDescent="0.3">
      <c r="A77" s="7" t="s">
        <v>96</v>
      </c>
      <c r="B77" s="7" t="s">
        <v>109</v>
      </c>
      <c r="C77" s="7" t="s">
        <v>147</v>
      </c>
      <c r="D77" s="7">
        <v>5</v>
      </c>
      <c r="E77" s="7">
        <v>330</v>
      </c>
      <c r="F77" s="7">
        <v>58</v>
      </c>
      <c r="G77" s="7">
        <v>13</v>
      </c>
      <c r="H77" s="7">
        <v>100</v>
      </c>
      <c r="I77" s="7" t="s">
        <v>177</v>
      </c>
      <c r="J77" s="7">
        <v>44</v>
      </c>
      <c r="K77" s="7">
        <v>2</v>
      </c>
      <c r="L77" s="7">
        <v>11</v>
      </c>
      <c r="M77" s="7">
        <v>160</v>
      </c>
      <c r="N77" s="7">
        <v>5</v>
      </c>
      <c r="O77" s="7">
        <v>41</v>
      </c>
      <c r="P77" s="7">
        <v>39</v>
      </c>
      <c r="Q77" s="7">
        <v>7</v>
      </c>
      <c r="R77" s="7">
        <v>8</v>
      </c>
      <c r="S77" s="7">
        <v>5.3622000000000014</v>
      </c>
    </row>
    <row r="78" spans="1:19" x14ac:dyDescent="0.3">
      <c r="A78" s="7" t="s">
        <v>96</v>
      </c>
      <c r="B78" s="7" t="s">
        <v>109</v>
      </c>
      <c r="C78" s="7" t="s">
        <v>147</v>
      </c>
      <c r="D78" s="7">
        <v>6</v>
      </c>
      <c r="E78" s="7">
        <v>366</v>
      </c>
      <c r="F78" s="7">
        <v>58</v>
      </c>
      <c r="G78" s="7">
        <v>14</v>
      </c>
      <c r="H78" s="7">
        <v>108</v>
      </c>
      <c r="I78" s="7" t="s">
        <v>177</v>
      </c>
      <c r="J78" s="7">
        <v>44</v>
      </c>
      <c r="K78" s="7">
        <v>2</v>
      </c>
      <c r="L78" s="7">
        <v>11</v>
      </c>
      <c r="M78" s="7">
        <v>195</v>
      </c>
      <c r="N78" s="7">
        <v>5</v>
      </c>
      <c r="O78" s="7">
        <v>38</v>
      </c>
      <c r="P78" s="7">
        <v>39</v>
      </c>
      <c r="Q78" s="7">
        <v>6</v>
      </c>
      <c r="R78" s="7">
        <v>8.1999999999999993</v>
      </c>
      <c r="S78" s="7">
        <v>5.1768400000000003</v>
      </c>
    </row>
    <row r="79" spans="1:19" x14ac:dyDescent="0.3">
      <c r="A79" s="7" t="s">
        <v>96</v>
      </c>
      <c r="B79" s="7" t="s">
        <v>109</v>
      </c>
      <c r="C79" s="7" t="s">
        <v>147</v>
      </c>
      <c r="D79" s="7">
        <v>9</v>
      </c>
      <c r="E79" s="7">
        <v>354</v>
      </c>
      <c r="F79" s="7">
        <v>72</v>
      </c>
      <c r="G79" s="7">
        <v>12</v>
      </c>
      <c r="H79" s="7">
        <v>190</v>
      </c>
      <c r="I79" s="7" t="s">
        <v>178</v>
      </c>
      <c r="J79" s="7">
        <v>46</v>
      </c>
      <c r="K79" s="7">
        <v>4</v>
      </c>
      <c r="L79" s="7">
        <v>11</v>
      </c>
      <c r="M79" s="7">
        <v>205</v>
      </c>
      <c r="N79" s="7">
        <v>6</v>
      </c>
      <c r="O79" s="7">
        <v>48.5</v>
      </c>
      <c r="P79" s="7">
        <v>39</v>
      </c>
      <c r="Q79" s="7">
        <v>8</v>
      </c>
      <c r="R79" s="7">
        <v>8.1999999999999993</v>
      </c>
      <c r="S79" s="7">
        <v>6.8636160000000022</v>
      </c>
    </row>
    <row r="80" spans="1:19" x14ac:dyDescent="0.3">
      <c r="A80" s="7" t="s">
        <v>96</v>
      </c>
      <c r="B80" s="7" t="s">
        <v>109</v>
      </c>
      <c r="C80" s="7" t="s">
        <v>147</v>
      </c>
      <c r="D80" s="7">
        <v>11</v>
      </c>
      <c r="E80" s="7">
        <v>335</v>
      </c>
      <c r="F80" s="7">
        <v>67</v>
      </c>
      <c r="G80" s="7">
        <v>12</v>
      </c>
      <c r="H80" s="7">
        <v>95</v>
      </c>
      <c r="I80" s="7" t="s">
        <v>178</v>
      </c>
      <c r="J80" s="7">
        <v>46</v>
      </c>
      <c r="K80" s="7">
        <v>4</v>
      </c>
      <c r="L80" s="7">
        <v>11</v>
      </c>
      <c r="M80" s="7">
        <v>177</v>
      </c>
      <c r="N80" s="7">
        <v>5</v>
      </c>
      <c r="O80" s="7">
        <v>43</v>
      </c>
      <c r="P80" s="7">
        <v>38</v>
      </c>
      <c r="Q80" s="7">
        <v>7</v>
      </c>
      <c r="R80" s="7">
        <v>8.1999999999999993</v>
      </c>
      <c r="S80" s="7">
        <v>5.7196800000000003</v>
      </c>
    </row>
    <row r="81" spans="1:19" x14ac:dyDescent="0.3">
      <c r="A81" s="7" t="s">
        <v>96</v>
      </c>
      <c r="B81" s="7" t="s">
        <v>109</v>
      </c>
      <c r="C81" s="7" t="s">
        <v>147</v>
      </c>
      <c r="D81" s="7">
        <v>12</v>
      </c>
      <c r="E81" s="7">
        <v>316</v>
      </c>
      <c r="F81" s="7">
        <v>61</v>
      </c>
      <c r="G81" s="7">
        <v>11</v>
      </c>
      <c r="H81" s="7">
        <v>80</v>
      </c>
      <c r="I81" s="7" t="s">
        <v>175</v>
      </c>
      <c r="J81" s="7">
        <v>43</v>
      </c>
      <c r="K81" s="7">
        <v>1</v>
      </c>
      <c r="L81" s="7">
        <v>11</v>
      </c>
      <c r="M81" s="7">
        <v>184</v>
      </c>
      <c r="N81" s="7">
        <v>7</v>
      </c>
      <c r="O81" s="7">
        <v>42</v>
      </c>
      <c r="P81" s="7">
        <v>39</v>
      </c>
      <c r="Q81" s="7">
        <v>7</v>
      </c>
      <c r="R81" s="7">
        <v>7.8</v>
      </c>
      <c r="S81" s="7">
        <v>6.5246720000000016</v>
      </c>
    </row>
    <row r="82" spans="1:19" x14ac:dyDescent="0.3">
      <c r="A82" s="7" t="s">
        <v>96</v>
      </c>
      <c r="B82" s="7" t="s">
        <v>109</v>
      </c>
      <c r="C82" s="7" t="s">
        <v>147</v>
      </c>
      <c r="D82" s="7">
        <v>13</v>
      </c>
      <c r="E82" s="7">
        <v>325</v>
      </c>
      <c r="F82" s="7">
        <v>60</v>
      </c>
      <c r="G82" s="7">
        <v>10</v>
      </c>
      <c r="H82" s="7">
        <v>100</v>
      </c>
      <c r="I82" s="7" t="s">
        <v>177</v>
      </c>
      <c r="J82" s="7">
        <v>44</v>
      </c>
      <c r="K82" s="7">
        <v>1</v>
      </c>
      <c r="L82" s="7">
        <v>10</v>
      </c>
      <c r="M82" s="7">
        <v>190</v>
      </c>
      <c r="N82" s="7">
        <v>6</v>
      </c>
      <c r="O82" s="7">
        <v>38</v>
      </c>
      <c r="P82" s="7">
        <v>39</v>
      </c>
      <c r="Q82" s="7">
        <v>7</v>
      </c>
      <c r="R82" s="7">
        <v>8</v>
      </c>
      <c r="S82" s="7">
        <v>6.2122080000000004</v>
      </c>
    </row>
    <row r="83" spans="1:19" x14ac:dyDescent="0.3">
      <c r="A83" s="7" t="s">
        <v>96</v>
      </c>
      <c r="B83" s="7" t="s">
        <v>97</v>
      </c>
      <c r="C83" s="7" t="s">
        <v>146</v>
      </c>
      <c r="D83" s="7">
        <v>2</v>
      </c>
      <c r="E83" s="7">
        <v>285</v>
      </c>
      <c r="F83" s="7">
        <v>57</v>
      </c>
      <c r="G83" s="7">
        <v>11</v>
      </c>
      <c r="H83" s="7">
        <v>100</v>
      </c>
      <c r="I83" s="7" t="s">
        <v>173</v>
      </c>
      <c r="J83" s="7">
        <v>47</v>
      </c>
      <c r="K83" s="7">
        <v>5</v>
      </c>
      <c r="L83" s="7">
        <v>11</v>
      </c>
      <c r="M83" s="7">
        <v>180</v>
      </c>
      <c r="N83" s="7">
        <v>5</v>
      </c>
      <c r="O83" s="7">
        <v>31.2</v>
      </c>
      <c r="P83" s="7">
        <v>38</v>
      </c>
      <c r="Q83" s="7">
        <v>6</v>
      </c>
      <c r="R83" s="7">
        <v>8</v>
      </c>
      <c r="S83" s="7">
        <v>4.5685944000000012</v>
      </c>
    </row>
    <row r="84" spans="1:19" x14ac:dyDescent="0.3">
      <c r="A84" s="7" t="s">
        <v>96</v>
      </c>
      <c r="B84" s="7" t="s">
        <v>97</v>
      </c>
      <c r="C84" s="7" t="s">
        <v>146</v>
      </c>
      <c r="D84" s="7">
        <v>3</v>
      </c>
      <c r="E84" s="7">
        <v>330</v>
      </c>
      <c r="F84" s="7">
        <v>64</v>
      </c>
      <c r="G84" s="7">
        <v>12</v>
      </c>
      <c r="H84" s="7">
        <v>84</v>
      </c>
      <c r="I84" s="7" t="s">
        <v>175</v>
      </c>
      <c r="J84" s="7">
        <v>43</v>
      </c>
      <c r="K84" s="7">
        <v>1</v>
      </c>
      <c r="L84" s="7">
        <v>11</v>
      </c>
      <c r="M84" s="7">
        <v>165</v>
      </c>
      <c r="N84" s="7">
        <v>7</v>
      </c>
      <c r="O84" s="7">
        <v>41</v>
      </c>
      <c r="P84" s="7">
        <v>39</v>
      </c>
      <c r="Q84" s="7">
        <v>7</v>
      </c>
      <c r="R84" s="7">
        <v>8.1999999999999993</v>
      </c>
      <c r="S84" s="7">
        <v>6.7749079999999999</v>
      </c>
    </row>
    <row r="85" spans="1:19" x14ac:dyDescent="0.3">
      <c r="A85" s="7" t="s">
        <v>96</v>
      </c>
      <c r="B85" s="7" t="s">
        <v>97</v>
      </c>
      <c r="C85" s="7" t="s">
        <v>146</v>
      </c>
      <c r="D85" s="7">
        <v>4</v>
      </c>
      <c r="E85" s="7">
        <v>307</v>
      </c>
      <c r="F85" s="7">
        <v>63</v>
      </c>
      <c r="G85" s="7">
        <v>13</v>
      </c>
      <c r="H85" s="7">
        <v>105</v>
      </c>
      <c r="I85" s="7" t="s">
        <v>173</v>
      </c>
      <c r="J85" s="7">
        <v>47</v>
      </c>
      <c r="K85" s="7">
        <v>5</v>
      </c>
      <c r="L85" s="7">
        <v>11</v>
      </c>
      <c r="M85" s="7">
        <v>190</v>
      </c>
      <c r="N85" s="7">
        <v>4</v>
      </c>
      <c r="O85" s="7">
        <v>40</v>
      </c>
      <c r="P85" s="7">
        <v>39</v>
      </c>
      <c r="Q85" s="7">
        <v>7</v>
      </c>
      <c r="R85" s="7">
        <v>8</v>
      </c>
      <c r="S85" s="7">
        <v>3.8681983999999998</v>
      </c>
    </row>
    <row r="86" spans="1:19" x14ac:dyDescent="0.3">
      <c r="A86" s="7" t="s">
        <v>96</v>
      </c>
      <c r="B86" s="7" t="s">
        <v>97</v>
      </c>
      <c r="C86" s="7" t="s">
        <v>146</v>
      </c>
      <c r="D86" s="7">
        <v>5</v>
      </c>
      <c r="E86" s="7">
        <v>310</v>
      </c>
      <c r="F86" s="7">
        <v>66</v>
      </c>
      <c r="G86" s="7">
        <v>13</v>
      </c>
      <c r="H86" s="7">
        <v>107</v>
      </c>
      <c r="I86" s="7" t="s">
        <v>173</v>
      </c>
      <c r="J86" s="7">
        <v>47</v>
      </c>
      <c r="K86" s="7">
        <v>5</v>
      </c>
      <c r="L86" s="7">
        <v>11</v>
      </c>
      <c r="M86" s="7">
        <v>195</v>
      </c>
      <c r="N86" s="7">
        <v>5</v>
      </c>
      <c r="O86" s="7">
        <v>43</v>
      </c>
      <c r="P86" s="7">
        <v>39</v>
      </c>
      <c r="Q86" s="7">
        <v>7</v>
      </c>
      <c r="R86" s="7">
        <v>8</v>
      </c>
      <c r="S86" s="7">
        <v>5.3595520000000008</v>
      </c>
    </row>
    <row r="87" spans="1:19" x14ac:dyDescent="0.3">
      <c r="A87" s="7" t="s">
        <v>96</v>
      </c>
      <c r="B87" s="7" t="s">
        <v>97</v>
      </c>
      <c r="C87" s="7" t="s">
        <v>146</v>
      </c>
      <c r="D87" s="7">
        <v>6</v>
      </c>
      <c r="E87" s="7">
        <v>314</v>
      </c>
      <c r="F87" s="7">
        <v>62</v>
      </c>
      <c r="G87" s="7">
        <v>12</v>
      </c>
      <c r="H87" s="7">
        <v>94</v>
      </c>
      <c r="I87" s="7" t="s">
        <v>173</v>
      </c>
      <c r="J87" s="7">
        <v>47</v>
      </c>
      <c r="K87" s="7">
        <v>5</v>
      </c>
      <c r="L87" s="7">
        <v>11</v>
      </c>
      <c r="M87" s="7">
        <v>155</v>
      </c>
      <c r="N87" s="7">
        <v>5</v>
      </c>
      <c r="O87" s="7">
        <v>38.9</v>
      </c>
      <c r="P87" s="7">
        <v>37</v>
      </c>
      <c r="Q87" s="7">
        <v>7</v>
      </c>
      <c r="R87" s="7">
        <v>8</v>
      </c>
      <c r="S87" s="7">
        <v>5.9580000000000002</v>
      </c>
    </row>
    <row r="88" spans="1:19" x14ac:dyDescent="0.3">
      <c r="A88" s="7" t="s">
        <v>96</v>
      </c>
      <c r="B88" s="7" t="s">
        <v>97</v>
      </c>
      <c r="C88" s="7" t="s">
        <v>146</v>
      </c>
      <c r="D88" s="7">
        <v>7</v>
      </c>
      <c r="E88" s="7">
        <v>330</v>
      </c>
      <c r="F88" s="7">
        <v>64</v>
      </c>
      <c r="G88" s="7">
        <v>14</v>
      </c>
      <c r="H88" s="7">
        <v>110</v>
      </c>
      <c r="I88" s="7" t="s">
        <v>177</v>
      </c>
      <c r="J88" s="7">
        <v>44</v>
      </c>
      <c r="K88" s="7">
        <v>2</v>
      </c>
      <c r="L88" s="7">
        <v>11</v>
      </c>
      <c r="M88" s="7">
        <v>180</v>
      </c>
      <c r="N88" s="7">
        <v>6</v>
      </c>
      <c r="O88" s="7">
        <v>42.2</v>
      </c>
      <c r="P88" s="7">
        <v>39</v>
      </c>
      <c r="Q88" s="7">
        <v>7</v>
      </c>
      <c r="R88" s="7">
        <v>8</v>
      </c>
      <c r="S88" s="7">
        <v>5.5385568000000003</v>
      </c>
    </row>
    <row r="89" spans="1:19" x14ac:dyDescent="0.3">
      <c r="A89" s="7" t="s">
        <v>96</v>
      </c>
      <c r="B89" s="7" t="s">
        <v>97</v>
      </c>
      <c r="C89" s="7" t="s">
        <v>146</v>
      </c>
      <c r="D89" s="7">
        <v>8</v>
      </c>
      <c r="E89" s="7">
        <v>336</v>
      </c>
      <c r="F89" s="7">
        <v>64</v>
      </c>
      <c r="G89" s="7">
        <v>14</v>
      </c>
      <c r="H89" s="7">
        <v>110</v>
      </c>
      <c r="I89" s="7" t="s">
        <v>177</v>
      </c>
      <c r="J89" s="7">
        <v>44</v>
      </c>
      <c r="K89" s="7">
        <v>2</v>
      </c>
      <c r="L89" s="7">
        <v>11</v>
      </c>
      <c r="M89" s="7">
        <v>172</v>
      </c>
      <c r="N89" s="7">
        <v>4</v>
      </c>
      <c r="O89" s="7">
        <v>41.5</v>
      </c>
      <c r="P89" s="7">
        <v>39</v>
      </c>
      <c r="Q89" s="7">
        <v>7</v>
      </c>
      <c r="R89" s="7">
        <v>8.1999999999999993</v>
      </c>
      <c r="S89" s="7">
        <v>3.9084479999999999</v>
      </c>
    </row>
    <row r="90" spans="1:19" x14ac:dyDescent="0.3">
      <c r="A90" s="7" t="s">
        <v>96</v>
      </c>
      <c r="B90" s="7" t="s">
        <v>97</v>
      </c>
      <c r="C90" s="7" t="s">
        <v>146</v>
      </c>
      <c r="D90" s="7">
        <v>9</v>
      </c>
      <c r="E90" s="7">
        <v>326</v>
      </c>
      <c r="F90" s="7">
        <v>60</v>
      </c>
      <c r="G90" s="7">
        <v>11</v>
      </c>
      <c r="H90" s="7">
        <v>100</v>
      </c>
      <c r="I90" s="7" t="s">
        <v>174</v>
      </c>
      <c r="J90" s="7">
        <v>42</v>
      </c>
      <c r="K90" s="7">
        <v>52</v>
      </c>
      <c r="L90" s="7">
        <v>11</v>
      </c>
      <c r="M90" s="7">
        <v>190</v>
      </c>
      <c r="N90" s="7">
        <v>4</v>
      </c>
      <c r="O90" s="7">
        <v>40</v>
      </c>
      <c r="P90" s="7">
        <v>39</v>
      </c>
      <c r="Q90" s="7">
        <v>7</v>
      </c>
      <c r="R90" s="7">
        <v>8</v>
      </c>
      <c r="S90" s="7">
        <v>4.0821568000000008</v>
      </c>
    </row>
    <row r="91" spans="1:19" x14ac:dyDescent="0.3">
      <c r="A91" s="7" t="s">
        <v>96</v>
      </c>
      <c r="B91" s="7" t="s">
        <v>97</v>
      </c>
      <c r="C91" s="7" t="s">
        <v>146</v>
      </c>
      <c r="D91" s="7">
        <v>10</v>
      </c>
      <c r="E91" s="7">
        <v>323</v>
      </c>
      <c r="F91" s="7">
        <v>61</v>
      </c>
      <c r="G91" s="7">
        <v>12</v>
      </c>
      <c r="H91" s="7">
        <v>90</v>
      </c>
      <c r="I91" s="7" t="s">
        <v>177</v>
      </c>
      <c r="J91" s="7">
        <v>44</v>
      </c>
      <c r="K91" s="7">
        <v>2</v>
      </c>
      <c r="L91" s="7">
        <v>11</v>
      </c>
      <c r="M91" s="7">
        <v>160</v>
      </c>
      <c r="N91" s="7">
        <v>5</v>
      </c>
      <c r="O91" s="7">
        <v>39.5</v>
      </c>
      <c r="P91" s="7">
        <v>38</v>
      </c>
      <c r="Q91" s="7">
        <v>7</v>
      </c>
      <c r="R91" s="7">
        <v>7.8</v>
      </c>
      <c r="S91" s="7">
        <v>5.2377439999999993</v>
      </c>
    </row>
    <row r="92" spans="1:19" x14ac:dyDescent="0.3">
      <c r="A92" s="7" t="s">
        <v>96</v>
      </c>
      <c r="B92" s="7" t="s">
        <v>97</v>
      </c>
      <c r="C92" s="7" t="s">
        <v>146</v>
      </c>
      <c r="D92" s="7">
        <v>11</v>
      </c>
      <c r="E92" s="7">
        <v>300</v>
      </c>
      <c r="F92" s="7">
        <v>62</v>
      </c>
      <c r="G92" s="7">
        <v>13</v>
      </c>
      <c r="H92" s="7">
        <v>110</v>
      </c>
      <c r="I92" s="7" t="s">
        <v>180</v>
      </c>
      <c r="J92" s="7">
        <v>48</v>
      </c>
      <c r="K92" s="7">
        <v>6</v>
      </c>
      <c r="L92" s="7">
        <v>11</v>
      </c>
      <c r="M92" s="7">
        <v>150</v>
      </c>
      <c r="N92" s="7">
        <v>5</v>
      </c>
      <c r="O92" s="7">
        <v>40</v>
      </c>
      <c r="P92" s="7">
        <v>38</v>
      </c>
      <c r="Q92" s="7">
        <v>7</v>
      </c>
      <c r="R92" s="7">
        <v>7.6</v>
      </c>
      <c r="S92" s="7">
        <v>4.9570560000000006</v>
      </c>
    </row>
    <row r="93" spans="1:19" x14ac:dyDescent="0.3">
      <c r="A93" s="7" t="s">
        <v>96</v>
      </c>
      <c r="B93" s="7" t="s">
        <v>97</v>
      </c>
      <c r="C93" s="7" t="s">
        <v>146</v>
      </c>
      <c r="D93" s="7">
        <v>12</v>
      </c>
      <c r="E93" s="7">
        <v>350</v>
      </c>
      <c r="F93" s="7">
        <v>70</v>
      </c>
      <c r="G93" s="7">
        <v>12</v>
      </c>
      <c r="H93" s="7">
        <v>150</v>
      </c>
      <c r="I93" s="7" t="s">
        <v>176</v>
      </c>
      <c r="J93" s="7">
        <v>45</v>
      </c>
      <c r="K93" s="7">
        <v>3</v>
      </c>
      <c r="L93" s="7">
        <v>10</v>
      </c>
      <c r="M93" s="7">
        <v>200</v>
      </c>
      <c r="N93" s="7">
        <v>6</v>
      </c>
      <c r="O93" s="7">
        <v>50.2</v>
      </c>
      <c r="P93" s="7">
        <v>38</v>
      </c>
      <c r="Q93" s="7">
        <v>8</v>
      </c>
      <c r="R93" s="7">
        <v>8.1999999999999993</v>
      </c>
      <c r="S93" s="7">
        <v>7.7851200000000018</v>
      </c>
    </row>
    <row r="94" spans="1:19" x14ac:dyDescent="0.3">
      <c r="A94" s="7" t="s">
        <v>96</v>
      </c>
      <c r="B94" s="7" t="s">
        <v>97</v>
      </c>
      <c r="C94" s="7" t="s">
        <v>146</v>
      </c>
      <c r="D94" s="7">
        <v>13</v>
      </c>
      <c r="E94" s="7">
        <v>357</v>
      </c>
      <c r="F94" s="7">
        <v>68</v>
      </c>
      <c r="G94" s="7">
        <v>13</v>
      </c>
      <c r="H94" s="7">
        <v>130</v>
      </c>
      <c r="I94" s="7" t="s">
        <v>176</v>
      </c>
      <c r="J94" s="7">
        <v>45</v>
      </c>
      <c r="K94" s="7">
        <v>3</v>
      </c>
      <c r="L94" s="7">
        <v>11</v>
      </c>
      <c r="M94" s="7">
        <v>165</v>
      </c>
      <c r="N94" s="7">
        <v>5</v>
      </c>
      <c r="O94" s="7">
        <v>49</v>
      </c>
      <c r="P94" s="7">
        <v>39</v>
      </c>
      <c r="Q94" s="7">
        <v>8</v>
      </c>
      <c r="R94" s="7">
        <v>8</v>
      </c>
      <c r="S94" s="7">
        <v>6.0374400000000001</v>
      </c>
    </row>
    <row r="95" spans="1:19" x14ac:dyDescent="0.3">
      <c r="A95" s="7" t="s">
        <v>96</v>
      </c>
      <c r="B95" s="7" t="s">
        <v>97</v>
      </c>
      <c r="C95" s="7" t="s">
        <v>146</v>
      </c>
      <c r="D95" s="7">
        <v>14</v>
      </c>
      <c r="E95" s="7">
        <v>333</v>
      </c>
      <c r="F95" s="7">
        <v>61</v>
      </c>
      <c r="G95" s="7">
        <v>13</v>
      </c>
      <c r="H95" s="7">
        <v>100</v>
      </c>
      <c r="I95" s="7" t="s">
        <v>177</v>
      </c>
      <c r="J95" s="7">
        <v>44</v>
      </c>
      <c r="K95" s="7">
        <v>2</v>
      </c>
      <c r="L95" s="7">
        <v>11</v>
      </c>
      <c r="M95" s="7">
        <v>160</v>
      </c>
      <c r="N95" s="7">
        <v>5</v>
      </c>
      <c r="O95" s="7">
        <v>40.200000000000003</v>
      </c>
      <c r="P95" s="7">
        <v>39</v>
      </c>
      <c r="Q95" s="7">
        <v>7</v>
      </c>
      <c r="R95" s="7">
        <v>7.6</v>
      </c>
      <c r="S95" s="7">
        <v>5.4138360000000008</v>
      </c>
    </row>
    <row r="96" spans="1:19" x14ac:dyDescent="0.3">
      <c r="A96" s="7" t="s">
        <v>96</v>
      </c>
      <c r="B96" s="7" t="s">
        <v>172</v>
      </c>
      <c r="C96" s="7" t="s">
        <v>147</v>
      </c>
      <c r="D96" s="7">
        <v>1</v>
      </c>
      <c r="E96" s="7">
        <v>330</v>
      </c>
      <c r="F96" s="7">
        <v>66</v>
      </c>
      <c r="G96" s="7">
        <v>13</v>
      </c>
      <c r="H96" s="7">
        <v>130</v>
      </c>
      <c r="I96" s="7" t="s">
        <v>178</v>
      </c>
      <c r="J96" s="7">
        <v>46</v>
      </c>
      <c r="K96" s="7">
        <v>4</v>
      </c>
      <c r="L96" s="7">
        <v>11</v>
      </c>
      <c r="M96" s="7">
        <v>210</v>
      </c>
      <c r="N96" s="7">
        <v>5</v>
      </c>
      <c r="O96" s="7">
        <v>48.5</v>
      </c>
      <c r="P96" s="7">
        <v>39</v>
      </c>
      <c r="Q96" s="7">
        <v>8</v>
      </c>
      <c r="R96" s="7">
        <v>8</v>
      </c>
      <c r="S96" s="7">
        <v>5.8467840000000004</v>
      </c>
    </row>
    <row r="97" spans="1:19" x14ac:dyDescent="0.3">
      <c r="A97" s="7" t="s">
        <v>96</v>
      </c>
      <c r="B97" s="7" t="s">
        <v>172</v>
      </c>
      <c r="C97" s="7" t="s">
        <v>147</v>
      </c>
      <c r="D97" s="7">
        <v>5</v>
      </c>
      <c r="E97" s="7">
        <v>308</v>
      </c>
      <c r="F97" s="7">
        <v>62</v>
      </c>
      <c r="G97" s="7">
        <v>12</v>
      </c>
      <c r="H97" s="7">
        <v>90</v>
      </c>
      <c r="I97" s="7" t="s">
        <v>175</v>
      </c>
      <c r="J97" s="7">
        <v>43</v>
      </c>
      <c r="K97" s="7">
        <v>1</v>
      </c>
      <c r="L97" s="7">
        <v>11</v>
      </c>
      <c r="M97" s="7">
        <v>154</v>
      </c>
      <c r="N97" s="7">
        <v>6</v>
      </c>
      <c r="O97" s="7">
        <v>38</v>
      </c>
      <c r="P97" s="7">
        <v>39</v>
      </c>
      <c r="Q97" s="7">
        <v>7</v>
      </c>
      <c r="R97" s="7">
        <v>7.66</v>
      </c>
      <c r="S97" s="7">
        <v>7.4355840000000022</v>
      </c>
    </row>
    <row r="98" spans="1:19" x14ac:dyDescent="0.3">
      <c r="A98" s="7" t="s">
        <v>96</v>
      </c>
      <c r="B98" s="7" t="s">
        <v>172</v>
      </c>
      <c r="C98" s="7" t="s">
        <v>147</v>
      </c>
      <c r="D98" s="7">
        <v>6</v>
      </c>
      <c r="E98" s="7">
        <v>313</v>
      </c>
      <c r="F98" s="7">
        <v>58</v>
      </c>
      <c r="G98" s="7">
        <v>12</v>
      </c>
      <c r="H98" s="7">
        <v>105</v>
      </c>
      <c r="I98" s="7" t="s">
        <v>176</v>
      </c>
      <c r="J98" s="7">
        <v>43</v>
      </c>
      <c r="K98" s="7">
        <v>1</v>
      </c>
      <c r="L98" s="7">
        <v>11</v>
      </c>
      <c r="M98" s="7">
        <v>147</v>
      </c>
      <c r="N98" s="7">
        <v>5</v>
      </c>
      <c r="O98" s="7">
        <v>34</v>
      </c>
      <c r="P98" s="7">
        <v>39</v>
      </c>
      <c r="Q98" s="7">
        <v>6</v>
      </c>
      <c r="R98" s="7">
        <v>8.1999999999999993</v>
      </c>
      <c r="S98" s="7">
        <v>4.6896080000000007</v>
      </c>
    </row>
    <row r="99" spans="1:19" x14ac:dyDescent="0.3">
      <c r="A99" s="7" t="s">
        <v>96</v>
      </c>
      <c r="B99" s="7" t="s">
        <v>172</v>
      </c>
      <c r="C99" s="7" t="s">
        <v>147</v>
      </c>
      <c r="D99" s="7">
        <v>7</v>
      </c>
      <c r="E99" s="7">
        <v>320</v>
      </c>
      <c r="F99" s="7">
        <v>62</v>
      </c>
      <c r="G99" s="7">
        <v>13</v>
      </c>
      <c r="H99" s="7">
        <v>106</v>
      </c>
      <c r="I99" s="7" t="s">
        <v>175</v>
      </c>
      <c r="J99" s="7">
        <v>43</v>
      </c>
      <c r="K99" s="7">
        <v>1</v>
      </c>
      <c r="L99" s="7">
        <v>11</v>
      </c>
      <c r="M99" s="7">
        <v>200</v>
      </c>
      <c r="N99" s="7">
        <v>6</v>
      </c>
      <c r="O99" s="7">
        <v>40</v>
      </c>
      <c r="P99" s="7">
        <v>39</v>
      </c>
      <c r="Q99" s="7">
        <v>7</v>
      </c>
      <c r="R99" s="7">
        <v>8</v>
      </c>
      <c r="S99" s="7">
        <v>6.8229427200000003</v>
      </c>
    </row>
    <row r="100" spans="1:19" x14ac:dyDescent="0.3">
      <c r="A100" s="7" t="s">
        <v>96</v>
      </c>
      <c r="B100" s="7" t="s">
        <v>172</v>
      </c>
      <c r="C100" s="7" t="s">
        <v>147</v>
      </c>
      <c r="D100" s="7">
        <v>10</v>
      </c>
      <c r="E100" s="7">
        <v>340</v>
      </c>
      <c r="F100" s="7">
        <v>67</v>
      </c>
      <c r="G100" s="7">
        <v>13</v>
      </c>
      <c r="H100" s="7">
        <v>108</v>
      </c>
      <c r="I100" s="7" t="s">
        <v>176</v>
      </c>
      <c r="J100" s="7">
        <v>45</v>
      </c>
      <c r="K100" s="7">
        <v>3</v>
      </c>
      <c r="L100" s="7">
        <v>11</v>
      </c>
      <c r="M100" s="7">
        <v>163</v>
      </c>
      <c r="N100" s="7">
        <v>6</v>
      </c>
      <c r="O100" s="7">
        <v>41.7</v>
      </c>
      <c r="P100" s="7">
        <v>38</v>
      </c>
      <c r="Q100" s="7">
        <v>7</v>
      </c>
      <c r="R100" s="7">
        <v>7.8</v>
      </c>
      <c r="S100" s="7">
        <v>5.4718271999999999</v>
      </c>
    </row>
    <row r="101" spans="1:19" x14ac:dyDescent="0.3">
      <c r="A101" s="7" t="s">
        <v>96</v>
      </c>
      <c r="B101" s="7" t="s">
        <v>172</v>
      </c>
      <c r="C101" s="7" t="s">
        <v>147</v>
      </c>
      <c r="D101" s="7">
        <v>12</v>
      </c>
      <c r="E101" s="7">
        <v>308</v>
      </c>
      <c r="F101" s="7">
        <v>63</v>
      </c>
      <c r="G101" s="7">
        <v>11</v>
      </c>
      <c r="H101" s="7">
        <v>143</v>
      </c>
      <c r="I101" s="7" t="s">
        <v>179</v>
      </c>
      <c r="J101" s="7">
        <v>49</v>
      </c>
      <c r="K101" s="7">
        <v>7</v>
      </c>
      <c r="L101" s="7">
        <v>11</v>
      </c>
      <c r="M101" s="7">
        <v>110</v>
      </c>
      <c r="N101" s="7">
        <v>5</v>
      </c>
      <c r="O101" s="7">
        <v>30</v>
      </c>
      <c r="P101" s="7">
        <v>37</v>
      </c>
      <c r="Q101" s="7">
        <v>6</v>
      </c>
      <c r="R101" s="7">
        <v>7.2</v>
      </c>
      <c r="S101" s="7">
        <v>4.3427200000000008</v>
      </c>
    </row>
    <row r="102" spans="1:19" x14ac:dyDescent="0.3">
      <c r="A102" s="7" t="s">
        <v>96</v>
      </c>
      <c r="B102" s="7" t="s">
        <v>99</v>
      </c>
      <c r="C102" s="7" t="s">
        <v>146</v>
      </c>
      <c r="D102" s="7">
        <v>6</v>
      </c>
      <c r="E102" s="7">
        <v>315</v>
      </c>
      <c r="F102" s="7">
        <v>62</v>
      </c>
      <c r="G102" s="7">
        <v>10</v>
      </c>
      <c r="H102" s="7">
        <v>100</v>
      </c>
      <c r="I102" s="7" t="s">
        <v>173</v>
      </c>
      <c r="J102" s="7">
        <v>3</v>
      </c>
      <c r="K102" s="7">
        <v>13</v>
      </c>
      <c r="L102" s="7">
        <v>11</v>
      </c>
      <c r="M102" s="7">
        <v>140</v>
      </c>
      <c r="N102" s="7">
        <v>5</v>
      </c>
      <c r="O102" s="7">
        <v>40</v>
      </c>
      <c r="P102" s="7">
        <v>38</v>
      </c>
      <c r="Q102" s="7">
        <v>7</v>
      </c>
      <c r="R102" s="7">
        <v>7.8</v>
      </c>
      <c r="S102" s="7">
        <v>5.3595520000000008</v>
      </c>
    </row>
    <row r="103" spans="1:19" x14ac:dyDescent="0.3">
      <c r="A103" s="7" t="s">
        <v>96</v>
      </c>
      <c r="B103" s="7" t="s">
        <v>99</v>
      </c>
      <c r="C103" s="7" t="s">
        <v>146</v>
      </c>
      <c r="D103" s="7">
        <v>9</v>
      </c>
      <c r="E103" s="7">
        <v>330</v>
      </c>
      <c r="F103" s="7">
        <v>64</v>
      </c>
      <c r="G103" s="7">
        <v>13</v>
      </c>
      <c r="H103" s="7">
        <v>125</v>
      </c>
      <c r="I103" s="7" t="s">
        <v>174</v>
      </c>
      <c r="J103" s="7">
        <v>42</v>
      </c>
      <c r="K103" s="7">
        <v>52</v>
      </c>
      <c r="L103" s="7">
        <v>11</v>
      </c>
      <c r="M103" s="7">
        <v>192</v>
      </c>
      <c r="N103" s="7">
        <v>6</v>
      </c>
      <c r="O103" s="7">
        <v>41</v>
      </c>
      <c r="P103" s="7">
        <v>39</v>
      </c>
      <c r="Q103" s="7">
        <v>7</v>
      </c>
      <c r="R103" s="7">
        <v>7.4</v>
      </c>
      <c r="S103" s="7">
        <v>7.3211904000000008</v>
      </c>
    </row>
    <row r="104" spans="1:19" x14ac:dyDescent="0.3">
      <c r="A104" s="7" t="s">
        <v>182</v>
      </c>
      <c r="B104" s="7" t="s">
        <v>97</v>
      </c>
      <c r="C104" s="7" t="s">
        <v>144</v>
      </c>
      <c r="D104" s="7">
        <v>1</v>
      </c>
      <c r="E104" s="7">
        <v>333</v>
      </c>
      <c r="F104" s="7">
        <v>64</v>
      </c>
      <c r="G104" s="7">
        <v>15</v>
      </c>
      <c r="H104" s="7">
        <v>142</v>
      </c>
      <c r="I104" s="7" t="s">
        <v>176</v>
      </c>
      <c r="J104" s="7">
        <v>45</v>
      </c>
      <c r="K104" s="7">
        <v>3</v>
      </c>
      <c r="L104" s="7">
        <v>11</v>
      </c>
      <c r="M104" s="7">
        <v>192</v>
      </c>
      <c r="N104" s="7">
        <v>6</v>
      </c>
      <c r="O104" s="7">
        <v>36.1</v>
      </c>
      <c r="P104" s="7">
        <v>37</v>
      </c>
      <c r="Q104" s="7">
        <v>7</v>
      </c>
      <c r="R104" s="7">
        <v>7.8</v>
      </c>
      <c r="S104" s="7">
        <v>6.7968864</v>
      </c>
    </row>
    <row r="105" spans="1:19" x14ac:dyDescent="0.3">
      <c r="A105" s="7" t="s">
        <v>182</v>
      </c>
      <c r="B105" s="7" t="s">
        <v>97</v>
      </c>
      <c r="C105" s="7" t="s">
        <v>144</v>
      </c>
      <c r="D105" s="7">
        <v>2</v>
      </c>
      <c r="E105" s="7">
        <v>350</v>
      </c>
      <c r="F105" s="7">
        <v>65</v>
      </c>
      <c r="G105" s="7">
        <v>11</v>
      </c>
      <c r="H105" s="7">
        <v>83</v>
      </c>
      <c r="I105" s="7" t="s">
        <v>178</v>
      </c>
      <c r="J105" s="7">
        <v>46</v>
      </c>
      <c r="K105" s="7">
        <v>4</v>
      </c>
      <c r="L105" s="7">
        <v>11</v>
      </c>
      <c r="M105" s="7">
        <v>172</v>
      </c>
      <c r="N105" s="7">
        <v>7</v>
      </c>
      <c r="O105" s="7">
        <v>40.299999999999997</v>
      </c>
      <c r="P105" s="7">
        <v>37</v>
      </c>
      <c r="Q105" s="7">
        <v>7</v>
      </c>
      <c r="R105" s="7">
        <v>8.1999999999999993</v>
      </c>
      <c r="S105" s="7">
        <v>7.0066080000000008</v>
      </c>
    </row>
    <row r="106" spans="1:19" x14ac:dyDescent="0.3">
      <c r="A106" s="7" t="s">
        <v>182</v>
      </c>
      <c r="B106" s="7" t="s">
        <v>97</v>
      </c>
      <c r="C106" s="7" t="s">
        <v>144</v>
      </c>
      <c r="D106" s="7">
        <v>4</v>
      </c>
      <c r="E106" s="7">
        <v>335</v>
      </c>
      <c r="F106" s="7">
        <v>64</v>
      </c>
      <c r="G106" s="7">
        <v>12</v>
      </c>
      <c r="H106" s="7">
        <v>117</v>
      </c>
      <c r="I106" s="7" t="s">
        <v>173</v>
      </c>
      <c r="J106" s="7">
        <v>47</v>
      </c>
      <c r="K106" s="7">
        <v>5</v>
      </c>
      <c r="L106" s="7">
        <v>11</v>
      </c>
      <c r="M106" s="7">
        <v>163</v>
      </c>
      <c r="N106" s="7">
        <v>6</v>
      </c>
      <c r="O106" s="7">
        <v>37.700000000000003</v>
      </c>
      <c r="P106" s="7">
        <v>38</v>
      </c>
      <c r="Q106" s="7">
        <v>7</v>
      </c>
      <c r="R106" s="7">
        <v>7.8</v>
      </c>
      <c r="S106" s="7">
        <v>7.7673254400000014</v>
      </c>
    </row>
    <row r="107" spans="1:19" x14ac:dyDescent="0.3">
      <c r="A107" s="7" t="s">
        <v>182</v>
      </c>
      <c r="B107" s="7" t="s">
        <v>97</v>
      </c>
      <c r="C107" s="7" t="s">
        <v>144</v>
      </c>
      <c r="D107" s="7">
        <v>6</v>
      </c>
      <c r="E107" s="7">
        <v>300</v>
      </c>
      <c r="F107" s="7">
        <v>59</v>
      </c>
      <c r="G107" s="7">
        <v>13</v>
      </c>
      <c r="H107" s="7">
        <v>110</v>
      </c>
      <c r="I107" s="7" t="s">
        <v>175</v>
      </c>
      <c r="J107" s="7">
        <v>43</v>
      </c>
      <c r="K107" s="7">
        <v>1</v>
      </c>
      <c r="L107" s="7">
        <v>11</v>
      </c>
      <c r="M107" s="7">
        <v>160</v>
      </c>
      <c r="N107" s="7">
        <v>9</v>
      </c>
      <c r="O107" s="7">
        <v>20.5</v>
      </c>
      <c r="P107" s="7">
        <v>37</v>
      </c>
      <c r="Q107" s="7">
        <v>5</v>
      </c>
      <c r="R107" s="7">
        <v>7.4</v>
      </c>
      <c r="S107" s="7">
        <v>8.9503459200000002</v>
      </c>
    </row>
    <row r="108" spans="1:19" x14ac:dyDescent="0.3">
      <c r="A108" s="7" t="s">
        <v>182</v>
      </c>
      <c r="B108" s="7" t="s">
        <v>97</v>
      </c>
      <c r="C108" s="7" t="s">
        <v>144</v>
      </c>
      <c r="D108" s="7">
        <v>9</v>
      </c>
      <c r="E108" s="7">
        <v>350</v>
      </c>
      <c r="F108" s="7">
        <v>62</v>
      </c>
      <c r="G108" s="7">
        <v>15</v>
      </c>
      <c r="H108" s="7">
        <v>145</v>
      </c>
      <c r="I108" s="7" t="s">
        <v>174</v>
      </c>
      <c r="J108" s="7">
        <v>42</v>
      </c>
      <c r="K108" s="7">
        <v>52</v>
      </c>
      <c r="L108" s="7">
        <v>11</v>
      </c>
      <c r="M108" s="7">
        <v>200</v>
      </c>
      <c r="N108" s="7">
        <v>5</v>
      </c>
      <c r="O108" s="7">
        <v>43</v>
      </c>
      <c r="P108" s="7">
        <v>39</v>
      </c>
      <c r="Q108" s="7">
        <v>7</v>
      </c>
      <c r="R108" s="7">
        <v>7.6</v>
      </c>
      <c r="S108" s="7">
        <v>4.72668</v>
      </c>
    </row>
    <row r="109" spans="1:19" x14ac:dyDescent="0.3">
      <c r="A109" s="7" t="s">
        <v>182</v>
      </c>
      <c r="B109" s="7" t="s">
        <v>97</v>
      </c>
      <c r="C109" s="7" t="s">
        <v>144</v>
      </c>
      <c r="D109" s="7">
        <v>10</v>
      </c>
      <c r="E109" s="7">
        <v>330</v>
      </c>
      <c r="F109" s="7">
        <v>59</v>
      </c>
      <c r="G109" s="7">
        <v>12</v>
      </c>
      <c r="H109" s="7">
        <v>115</v>
      </c>
      <c r="I109" s="7" t="s">
        <v>176</v>
      </c>
      <c r="J109" s="7">
        <v>45</v>
      </c>
      <c r="K109" s="7">
        <v>3</v>
      </c>
      <c r="L109" s="7">
        <v>11</v>
      </c>
      <c r="M109" s="7">
        <v>173</v>
      </c>
      <c r="N109" s="7">
        <v>3</v>
      </c>
      <c r="O109" s="7">
        <v>32.5</v>
      </c>
      <c r="P109" s="7">
        <v>39</v>
      </c>
      <c r="Q109" s="7">
        <v>6</v>
      </c>
      <c r="R109" s="7">
        <v>7.8</v>
      </c>
      <c r="S109" s="7">
        <v>2.7737270399999998</v>
      </c>
    </row>
    <row r="110" spans="1:19" x14ac:dyDescent="0.3">
      <c r="A110" s="7" t="s">
        <v>182</v>
      </c>
      <c r="B110" s="7" t="s">
        <v>97</v>
      </c>
      <c r="C110" s="7" t="s">
        <v>144</v>
      </c>
      <c r="D110" s="7">
        <v>12</v>
      </c>
      <c r="E110" s="7">
        <v>335</v>
      </c>
      <c r="F110" s="7">
        <v>61</v>
      </c>
      <c r="G110" s="7">
        <v>12</v>
      </c>
      <c r="H110" s="7">
        <v>75</v>
      </c>
      <c r="I110" s="7" t="s">
        <v>179</v>
      </c>
      <c r="J110" s="7">
        <v>41</v>
      </c>
      <c r="K110" s="7">
        <v>51</v>
      </c>
      <c r="L110" s="7">
        <v>11</v>
      </c>
      <c r="M110" s="7">
        <v>120</v>
      </c>
      <c r="N110" s="7">
        <v>7</v>
      </c>
      <c r="O110" s="7">
        <v>45.3</v>
      </c>
      <c r="P110" s="7">
        <v>40</v>
      </c>
      <c r="Q110" s="7">
        <v>7</v>
      </c>
      <c r="R110" s="7">
        <v>8.4</v>
      </c>
      <c r="S110" s="7">
        <v>6.8509056000000008</v>
      </c>
    </row>
    <row r="111" spans="1:19" x14ac:dyDescent="0.3">
      <c r="A111" s="7" t="s">
        <v>182</v>
      </c>
      <c r="B111" s="7" t="s">
        <v>97</v>
      </c>
      <c r="C111" s="7" t="s">
        <v>144</v>
      </c>
      <c r="D111" s="7">
        <v>13</v>
      </c>
      <c r="E111" s="7">
        <v>340</v>
      </c>
      <c r="F111" s="7">
        <v>63</v>
      </c>
      <c r="G111" s="7">
        <v>11</v>
      </c>
      <c r="H111" s="7">
        <v>117</v>
      </c>
      <c r="I111" s="7" t="s">
        <v>173</v>
      </c>
      <c r="J111" s="7">
        <v>47</v>
      </c>
      <c r="K111" s="7">
        <v>5</v>
      </c>
      <c r="L111" s="7">
        <v>11</v>
      </c>
      <c r="M111" s="7">
        <v>183</v>
      </c>
      <c r="N111" s="7">
        <v>6</v>
      </c>
      <c r="O111" s="7">
        <v>43.2</v>
      </c>
      <c r="P111" s="7">
        <v>38</v>
      </c>
      <c r="Q111" s="7">
        <v>7</v>
      </c>
      <c r="R111" s="7">
        <v>7.2</v>
      </c>
      <c r="S111" s="7">
        <v>5.8988966400000002</v>
      </c>
    </row>
    <row r="112" spans="1:19" x14ac:dyDescent="0.3">
      <c r="A112" s="7" t="s">
        <v>182</v>
      </c>
      <c r="B112" s="7" t="s">
        <v>172</v>
      </c>
      <c r="C112" s="7" t="s">
        <v>146</v>
      </c>
      <c r="D112" s="7">
        <v>1</v>
      </c>
      <c r="E112" s="7">
        <v>320</v>
      </c>
      <c r="F112" s="7">
        <v>65</v>
      </c>
      <c r="G112" s="7">
        <v>12</v>
      </c>
      <c r="H112" s="7">
        <v>76</v>
      </c>
      <c r="I112" s="7" t="s">
        <v>176</v>
      </c>
      <c r="J112" s="7">
        <v>45</v>
      </c>
      <c r="K112" s="7">
        <v>3</v>
      </c>
      <c r="L112" s="7">
        <v>11</v>
      </c>
      <c r="M112" s="7">
        <v>80</v>
      </c>
      <c r="N112" s="7">
        <v>7</v>
      </c>
      <c r="O112" s="7">
        <v>34.9</v>
      </c>
      <c r="P112" s="7">
        <v>39</v>
      </c>
      <c r="Q112" s="7">
        <v>6</v>
      </c>
      <c r="R112" s="7">
        <v>8.4</v>
      </c>
      <c r="S112" s="7">
        <v>5.9315200000000008</v>
      </c>
    </row>
    <row r="113" spans="1:19" x14ac:dyDescent="0.3">
      <c r="A113" s="7" t="s">
        <v>182</v>
      </c>
      <c r="B113" s="7" t="s">
        <v>172</v>
      </c>
      <c r="C113" s="7" t="s">
        <v>146</v>
      </c>
      <c r="D113" s="7">
        <v>2</v>
      </c>
      <c r="E113" s="7">
        <v>340</v>
      </c>
      <c r="F113" s="7">
        <v>63</v>
      </c>
      <c r="G113" s="7">
        <v>15</v>
      </c>
      <c r="H113" s="7">
        <v>124</v>
      </c>
      <c r="I113" s="7" t="s">
        <v>176</v>
      </c>
      <c r="J113" s="7">
        <v>45</v>
      </c>
      <c r="K113" s="7">
        <v>3</v>
      </c>
      <c r="L113" s="7">
        <v>11</v>
      </c>
      <c r="M113" s="7">
        <v>186</v>
      </c>
      <c r="N113" s="7">
        <v>6</v>
      </c>
      <c r="O113" s="7">
        <v>40.200000000000003</v>
      </c>
      <c r="P113" s="7">
        <v>38</v>
      </c>
      <c r="Q113" s="7">
        <v>7</v>
      </c>
      <c r="R113" s="7">
        <v>8.4</v>
      </c>
      <c r="S113" s="7">
        <v>6.9208128000000002</v>
      </c>
    </row>
    <row r="114" spans="1:19" x14ac:dyDescent="0.3">
      <c r="A114" s="7" t="s">
        <v>182</v>
      </c>
      <c r="B114" s="7" t="s">
        <v>172</v>
      </c>
      <c r="C114" s="7" t="s">
        <v>146</v>
      </c>
      <c r="D114" s="7">
        <v>3</v>
      </c>
      <c r="E114" s="7">
        <v>335</v>
      </c>
      <c r="F114" s="7">
        <v>64</v>
      </c>
      <c r="G114" s="7">
        <v>13</v>
      </c>
      <c r="H114" s="7">
        <v>106</v>
      </c>
      <c r="I114" s="7" t="s">
        <v>178</v>
      </c>
      <c r="J114" s="7">
        <v>46</v>
      </c>
      <c r="K114" s="7">
        <v>4</v>
      </c>
      <c r="L114" s="7">
        <v>11</v>
      </c>
      <c r="M114" s="7">
        <v>150</v>
      </c>
      <c r="N114" s="7">
        <v>5</v>
      </c>
      <c r="O114" s="7">
        <v>41</v>
      </c>
      <c r="P114" s="7">
        <v>38</v>
      </c>
      <c r="Q114" s="7">
        <v>7</v>
      </c>
      <c r="R114" s="7">
        <v>8.1999999999999993</v>
      </c>
      <c r="S114" s="7">
        <v>5.5422640000000003</v>
      </c>
    </row>
    <row r="115" spans="1:19" x14ac:dyDescent="0.3">
      <c r="A115" s="7" t="s">
        <v>182</v>
      </c>
      <c r="B115" s="7" t="s">
        <v>172</v>
      </c>
      <c r="C115" s="7" t="s">
        <v>146</v>
      </c>
      <c r="D115" s="7">
        <v>4</v>
      </c>
      <c r="E115" s="7">
        <v>325</v>
      </c>
      <c r="F115" s="7">
        <v>66</v>
      </c>
      <c r="G115" s="7">
        <v>11</v>
      </c>
      <c r="H115" s="7">
        <v>135</v>
      </c>
      <c r="I115" s="7" t="s">
        <v>178</v>
      </c>
      <c r="J115" s="7">
        <v>46</v>
      </c>
      <c r="K115" s="7">
        <v>4</v>
      </c>
      <c r="L115" s="7">
        <v>11</v>
      </c>
      <c r="M115" s="7">
        <v>204</v>
      </c>
      <c r="N115" s="7">
        <v>5</v>
      </c>
      <c r="O115" s="7">
        <v>43</v>
      </c>
      <c r="P115" s="7">
        <v>39</v>
      </c>
      <c r="Q115" s="7">
        <v>7</v>
      </c>
      <c r="R115" s="7">
        <v>8</v>
      </c>
      <c r="S115" s="7">
        <v>5.3026200000000001</v>
      </c>
    </row>
    <row r="116" spans="1:19" x14ac:dyDescent="0.3">
      <c r="A116" s="7" t="s">
        <v>182</v>
      </c>
      <c r="B116" s="7" t="s">
        <v>172</v>
      </c>
      <c r="C116" s="7" t="s">
        <v>146</v>
      </c>
      <c r="D116" s="7">
        <v>5</v>
      </c>
      <c r="E116" s="7">
        <v>336</v>
      </c>
      <c r="F116" s="7">
        <v>64</v>
      </c>
      <c r="G116" s="7">
        <v>11</v>
      </c>
      <c r="H116" s="7">
        <v>170</v>
      </c>
      <c r="I116" s="7" t="s">
        <v>178</v>
      </c>
      <c r="J116" s="7">
        <v>46</v>
      </c>
      <c r="K116" s="7">
        <v>4</v>
      </c>
      <c r="L116" s="7">
        <v>11</v>
      </c>
      <c r="M116" s="7">
        <v>216</v>
      </c>
      <c r="N116" s="7">
        <v>5</v>
      </c>
      <c r="O116" s="7">
        <v>41.8</v>
      </c>
      <c r="P116" s="7">
        <v>37</v>
      </c>
      <c r="Q116" s="7">
        <v>7</v>
      </c>
      <c r="R116" s="7">
        <v>7.4</v>
      </c>
      <c r="S116" s="7">
        <v>6.1009919999999997</v>
      </c>
    </row>
    <row r="117" spans="1:19" x14ac:dyDescent="0.3">
      <c r="A117" s="7" t="s">
        <v>182</v>
      </c>
      <c r="B117" s="7" t="s">
        <v>172</v>
      </c>
      <c r="C117" s="7" t="s">
        <v>146</v>
      </c>
      <c r="D117" s="7">
        <v>6</v>
      </c>
      <c r="E117" s="7">
        <v>315</v>
      </c>
      <c r="F117" s="7">
        <v>57</v>
      </c>
      <c r="G117" s="7">
        <v>13</v>
      </c>
      <c r="H117" s="7">
        <v>120</v>
      </c>
      <c r="I117" s="7" t="s">
        <v>176</v>
      </c>
      <c r="J117" s="7">
        <v>45</v>
      </c>
      <c r="K117" s="7">
        <v>3</v>
      </c>
      <c r="L117" s="7">
        <v>11</v>
      </c>
      <c r="M117" s="7">
        <v>155</v>
      </c>
      <c r="N117" s="7">
        <v>6</v>
      </c>
      <c r="O117" s="7">
        <v>28.9</v>
      </c>
      <c r="P117" s="7">
        <v>37</v>
      </c>
      <c r="Q117" s="7">
        <v>6</v>
      </c>
      <c r="R117" s="7">
        <v>7</v>
      </c>
      <c r="S117" s="7">
        <v>5.8722047999999996</v>
      </c>
    </row>
    <row r="118" spans="1:19" x14ac:dyDescent="0.3">
      <c r="A118" s="7" t="s">
        <v>182</v>
      </c>
      <c r="B118" s="7" t="s">
        <v>172</v>
      </c>
      <c r="C118" s="7" t="s">
        <v>146</v>
      </c>
      <c r="D118" s="7">
        <v>7</v>
      </c>
      <c r="E118" s="7">
        <v>315</v>
      </c>
      <c r="F118" s="7">
        <v>57</v>
      </c>
      <c r="G118" s="7">
        <v>12</v>
      </c>
      <c r="H118" s="7">
        <v>142</v>
      </c>
      <c r="I118" s="7" t="s">
        <v>176</v>
      </c>
      <c r="J118" s="7">
        <v>45</v>
      </c>
      <c r="K118" s="7">
        <v>3</v>
      </c>
      <c r="L118" s="7">
        <v>11</v>
      </c>
      <c r="M118" s="7">
        <v>194</v>
      </c>
      <c r="N118" s="7">
        <v>5</v>
      </c>
      <c r="O118" s="7">
        <v>32.700000000000003</v>
      </c>
      <c r="P118" s="7">
        <v>37</v>
      </c>
      <c r="Q118" s="7">
        <v>6</v>
      </c>
      <c r="R118" s="7">
        <v>7.6</v>
      </c>
      <c r="S118" s="7">
        <v>4.2368000000000023</v>
      </c>
    </row>
    <row r="119" spans="1:19" x14ac:dyDescent="0.3">
      <c r="A119" s="7" t="s">
        <v>182</v>
      </c>
      <c r="B119" s="7" t="s">
        <v>172</v>
      </c>
      <c r="C119" s="7" t="s">
        <v>146</v>
      </c>
      <c r="D119" s="7">
        <v>9</v>
      </c>
      <c r="E119" s="7">
        <v>345</v>
      </c>
      <c r="F119" s="7">
        <v>66</v>
      </c>
      <c r="G119" s="7">
        <v>14</v>
      </c>
      <c r="H119" s="7">
        <v>93</v>
      </c>
      <c r="I119" s="7" t="s">
        <v>175</v>
      </c>
      <c r="J119" s="7">
        <v>43</v>
      </c>
      <c r="K119" s="7">
        <v>52</v>
      </c>
      <c r="L119" s="7">
        <v>10</v>
      </c>
      <c r="M119" s="7">
        <v>192</v>
      </c>
      <c r="N119" s="7">
        <v>6</v>
      </c>
      <c r="O119" s="7">
        <v>46</v>
      </c>
      <c r="P119" s="7">
        <v>39</v>
      </c>
      <c r="Q119" s="7">
        <v>7</v>
      </c>
      <c r="R119" s="7">
        <v>8</v>
      </c>
      <c r="S119" s="7">
        <v>7.1623104000000017</v>
      </c>
    </row>
    <row r="120" spans="1:19" x14ac:dyDescent="0.3">
      <c r="A120" s="7" t="s">
        <v>182</v>
      </c>
      <c r="B120" s="7" t="s">
        <v>109</v>
      </c>
      <c r="C120" s="7" t="s">
        <v>147</v>
      </c>
      <c r="D120" s="7">
        <v>3</v>
      </c>
      <c r="E120" s="7">
        <v>353</v>
      </c>
      <c r="F120" s="7">
        <v>69</v>
      </c>
      <c r="G120" s="7">
        <v>14</v>
      </c>
      <c r="H120" s="7">
        <v>210</v>
      </c>
      <c r="I120" s="7" t="s">
        <v>177</v>
      </c>
      <c r="J120" s="7">
        <v>44</v>
      </c>
      <c r="K120" s="7">
        <v>2</v>
      </c>
      <c r="L120" s="7">
        <v>12</v>
      </c>
      <c r="M120" s="7">
        <v>235</v>
      </c>
      <c r="N120" s="7">
        <v>6</v>
      </c>
      <c r="O120" s="7">
        <v>38.799999999999997</v>
      </c>
      <c r="P120" s="7">
        <v>37</v>
      </c>
      <c r="Q120" s="7">
        <v>7</v>
      </c>
      <c r="R120" s="7">
        <v>8.4</v>
      </c>
      <c r="S120" s="7">
        <v>6.5776320000000004</v>
      </c>
    </row>
    <row r="121" spans="1:19" x14ac:dyDescent="0.3">
      <c r="A121" s="7" t="s">
        <v>182</v>
      </c>
      <c r="B121" s="7" t="s">
        <v>109</v>
      </c>
      <c r="C121" s="7" t="s">
        <v>147</v>
      </c>
      <c r="D121" s="7">
        <v>4</v>
      </c>
      <c r="E121" s="7">
        <v>336</v>
      </c>
      <c r="F121" s="7">
        <v>64</v>
      </c>
      <c r="G121" s="7">
        <v>12</v>
      </c>
      <c r="H121" s="7">
        <v>144</v>
      </c>
      <c r="I121" s="7" t="s">
        <v>179</v>
      </c>
      <c r="J121" s="7">
        <v>41</v>
      </c>
      <c r="K121" s="7">
        <v>51</v>
      </c>
      <c r="L121" s="7">
        <v>11</v>
      </c>
      <c r="M121" s="7">
        <v>210</v>
      </c>
      <c r="N121" s="7">
        <v>6</v>
      </c>
      <c r="O121" s="7">
        <v>43</v>
      </c>
      <c r="P121" s="7">
        <v>40</v>
      </c>
      <c r="Q121" s="7">
        <v>7</v>
      </c>
      <c r="R121" s="7">
        <v>8</v>
      </c>
      <c r="S121" s="7">
        <v>5.4718272000000008</v>
      </c>
    </row>
    <row r="122" spans="1:19" x14ac:dyDescent="0.3">
      <c r="A122" s="7" t="s">
        <v>182</v>
      </c>
      <c r="B122" s="7" t="s">
        <v>109</v>
      </c>
      <c r="C122" s="7" t="s">
        <v>147</v>
      </c>
      <c r="D122" s="7">
        <v>5</v>
      </c>
      <c r="E122" s="7">
        <v>303</v>
      </c>
      <c r="F122" s="7">
        <v>56</v>
      </c>
      <c r="G122" s="7">
        <v>12</v>
      </c>
      <c r="H122" s="7">
        <v>106</v>
      </c>
      <c r="I122" s="7" t="s">
        <v>179</v>
      </c>
      <c r="J122" s="7">
        <v>41</v>
      </c>
      <c r="K122" s="7">
        <v>51</v>
      </c>
      <c r="L122" s="7">
        <v>11</v>
      </c>
      <c r="M122" s="7">
        <v>160</v>
      </c>
      <c r="N122" s="7">
        <v>7</v>
      </c>
      <c r="O122" s="7">
        <v>36.4</v>
      </c>
      <c r="P122" s="7">
        <v>40</v>
      </c>
      <c r="Q122" s="7">
        <v>6</v>
      </c>
      <c r="R122" s="7">
        <v>8.1999999999999993</v>
      </c>
      <c r="S122" s="7">
        <v>6.2280960000000007</v>
      </c>
    </row>
    <row r="123" spans="1:19" x14ac:dyDescent="0.3">
      <c r="A123" s="7" t="s">
        <v>182</v>
      </c>
      <c r="B123" s="7" t="s">
        <v>109</v>
      </c>
      <c r="C123" s="7" t="s">
        <v>147</v>
      </c>
      <c r="D123" s="7">
        <v>6</v>
      </c>
      <c r="E123" s="7">
        <v>330</v>
      </c>
      <c r="F123" s="7">
        <v>64</v>
      </c>
      <c r="G123" s="7">
        <v>13</v>
      </c>
      <c r="H123" s="7">
        <v>106</v>
      </c>
      <c r="I123" s="7" t="s">
        <v>176</v>
      </c>
      <c r="J123" s="7">
        <v>45</v>
      </c>
      <c r="K123" s="7">
        <v>3</v>
      </c>
      <c r="L123" s="7">
        <v>11</v>
      </c>
      <c r="M123" s="7">
        <v>160</v>
      </c>
      <c r="N123" s="7">
        <v>4</v>
      </c>
      <c r="O123" s="7">
        <v>37.200000000000003</v>
      </c>
      <c r="P123" s="7">
        <v>37</v>
      </c>
      <c r="Q123" s="7">
        <v>7</v>
      </c>
      <c r="R123" s="7">
        <v>7.6</v>
      </c>
      <c r="S123" s="7">
        <v>4.1817216000000004</v>
      </c>
    </row>
    <row r="124" spans="1:19" x14ac:dyDescent="0.3">
      <c r="A124" s="7" t="s">
        <v>182</v>
      </c>
      <c r="B124" s="7" t="s">
        <v>109</v>
      </c>
      <c r="C124" s="7" t="s">
        <v>147</v>
      </c>
      <c r="D124" s="7">
        <v>8</v>
      </c>
      <c r="E124" s="7">
        <v>350</v>
      </c>
      <c r="F124" s="7">
        <v>64</v>
      </c>
      <c r="G124" s="7">
        <v>11</v>
      </c>
      <c r="H124" s="7">
        <v>138</v>
      </c>
      <c r="I124" s="7" t="s">
        <v>173</v>
      </c>
      <c r="J124" s="7">
        <v>47</v>
      </c>
      <c r="K124" s="7">
        <v>5</v>
      </c>
      <c r="L124" s="7">
        <v>12</v>
      </c>
      <c r="M124" s="7">
        <v>206</v>
      </c>
      <c r="N124" s="7">
        <v>7</v>
      </c>
      <c r="O124" s="7">
        <v>41.2</v>
      </c>
      <c r="P124" s="7">
        <v>38</v>
      </c>
      <c r="Q124" s="7">
        <v>7</v>
      </c>
      <c r="R124" s="7">
        <v>7.8</v>
      </c>
      <c r="S124" s="7">
        <v>7.2475760000000014</v>
      </c>
    </row>
    <row r="125" spans="1:19" x14ac:dyDescent="0.3">
      <c r="A125" s="7" t="s">
        <v>182</v>
      </c>
      <c r="B125" s="7" t="s">
        <v>109</v>
      </c>
      <c r="C125" s="7" t="s">
        <v>147</v>
      </c>
      <c r="D125" s="7">
        <v>9</v>
      </c>
      <c r="E125" s="7">
        <v>336</v>
      </c>
      <c r="F125" s="7">
        <v>66</v>
      </c>
      <c r="G125" s="7">
        <v>14</v>
      </c>
      <c r="H125" s="7">
        <v>145</v>
      </c>
      <c r="I125" s="7" t="s">
        <v>175</v>
      </c>
      <c r="J125" s="7">
        <v>43</v>
      </c>
      <c r="K125" s="7">
        <v>1</v>
      </c>
      <c r="L125" s="7">
        <v>11</v>
      </c>
      <c r="M125" s="7">
        <v>216</v>
      </c>
      <c r="N125" s="7">
        <v>7</v>
      </c>
      <c r="O125" s="7">
        <v>48.1</v>
      </c>
      <c r="P125" s="7">
        <v>39</v>
      </c>
      <c r="Q125" s="7">
        <v>7</v>
      </c>
      <c r="R125" s="7">
        <v>8.1999999999999993</v>
      </c>
      <c r="S125" s="7">
        <v>7.5626880000000014</v>
      </c>
    </row>
    <row r="126" spans="1:19" x14ac:dyDescent="0.3">
      <c r="A126" s="7" t="s">
        <v>182</v>
      </c>
      <c r="B126" s="7" t="s">
        <v>109</v>
      </c>
      <c r="C126" s="7" t="s">
        <v>147</v>
      </c>
      <c r="D126" s="7">
        <v>10</v>
      </c>
      <c r="E126" s="7">
        <v>310</v>
      </c>
      <c r="F126" s="7">
        <v>59</v>
      </c>
      <c r="G126" s="7">
        <v>14</v>
      </c>
      <c r="H126" s="7">
        <v>100</v>
      </c>
      <c r="I126" s="7" t="s">
        <v>176</v>
      </c>
      <c r="J126" s="7">
        <v>45</v>
      </c>
      <c r="K126" s="7">
        <v>3</v>
      </c>
      <c r="L126" s="7">
        <v>11</v>
      </c>
      <c r="M126" s="7">
        <v>146</v>
      </c>
      <c r="N126" s="7">
        <v>5</v>
      </c>
      <c r="O126" s="7">
        <v>29.2</v>
      </c>
      <c r="P126" s="7">
        <v>39</v>
      </c>
      <c r="Q126" s="7">
        <v>6</v>
      </c>
      <c r="R126" s="7">
        <v>8.1999999999999993</v>
      </c>
      <c r="S126" s="7">
        <v>3.813120000000001</v>
      </c>
    </row>
    <row r="127" spans="1:19" x14ac:dyDescent="0.3">
      <c r="A127" s="7" t="s">
        <v>182</v>
      </c>
      <c r="B127" s="7" t="s">
        <v>109</v>
      </c>
      <c r="C127" s="7" t="s">
        <v>147</v>
      </c>
      <c r="D127" s="7">
        <v>11</v>
      </c>
      <c r="E127" s="7">
        <v>348</v>
      </c>
      <c r="F127" s="7">
        <v>69</v>
      </c>
      <c r="G127" s="7">
        <v>14</v>
      </c>
      <c r="H127" s="7">
        <v>100</v>
      </c>
      <c r="I127" s="7" t="s">
        <v>176</v>
      </c>
      <c r="J127" s="7">
        <v>45</v>
      </c>
      <c r="K127" s="7">
        <v>3</v>
      </c>
      <c r="L127" s="7">
        <v>11</v>
      </c>
      <c r="M127" s="7">
        <v>146</v>
      </c>
      <c r="N127" s="7">
        <v>6</v>
      </c>
      <c r="O127" s="7">
        <v>36.5</v>
      </c>
      <c r="P127" s="7">
        <v>37</v>
      </c>
      <c r="Q127" s="7">
        <v>7</v>
      </c>
      <c r="R127" s="7">
        <v>7.8</v>
      </c>
      <c r="S127" s="7">
        <v>7.3211904000000008</v>
      </c>
    </row>
    <row r="128" spans="1:19" x14ac:dyDescent="0.3">
      <c r="A128" s="7" t="s">
        <v>182</v>
      </c>
      <c r="B128" s="7" t="s">
        <v>109</v>
      </c>
      <c r="C128" s="7" t="s">
        <v>147</v>
      </c>
      <c r="D128" s="7">
        <v>13</v>
      </c>
      <c r="E128" s="7">
        <v>345</v>
      </c>
      <c r="F128" s="7">
        <v>67</v>
      </c>
      <c r="G128" s="7">
        <v>13</v>
      </c>
      <c r="H128" s="7">
        <v>100</v>
      </c>
      <c r="I128" s="7" t="s">
        <v>176</v>
      </c>
      <c r="J128" s="7">
        <v>45</v>
      </c>
      <c r="K128" s="7">
        <v>3</v>
      </c>
      <c r="L128" s="7">
        <v>11</v>
      </c>
      <c r="M128" s="7">
        <v>175</v>
      </c>
      <c r="N128" s="7">
        <v>5</v>
      </c>
      <c r="O128" s="7">
        <v>29.2</v>
      </c>
      <c r="P128" s="7">
        <v>37</v>
      </c>
      <c r="Q128" s="7">
        <v>7</v>
      </c>
      <c r="R128" s="7">
        <v>7.6</v>
      </c>
      <c r="S128" s="7">
        <v>4.7769920000000008</v>
      </c>
    </row>
    <row r="129" spans="1:19" x14ac:dyDescent="0.3">
      <c r="A129" s="7" t="s">
        <v>182</v>
      </c>
      <c r="B129" s="7" t="s">
        <v>97</v>
      </c>
      <c r="C129" s="7" t="s">
        <v>146</v>
      </c>
      <c r="D129" s="7">
        <v>2</v>
      </c>
      <c r="E129" s="7">
        <v>330</v>
      </c>
      <c r="F129" s="7">
        <v>66</v>
      </c>
      <c r="G129" s="7">
        <v>12</v>
      </c>
      <c r="H129" s="7">
        <v>130</v>
      </c>
      <c r="I129" s="7" t="s">
        <v>178</v>
      </c>
      <c r="J129" s="7">
        <v>46</v>
      </c>
      <c r="K129" s="7">
        <v>4</v>
      </c>
      <c r="L129" s="7">
        <v>11</v>
      </c>
      <c r="M129" s="7">
        <v>180</v>
      </c>
      <c r="N129" s="7">
        <v>6</v>
      </c>
      <c r="O129" s="7">
        <v>40.4</v>
      </c>
      <c r="P129" s="7">
        <v>38</v>
      </c>
      <c r="Q129" s="7">
        <v>7</v>
      </c>
      <c r="R129" s="7">
        <v>8</v>
      </c>
      <c r="S129" s="7">
        <v>6.2852927999999997</v>
      </c>
    </row>
    <row r="130" spans="1:19" x14ac:dyDescent="0.3">
      <c r="A130" s="7" t="s">
        <v>182</v>
      </c>
      <c r="B130" s="7" t="s">
        <v>97</v>
      </c>
      <c r="C130" s="7" t="s">
        <v>146</v>
      </c>
      <c r="D130" s="7">
        <v>3</v>
      </c>
      <c r="E130" s="7">
        <v>323</v>
      </c>
      <c r="F130" s="7">
        <v>69</v>
      </c>
      <c r="G130" s="7">
        <v>13</v>
      </c>
      <c r="H130" s="7">
        <v>82</v>
      </c>
      <c r="I130" s="7" t="s">
        <v>175</v>
      </c>
      <c r="J130" s="7">
        <v>43</v>
      </c>
      <c r="K130" s="7">
        <v>1</v>
      </c>
      <c r="L130" s="7">
        <v>11</v>
      </c>
      <c r="M130" s="7">
        <v>130</v>
      </c>
      <c r="N130" s="7">
        <v>7</v>
      </c>
      <c r="O130" s="7">
        <v>51</v>
      </c>
      <c r="P130" s="7">
        <v>39</v>
      </c>
      <c r="Q130" s="7">
        <v>8</v>
      </c>
      <c r="R130" s="7">
        <v>7.6</v>
      </c>
      <c r="S130" s="7">
        <v>7.7832664000000014</v>
      </c>
    </row>
    <row r="131" spans="1:19" x14ac:dyDescent="0.3">
      <c r="A131" s="7" t="s">
        <v>182</v>
      </c>
      <c r="B131" s="7" t="s">
        <v>97</v>
      </c>
      <c r="C131" s="7" t="s">
        <v>146</v>
      </c>
      <c r="D131" s="7">
        <v>4</v>
      </c>
      <c r="E131" s="7">
        <v>332</v>
      </c>
      <c r="F131" s="7">
        <v>64</v>
      </c>
      <c r="G131" s="7">
        <v>11</v>
      </c>
      <c r="H131" s="7">
        <v>156</v>
      </c>
      <c r="I131" s="7" t="s">
        <v>174</v>
      </c>
      <c r="J131" s="7">
        <v>42</v>
      </c>
      <c r="K131" s="7">
        <v>52</v>
      </c>
      <c r="L131" s="7">
        <v>11</v>
      </c>
      <c r="M131" s="7">
        <v>220</v>
      </c>
      <c r="N131" s="7">
        <v>8</v>
      </c>
      <c r="O131" s="7">
        <v>45</v>
      </c>
      <c r="P131" s="7">
        <v>40</v>
      </c>
      <c r="Q131" s="7">
        <v>7</v>
      </c>
      <c r="R131" s="7">
        <v>7.8</v>
      </c>
      <c r="S131" s="7">
        <v>8.0668672000000008</v>
      </c>
    </row>
    <row r="132" spans="1:19" x14ac:dyDescent="0.3">
      <c r="A132" s="7" t="s">
        <v>182</v>
      </c>
      <c r="B132" s="7" t="s">
        <v>97</v>
      </c>
      <c r="C132" s="7" t="s">
        <v>146</v>
      </c>
      <c r="D132" s="7">
        <v>9</v>
      </c>
      <c r="E132" s="7">
        <v>343</v>
      </c>
      <c r="F132" s="7">
        <v>69</v>
      </c>
      <c r="G132" s="7">
        <v>15</v>
      </c>
      <c r="H132" s="7">
        <v>150</v>
      </c>
      <c r="I132" s="7" t="s">
        <v>173</v>
      </c>
      <c r="J132" s="7">
        <v>47</v>
      </c>
      <c r="K132" s="7">
        <v>5</v>
      </c>
      <c r="L132" s="7">
        <v>11</v>
      </c>
      <c r="M132" s="7">
        <v>193</v>
      </c>
      <c r="N132" s="7">
        <v>6</v>
      </c>
      <c r="O132" s="7">
        <v>40.200000000000003</v>
      </c>
      <c r="P132" s="7">
        <v>37</v>
      </c>
      <c r="Q132" s="7">
        <v>7</v>
      </c>
      <c r="R132" s="7">
        <v>7.4</v>
      </c>
      <c r="S132" s="7">
        <v>6.5776320000000004</v>
      </c>
    </row>
    <row r="133" spans="1:19" x14ac:dyDescent="0.3">
      <c r="A133" s="7" t="s">
        <v>182</v>
      </c>
      <c r="B133" s="7" t="s">
        <v>99</v>
      </c>
      <c r="C133" s="7" t="s">
        <v>144</v>
      </c>
      <c r="D133" s="7">
        <v>2</v>
      </c>
      <c r="E133" s="7">
        <v>350</v>
      </c>
      <c r="F133" s="7">
        <v>65</v>
      </c>
      <c r="G133" s="7">
        <v>15</v>
      </c>
      <c r="H133" s="7">
        <v>124</v>
      </c>
      <c r="I133" s="7" t="s">
        <v>176</v>
      </c>
      <c r="J133" s="7">
        <v>45</v>
      </c>
      <c r="K133" s="7">
        <v>3</v>
      </c>
      <c r="L133" s="7">
        <v>11</v>
      </c>
      <c r="M133" s="7">
        <v>203</v>
      </c>
      <c r="N133" s="7">
        <v>6</v>
      </c>
      <c r="O133" s="7">
        <v>43</v>
      </c>
      <c r="P133" s="7">
        <v>39</v>
      </c>
      <c r="Q133" s="7">
        <v>7</v>
      </c>
      <c r="R133" s="7">
        <v>7.8</v>
      </c>
      <c r="S133" s="7">
        <v>5.6367446400000008</v>
      </c>
    </row>
    <row r="134" spans="1:19" x14ac:dyDescent="0.3">
      <c r="A134" s="7" t="s">
        <v>182</v>
      </c>
      <c r="B134" s="7" t="s">
        <v>99</v>
      </c>
      <c r="C134" s="7" t="s">
        <v>144</v>
      </c>
      <c r="D134" s="7">
        <v>4</v>
      </c>
      <c r="E134" s="7">
        <v>344</v>
      </c>
      <c r="F134" s="7">
        <v>65</v>
      </c>
      <c r="G134" s="7">
        <v>13</v>
      </c>
      <c r="H134" s="7">
        <v>86</v>
      </c>
      <c r="I134" s="7" t="s">
        <v>177</v>
      </c>
      <c r="J134" s="7">
        <v>44</v>
      </c>
      <c r="K134" s="7">
        <v>2</v>
      </c>
      <c r="L134" s="7">
        <v>11</v>
      </c>
      <c r="M134" s="7">
        <v>145</v>
      </c>
      <c r="N134" s="7">
        <v>6</v>
      </c>
      <c r="O134" s="7">
        <v>44</v>
      </c>
      <c r="P134" s="7">
        <v>38</v>
      </c>
      <c r="Q134" s="7">
        <v>7</v>
      </c>
      <c r="R134" s="7">
        <v>8.4</v>
      </c>
      <c r="S134" s="7">
        <v>5.8054752000000009</v>
      </c>
    </row>
    <row r="135" spans="1:19" x14ac:dyDescent="0.3">
      <c r="A135" s="7" t="s">
        <v>182</v>
      </c>
      <c r="B135" s="7" t="s">
        <v>99</v>
      </c>
      <c r="C135" s="7" t="s">
        <v>144</v>
      </c>
      <c r="D135" s="7">
        <v>5</v>
      </c>
      <c r="E135" s="7">
        <v>342</v>
      </c>
      <c r="F135" s="7">
        <v>69</v>
      </c>
      <c r="G135" s="7">
        <v>15</v>
      </c>
      <c r="H135" s="7">
        <v>164</v>
      </c>
      <c r="I135" s="7" t="s">
        <v>178</v>
      </c>
      <c r="J135" s="7">
        <v>46</v>
      </c>
      <c r="K135" s="7">
        <v>4</v>
      </c>
      <c r="L135" s="7">
        <v>11</v>
      </c>
      <c r="M135" s="7">
        <v>172</v>
      </c>
      <c r="N135" s="7">
        <v>6</v>
      </c>
      <c r="O135" s="7">
        <v>28.8</v>
      </c>
      <c r="P135" s="7">
        <v>38</v>
      </c>
      <c r="Q135" s="7">
        <v>6</v>
      </c>
      <c r="R135" s="7">
        <v>7.8</v>
      </c>
      <c r="S135" s="7">
        <v>5.2764047999999999</v>
      </c>
    </row>
    <row r="136" spans="1:19" x14ac:dyDescent="0.3">
      <c r="A136" s="7" t="s">
        <v>182</v>
      </c>
      <c r="B136" s="7" t="s">
        <v>99</v>
      </c>
      <c r="C136" s="7" t="s">
        <v>144</v>
      </c>
      <c r="D136" s="7">
        <v>6</v>
      </c>
      <c r="E136" s="7">
        <v>310</v>
      </c>
      <c r="F136" s="7">
        <v>56</v>
      </c>
      <c r="G136" s="7">
        <v>16</v>
      </c>
      <c r="H136" s="7">
        <v>100</v>
      </c>
      <c r="I136" s="7" t="s">
        <v>175</v>
      </c>
      <c r="J136" s="7">
        <v>43</v>
      </c>
      <c r="K136" s="7">
        <v>1</v>
      </c>
      <c r="L136" s="7">
        <v>11</v>
      </c>
      <c r="M136" s="7">
        <v>125</v>
      </c>
      <c r="N136" s="7">
        <v>7</v>
      </c>
      <c r="O136" s="7">
        <v>28.6</v>
      </c>
      <c r="P136" s="7">
        <v>37</v>
      </c>
      <c r="Q136" s="7">
        <v>6</v>
      </c>
      <c r="R136" s="7">
        <v>7.6</v>
      </c>
      <c r="S136" s="7">
        <v>6.1539520000000012</v>
      </c>
    </row>
    <row r="137" spans="1:19" x14ac:dyDescent="0.3">
      <c r="A137" s="7" t="s">
        <v>182</v>
      </c>
      <c r="B137" s="7" t="s">
        <v>99</v>
      </c>
      <c r="C137" s="7" t="s">
        <v>144</v>
      </c>
      <c r="D137" s="7">
        <v>7</v>
      </c>
      <c r="E137" s="7">
        <v>330</v>
      </c>
      <c r="F137" s="7">
        <v>67</v>
      </c>
      <c r="G137" s="7">
        <v>13</v>
      </c>
      <c r="H137" s="7">
        <v>150</v>
      </c>
      <c r="I137" s="7" t="s">
        <v>175</v>
      </c>
      <c r="J137" s="7">
        <v>43</v>
      </c>
      <c r="K137" s="7">
        <v>52</v>
      </c>
      <c r="L137" s="7">
        <v>11</v>
      </c>
      <c r="M137" s="7">
        <v>223</v>
      </c>
      <c r="N137" s="7">
        <v>7</v>
      </c>
      <c r="O137" s="7">
        <v>45</v>
      </c>
      <c r="P137" s="7">
        <v>39</v>
      </c>
      <c r="Q137" s="7">
        <v>7</v>
      </c>
      <c r="R137" s="7">
        <v>7.6</v>
      </c>
      <c r="S137" s="7">
        <v>7.3536019199999991</v>
      </c>
    </row>
    <row r="138" spans="1:19" x14ac:dyDescent="0.3">
      <c r="A138" s="7" t="s">
        <v>182</v>
      </c>
      <c r="B138" s="7" t="s">
        <v>99</v>
      </c>
      <c r="C138" s="7" t="s">
        <v>144</v>
      </c>
      <c r="D138" s="7">
        <v>9</v>
      </c>
      <c r="E138" s="7">
        <v>330</v>
      </c>
      <c r="F138" s="7">
        <v>64</v>
      </c>
      <c r="G138" s="7">
        <v>13</v>
      </c>
      <c r="H138" s="7">
        <v>136</v>
      </c>
      <c r="I138" s="7" t="s">
        <v>173</v>
      </c>
      <c r="J138" s="7">
        <v>47</v>
      </c>
      <c r="K138" s="7">
        <v>5</v>
      </c>
      <c r="L138" s="7">
        <v>12</v>
      </c>
      <c r="M138" s="7">
        <v>190</v>
      </c>
      <c r="N138" s="7">
        <v>6</v>
      </c>
      <c r="O138" s="7">
        <v>35.200000000000003</v>
      </c>
      <c r="P138" s="7">
        <v>37</v>
      </c>
      <c r="Q138" s="7">
        <v>7</v>
      </c>
      <c r="R138" s="7">
        <v>7.4</v>
      </c>
      <c r="S138" s="7">
        <v>6.3583776000000007</v>
      </c>
    </row>
    <row r="139" spans="1:19" x14ac:dyDescent="0.3">
      <c r="A139" s="7" t="s">
        <v>182</v>
      </c>
      <c r="B139" s="7" t="s">
        <v>99</v>
      </c>
      <c r="C139" s="7" t="s">
        <v>144</v>
      </c>
      <c r="D139" s="7">
        <v>12</v>
      </c>
      <c r="E139" s="7">
        <v>321</v>
      </c>
      <c r="F139" s="7">
        <v>59</v>
      </c>
      <c r="G139" s="7">
        <v>14</v>
      </c>
      <c r="H139" s="7">
        <v>95</v>
      </c>
      <c r="I139" s="7" t="s">
        <v>173</v>
      </c>
      <c r="J139" s="7">
        <v>47</v>
      </c>
      <c r="K139" s="7">
        <v>5</v>
      </c>
      <c r="L139" s="7">
        <v>11</v>
      </c>
      <c r="M139" s="7">
        <v>132</v>
      </c>
      <c r="N139" s="7">
        <v>7</v>
      </c>
      <c r="O139" s="7">
        <v>30.9</v>
      </c>
      <c r="P139" s="7">
        <v>38</v>
      </c>
      <c r="Q139" s="7">
        <v>6</v>
      </c>
      <c r="R139" s="7">
        <v>7.6</v>
      </c>
      <c r="S139" s="7">
        <v>7.6739039999999994</v>
      </c>
    </row>
    <row r="140" spans="1:19" x14ac:dyDescent="0.3">
      <c r="A140" s="7" t="s">
        <v>182</v>
      </c>
      <c r="B140" s="7" t="s">
        <v>99</v>
      </c>
      <c r="C140" s="7" t="s">
        <v>144</v>
      </c>
      <c r="D140" s="7">
        <v>13</v>
      </c>
      <c r="E140" s="7">
        <v>358</v>
      </c>
      <c r="F140" s="7">
        <v>73</v>
      </c>
      <c r="G140" s="7">
        <v>15</v>
      </c>
      <c r="H140" s="7">
        <v>126</v>
      </c>
      <c r="I140" s="7" t="s">
        <v>177</v>
      </c>
      <c r="J140" s="7">
        <v>44</v>
      </c>
      <c r="K140" s="7">
        <v>2</v>
      </c>
      <c r="L140" s="7">
        <v>11</v>
      </c>
      <c r="M140" s="7">
        <v>207</v>
      </c>
      <c r="N140" s="7">
        <v>5</v>
      </c>
      <c r="O140" s="7">
        <v>52.2</v>
      </c>
      <c r="P140" s="7">
        <v>38</v>
      </c>
      <c r="Q140" s="7">
        <v>8</v>
      </c>
      <c r="R140" s="7">
        <v>7.6</v>
      </c>
      <c r="S140" s="7">
        <v>5.8256000000000014</v>
      </c>
    </row>
    <row r="141" spans="1:19" x14ac:dyDescent="0.3">
      <c r="A141" s="7" t="s">
        <v>182</v>
      </c>
      <c r="B141" s="7" t="s">
        <v>99</v>
      </c>
      <c r="C141" s="7" t="s">
        <v>144</v>
      </c>
      <c r="D141" s="7">
        <v>14</v>
      </c>
      <c r="E141" s="7">
        <v>320</v>
      </c>
      <c r="F141" s="7">
        <v>67</v>
      </c>
      <c r="G141" s="7">
        <v>14</v>
      </c>
      <c r="H141" s="7">
        <v>117</v>
      </c>
      <c r="I141" s="7" t="s">
        <v>173</v>
      </c>
      <c r="J141" s="7">
        <v>47</v>
      </c>
      <c r="K141" s="7">
        <v>5</v>
      </c>
      <c r="L141" s="7">
        <v>11</v>
      </c>
      <c r="M141" s="7">
        <v>140</v>
      </c>
      <c r="N141" s="7">
        <v>5</v>
      </c>
      <c r="O141" s="7">
        <v>30.5</v>
      </c>
      <c r="P141" s="7">
        <v>38</v>
      </c>
      <c r="Q141" s="7">
        <v>6</v>
      </c>
      <c r="R141" s="7">
        <v>7.4</v>
      </c>
      <c r="S141" s="7">
        <v>5.0555616000000008</v>
      </c>
    </row>
    <row r="142" spans="1:19" x14ac:dyDescent="0.3">
      <c r="A142" s="7" t="s">
        <v>182</v>
      </c>
      <c r="B142" s="7" t="s">
        <v>109</v>
      </c>
      <c r="C142" s="7" t="s">
        <v>146</v>
      </c>
      <c r="D142" s="7">
        <v>1</v>
      </c>
      <c r="E142" s="7">
        <v>328</v>
      </c>
      <c r="F142" s="7">
        <v>61</v>
      </c>
      <c r="G142" s="7">
        <v>14</v>
      </c>
      <c r="H142" s="7">
        <v>80</v>
      </c>
      <c r="I142" s="7" t="s">
        <v>177</v>
      </c>
      <c r="J142" s="7">
        <v>44</v>
      </c>
      <c r="K142" s="7">
        <v>2</v>
      </c>
      <c r="L142" s="7">
        <v>11</v>
      </c>
      <c r="M142" s="7">
        <v>123</v>
      </c>
      <c r="N142" s="7">
        <v>4</v>
      </c>
      <c r="O142" s="7">
        <v>41.2</v>
      </c>
      <c r="P142" s="7">
        <v>39</v>
      </c>
      <c r="Q142" s="7">
        <v>7</v>
      </c>
      <c r="R142" s="7">
        <v>7.8</v>
      </c>
      <c r="S142" s="7">
        <v>4.0037760000000002</v>
      </c>
    </row>
    <row r="143" spans="1:19" x14ac:dyDescent="0.3">
      <c r="A143" s="7" t="s">
        <v>182</v>
      </c>
      <c r="B143" s="7" t="s">
        <v>109</v>
      </c>
      <c r="C143" s="7" t="s">
        <v>146</v>
      </c>
      <c r="D143" s="7">
        <v>3</v>
      </c>
      <c r="E143" s="7">
        <v>280</v>
      </c>
      <c r="F143" s="7">
        <v>64</v>
      </c>
      <c r="G143" s="7">
        <v>14</v>
      </c>
      <c r="H143" s="7">
        <v>88</v>
      </c>
      <c r="I143" s="7" t="s">
        <v>173</v>
      </c>
      <c r="J143" s="7">
        <v>47</v>
      </c>
      <c r="K143" s="7">
        <v>5</v>
      </c>
      <c r="L143" s="7">
        <v>11</v>
      </c>
      <c r="M143" s="7">
        <v>160</v>
      </c>
      <c r="N143" s="7">
        <v>5</v>
      </c>
      <c r="O143" s="7">
        <v>34.200000000000003</v>
      </c>
      <c r="P143" s="7">
        <v>38</v>
      </c>
      <c r="Q143" s="7">
        <v>6</v>
      </c>
      <c r="R143" s="7">
        <v>7.6</v>
      </c>
      <c r="S143" s="7">
        <v>4.8193600000000014</v>
      </c>
    </row>
    <row r="144" spans="1:19" x14ac:dyDescent="0.3">
      <c r="A144" s="7" t="s">
        <v>182</v>
      </c>
      <c r="B144" s="7" t="s">
        <v>109</v>
      </c>
      <c r="C144" s="7" t="s">
        <v>146</v>
      </c>
      <c r="D144" s="7">
        <v>4</v>
      </c>
      <c r="E144" s="7">
        <v>350</v>
      </c>
      <c r="F144" s="7">
        <v>70</v>
      </c>
      <c r="G144" s="7">
        <v>15</v>
      </c>
      <c r="H144" s="7">
        <v>103</v>
      </c>
      <c r="I144" s="7" t="s">
        <v>173</v>
      </c>
      <c r="J144" s="7">
        <v>47</v>
      </c>
      <c r="K144" s="7">
        <v>5</v>
      </c>
      <c r="L144" s="7">
        <v>11</v>
      </c>
      <c r="M144" s="7">
        <v>185</v>
      </c>
      <c r="N144" s="7">
        <v>6</v>
      </c>
      <c r="O144" s="7">
        <v>49.3</v>
      </c>
      <c r="P144" s="7">
        <v>40</v>
      </c>
      <c r="Q144" s="7">
        <v>8</v>
      </c>
      <c r="R144" s="7">
        <v>7.5</v>
      </c>
      <c r="S144" s="7">
        <v>7.6262400000000001</v>
      </c>
    </row>
    <row r="145" spans="1:19" x14ac:dyDescent="0.3">
      <c r="A145" s="7" t="s">
        <v>182</v>
      </c>
      <c r="B145" s="7" t="s">
        <v>109</v>
      </c>
      <c r="C145" s="7" t="s">
        <v>146</v>
      </c>
      <c r="D145" s="7">
        <v>5</v>
      </c>
      <c r="E145" s="7">
        <v>332</v>
      </c>
      <c r="F145" s="7">
        <v>68</v>
      </c>
      <c r="G145" s="7">
        <v>10</v>
      </c>
      <c r="H145" s="7">
        <v>189</v>
      </c>
      <c r="I145" s="7" t="s">
        <v>177</v>
      </c>
      <c r="J145" s="7">
        <v>44</v>
      </c>
      <c r="K145" s="7">
        <v>2</v>
      </c>
      <c r="L145" s="7">
        <v>11</v>
      </c>
      <c r="M145" s="7">
        <v>245</v>
      </c>
      <c r="N145" s="7">
        <v>5</v>
      </c>
      <c r="O145" s="7">
        <v>51.5</v>
      </c>
      <c r="P145" s="7">
        <v>39</v>
      </c>
      <c r="Q145" s="7">
        <v>7</v>
      </c>
      <c r="R145" s="7">
        <v>8.4</v>
      </c>
      <c r="S145" s="7">
        <v>5.9738879999999996</v>
      </c>
    </row>
    <row r="146" spans="1:19" x14ac:dyDescent="0.3">
      <c r="A146" s="7" t="s">
        <v>182</v>
      </c>
      <c r="B146" s="7" t="s">
        <v>109</v>
      </c>
      <c r="C146" s="7" t="s">
        <v>146</v>
      </c>
      <c r="D146" s="7">
        <v>6</v>
      </c>
      <c r="E146" s="7">
        <v>344</v>
      </c>
      <c r="F146" s="7">
        <v>70</v>
      </c>
      <c r="G146" s="7">
        <v>15</v>
      </c>
      <c r="H146" s="7">
        <v>153</v>
      </c>
      <c r="I146" s="7" t="s">
        <v>177</v>
      </c>
      <c r="J146" s="7">
        <v>44</v>
      </c>
      <c r="K146" s="7">
        <v>2</v>
      </c>
      <c r="L146" s="7">
        <v>11</v>
      </c>
      <c r="M146" s="7">
        <v>210</v>
      </c>
      <c r="N146" s="7">
        <v>5</v>
      </c>
      <c r="O146" s="7">
        <v>52</v>
      </c>
      <c r="P146" s="7">
        <v>38</v>
      </c>
      <c r="Q146" s="7">
        <v>8</v>
      </c>
      <c r="R146" s="7">
        <v>8</v>
      </c>
      <c r="S146" s="7">
        <v>6.4876000000000014</v>
      </c>
    </row>
    <row r="147" spans="1:19" x14ac:dyDescent="0.3">
      <c r="A147" s="7" t="s">
        <v>182</v>
      </c>
      <c r="B147" s="7" t="s">
        <v>109</v>
      </c>
      <c r="C147" s="7" t="s">
        <v>146</v>
      </c>
      <c r="D147" s="7">
        <v>7</v>
      </c>
      <c r="E147" s="7">
        <v>320</v>
      </c>
      <c r="F147" s="7">
        <v>61</v>
      </c>
      <c r="G147" s="7">
        <v>12</v>
      </c>
      <c r="H147" s="7">
        <v>143</v>
      </c>
      <c r="I147" s="7" t="s">
        <v>178</v>
      </c>
      <c r="J147" s="7">
        <v>46</v>
      </c>
      <c r="K147" s="7">
        <v>4</v>
      </c>
      <c r="L147" s="7">
        <v>11</v>
      </c>
      <c r="M147" s="7">
        <v>175</v>
      </c>
      <c r="N147" s="7">
        <v>6</v>
      </c>
      <c r="O147" s="7">
        <v>40.5</v>
      </c>
      <c r="P147" s="7">
        <v>38</v>
      </c>
      <c r="Q147" s="7">
        <v>8</v>
      </c>
      <c r="R147" s="7">
        <v>8</v>
      </c>
      <c r="S147" s="7">
        <v>8.1028800000000007</v>
      </c>
    </row>
    <row r="148" spans="1:19" x14ac:dyDescent="0.3">
      <c r="A148" s="7" t="s">
        <v>182</v>
      </c>
      <c r="B148" s="7" t="s">
        <v>109</v>
      </c>
      <c r="C148" s="7" t="s">
        <v>146</v>
      </c>
      <c r="D148" s="7">
        <v>8</v>
      </c>
      <c r="E148" s="7">
        <v>340</v>
      </c>
      <c r="F148" s="7">
        <v>61</v>
      </c>
      <c r="G148" s="7">
        <v>14</v>
      </c>
      <c r="H148" s="7">
        <v>90</v>
      </c>
      <c r="I148" s="7" t="s">
        <v>175</v>
      </c>
      <c r="J148" s="7">
        <v>43</v>
      </c>
      <c r="K148" s="7">
        <v>1</v>
      </c>
      <c r="L148" s="7">
        <v>11</v>
      </c>
      <c r="M148" s="7">
        <v>160</v>
      </c>
      <c r="N148" s="7">
        <v>7</v>
      </c>
      <c r="O148" s="7">
        <v>41.5</v>
      </c>
      <c r="P148" s="7">
        <v>39</v>
      </c>
      <c r="Q148" s="7">
        <v>7</v>
      </c>
      <c r="R148" s="7">
        <v>8.1999999999999993</v>
      </c>
      <c r="S148" s="7">
        <v>7.720244000000001</v>
      </c>
    </row>
    <row r="149" spans="1:19" x14ac:dyDescent="0.3">
      <c r="A149" s="7" t="s">
        <v>182</v>
      </c>
      <c r="B149" s="7" t="s">
        <v>109</v>
      </c>
      <c r="C149" s="7" t="s">
        <v>146</v>
      </c>
      <c r="D149" s="7">
        <v>9</v>
      </c>
      <c r="E149" s="7">
        <v>340</v>
      </c>
      <c r="F149" s="7">
        <v>64</v>
      </c>
      <c r="G149" s="7">
        <v>13</v>
      </c>
      <c r="H149" s="7">
        <v>130</v>
      </c>
      <c r="I149" s="7" t="s">
        <v>174</v>
      </c>
      <c r="J149" s="7">
        <v>42</v>
      </c>
      <c r="K149" s="7">
        <v>52</v>
      </c>
      <c r="L149" s="7">
        <v>10</v>
      </c>
      <c r="M149" s="7">
        <v>170</v>
      </c>
      <c r="N149" s="7">
        <v>7</v>
      </c>
      <c r="O149" s="7">
        <v>44</v>
      </c>
      <c r="P149" s="7">
        <v>39</v>
      </c>
      <c r="Q149" s="7">
        <v>7</v>
      </c>
      <c r="R149" s="7">
        <v>8</v>
      </c>
      <c r="S149" s="7">
        <v>7.5385912000000017</v>
      </c>
    </row>
    <row r="150" spans="1:19" x14ac:dyDescent="0.3">
      <c r="A150" s="7" t="s">
        <v>182</v>
      </c>
      <c r="B150" s="7" t="s">
        <v>109</v>
      </c>
      <c r="C150" s="7" t="s">
        <v>146</v>
      </c>
      <c r="D150" s="7">
        <v>10</v>
      </c>
      <c r="E150" s="7">
        <v>300</v>
      </c>
      <c r="F150" s="7">
        <v>54</v>
      </c>
      <c r="G150" s="7">
        <v>12</v>
      </c>
      <c r="H150" s="7">
        <v>83</v>
      </c>
      <c r="I150" s="7" t="s">
        <v>174</v>
      </c>
      <c r="J150" s="7">
        <v>42</v>
      </c>
      <c r="K150" s="7">
        <v>52</v>
      </c>
      <c r="L150" s="7">
        <v>11</v>
      </c>
      <c r="M150" s="7">
        <v>104</v>
      </c>
      <c r="N150" s="7">
        <v>5</v>
      </c>
      <c r="O150" s="7">
        <v>35</v>
      </c>
      <c r="P150" s="7">
        <v>39</v>
      </c>
      <c r="Q150" s="7">
        <v>6</v>
      </c>
      <c r="R150" s="7">
        <v>7.6</v>
      </c>
      <c r="S150" s="7">
        <v>4.448640000000001</v>
      </c>
    </row>
    <row r="151" spans="1:19" x14ac:dyDescent="0.3">
      <c r="A151" s="7" t="s">
        <v>182</v>
      </c>
      <c r="B151" s="7" t="s">
        <v>109</v>
      </c>
      <c r="C151" s="7" t="s">
        <v>146</v>
      </c>
      <c r="D151" s="7">
        <v>11</v>
      </c>
      <c r="E151" s="7">
        <v>315</v>
      </c>
      <c r="F151" s="7">
        <v>53</v>
      </c>
      <c r="G151" s="7">
        <v>12</v>
      </c>
      <c r="H151" s="7">
        <v>133</v>
      </c>
      <c r="I151" s="7" t="s">
        <v>176</v>
      </c>
      <c r="J151" s="7">
        <v>45</v>
      </c>
      <c r="K151" s="7">
        <v>3</v>
      </c>
      <c r="L151" s="7">
        <v>11</v>
      </c>
      <c r="M151" s="7">
        <v>170</v>
      </c>
      <c r="N151" s="7">
        <v>4</v>
      </c>
      <c r="O151" s="7">
        <v>24</v>
      </c>
      <c r="P151" s="7">
        <v>37</v>
      </c>
      <c r="Q151" s="7">
        <v>6</v>
      </c>
      <c r="R151" s="7">
        <v>7.4</v>
      </c>
      <c r="S151" s="7">
        <v>3.7961728000000008</v>
      </c>
    </row>
    <row r="152" spans="1:19" x14ac:dyDescent="0.3">
      <c r="A152" s="7" t="s">
        <v>182</v>
      </c>
      <c r="B152" s="7" t="s">
        <v>109</v>
      </c>
      <c r="C152" s="7" t="s">
        <v>146</v>
      </c>
      <c r="D152" s="7">
        <v>12</v>
      </c>
      <c r="E152" s="7">
        <v>325</v>
      </c>
      <c r="F152" s="7">
        <v>63</v>
      </c>
      <c r="G152" s="7">
        <v>11</v>
      </c>
      <c r="H152" s="7">
        <v>140</v>
      </c>
      <c r="I152" s="7" t="s">
        <v>173</v>
      </c>
      <c r="J152" s="7">
        <v>47</v>
      </c>
      <c r="K152" s="7">
        <v>5</v>
      </c>
      <c r="L152" s="7">
        <v>11</v>
      </c>
      <c r="M152" s="7">
        <v>204</v>
      </c>
      <c r="N152" s="7">
        <v>4</v>
      </c>
      <c r="O152" s="7">
        <v>46.5</v>
      </c>
      <c r="P152" s="7">
        <v>39</v>
      </c>
      <c r="Q152" s="7">
        <v>7</v>
      </c>
      <c r="R152" s="7">
        <v>7.8</v>
      </c>
      <c r="S152" s="7">
        <v>4.6265856000000012</v>
      </c>
    </row>
    <row r="153" spans="1:19" x14ac:dyDescent="0.3">
      <c r="A153" s="7" t="s">
        <v>182</v>
      </c>
      <c r="B153" s="7" t="s">
        <v>109</v>
      </c>
      <c r="C153" s="7" t="s">
        <v>146</v>
      </c>
      <c r="D153" s="7">
        <v>14</v>
      </c>
      <c r="E153" s="7">
        <v>322</v>
      </c>
      <c r="F153" s="7">
        <v>64</v>
      </c>
      <c r="G153" s="7">
        <v>13</v>
      </c>
      <c r="H153" s="7">
        <v>128</v>
      </c>
      <c r="I153" s="7" t="s">
        <v>177</v>
      </c>
      <c r="J153" s="7">
        <v>44</v>
      </c>
      <c r="K153" s="7">
        <v>2</v>
      </c>
      <c r="L153" s="7">
        <v>11</v>
      </c>
      <c r="M153" s="7">
        <v>180</v>
      </c>
      <c r="N153" s="7">
        <v>4</v>
      </c>
      <c r="O153" s="7">
        <v>48.9</v>
      </c>
      <c r="P153" s="7">
        <v>39</v>
      </c>
      <c r="Q153" s="7">
        <v>7</v>
      </c>
      <c r="R153" s="7">
        <v>7.6</v>
      </c>
      <c r="S153" s="7">
        <v>4.5960806399999994</v>
      </c>
    </row>
    <row r="154" spans="1:19" x14ac:dyDescent="0.3">
      <c r="A154" s="7" t="s">
        <v>182</v>
      </c>
      <c r="B154" s="7" t="s">
        <v>99</v>
      </c>
      <c r="C154" s="7" t="s">
        <v>147</v>
      </c>
      <c r="D154" s="7">
        <v>1</v>
      </c>
      <c r="E154" s="7">
        <v>350</v>
      </c>
      <c r="F154" s="7">
        <v>69</v>
      </c>
      <c r="G154" s="7">
        <v>14</v>
      </c>
      <c r="H154" s="7">
        <v>170</v>
      </c>
      <c r="I154" s="7" t="s">
        <v>174</v>
      </c>
      <c r="J154" s="7">
        <v>42</v>
      </c>
      <c r="K154" s="7">
        <v>52</v>
      </c>
      <c r="L154" s="7">
        <v>11</v>
      </c>
      <c r="M154" s="7">
        <v>230</v>
      </c>
      <c r="N154" s="7">
        <v>6</v>
      </c>
      <c r="O154" s="7">
        <v>52</v>
      </c>
      <c r="P154" s="7">
        <v>39</v>
      </c>
      <c r="Q154" s="7">
        <v>8</v>
      </c>
      <c r="R154" s="7">
        <v>8.1999999999999993</v>
      </c>
      <c r="S154" s="7">
        <v>5.9738880000000014</v>
      </c>
    </row>
    <row r="155" spans="1:19" x14ac:dyDescent="0.3">
      <c r="A155" s="7" t="s">
        <v>182</v>
      </c>
      <c r="B155" s="7" t="s">
        <v>99</v>
      </c>
      <c r="C155" s="7" t="s">
        <v>147</v>
      </c>
      <c r="D155" s="7">
        <v>2</v>
      </c>
      <c r="E155" s="7">
        <v>330</v>
      </c>
      <c r="F155" s="7">
        <v>61</v>
      </c>
      <c r="G155" s="7">
        <v>13</v>
      </c>
      <c r="H155" s="7">
        <v>116</v>
      </c>
      <c r="I155" s="7" t="s">
        <v>175</v>
      </c>
      <c r="J155" s="7">
        <v>43</v>
      </c>
      <c r="K155" s="7">
        <v>1</v>
      </c>
      <c r="L155" s="7">
        <v>10</v>
      </c>
      <c r="M155" s="7">
        <v>162</v>
      </c>
      <c r="N155" s="7">
        <v>8</v>
      </c>
      <c r="O155" s="7">
        <v>42</v>
      </c>
      <c r="P155" s="7">
        <v>39</v>
      </c>
      <c r="Q155" s="7">
        <v>7</v>
      </c>
      <c r="R155" s="7">
        <v>8</v>
      </c>
      <c r="S155" s="7">
        <v>7.7363968000000014</v>
      </c>
    </row>
    <row r="156" spans="1:19" x14ac:dyDescent="0.3">
      <c r="A156" s="7" t="s">
        <v>182</v>
      </c>
      <c r="B156" s="7" t="s">
        <v>99</v>
      </c>
      <c r="C156" s="7" t="s">
        <v>147</v>
      </c>
      <c r="D156" s="7">
        <v>3</v>
      </c>
      <c r="E156" s="7">
        <v>322</v>
      </c>
      <c r="F156" s="7">
        <v>64</v>
      </c>
      <c r="G156" s="7">
        <v>12</v>
      </c>
      <c r="H156" s="7">
        <v>145</v>
      </c>
      <c r="I156" s="7" t="s">
        <v>178</v>
      </c>
      <c r="J156" s="7">
        <v>46</v>
      </c>
      <c r="K156" s="7">
        <v>4</v>
      </c>
      <c r="L156" s="7">
        <v>11</v>
      </c>
      <c r="M156" s="7">
        <v>193</v>
      </c>
      <c r="N156" s="7">
        <v>5</v>
      </c>
      <c r="O156" s="7">
        <v>41.2</v>
      </c>
      <c r="P156" s="7">
        <v>38</v>
      </c>
      <c r="Q156" s="7">
        <v>7</v>
      </c>
      <c r="R156" s="7">
        <v>8.1999999999999993</v>
      </c>
      <c r="S156" s="7">
        <v>5.5422640000000003</v>
      </c>
    </row>
    <row r="157" spans="1:19" x14ac:dyDescent="0.3">
      <c r="A157" s="7" t="s">
        <v>182</v>
      </c>
      <c r="B157" s="7" t="s">
        <v>99</v>
      </c>
      <c r="C157" s="7" t="s">
        <v>147</v>
      </c>
      <c r="D157" s="7">
        <v>6</v>
      </c>
      <c r="E157" s="7">
        <v>355</v>
      </c>
      <c r="F157" s="7">
        <v>69</v>
      </c>
      <c r="G157" s="7">
        <v>12</v>
      </c>
      <c r="H157" s="7">
        <v>168</v>
      </c>
      <c r="I157" s="7" t="s">
        <v>178</v>
      </c>
      <c r="J157" s="7">
        <v>46</v>
      </c>
      <c r="K157" s="7">
        <v>4</v>
      </c>
      <c r="L157" s="7">
        <v>11</v>
      </c>
      <c r="M157" s="7">
        <v>215</v>
      </c>
      <c r="N157" s="7">
        <v>5</v>
      </c>
      <c r="O157" s="7">
        <v>45</v>
      </c>
      <c r="P157" s="7">
        <v>38</v>
      </c>
      <c r="Q157" s="7">
        <v>8</v>
      </c>
      <c r="R157" s="7">
        <v>7.6</v>
      </c>
      <c r="S157" s="7">
        <v>6.0374400000000001</v>
      </c>
    </row>
    <row r="158" spans="1:19" x14ac:dyDescent="0.3">
      <c r="A158" s="7" t="s">
        <v>182</v>
      </c>
      <c r="B158" s="7" t="s">
        <v>99</v>
      </c>
      <c r="C158" s="7" t="s">
        <v>147</v>
      </c>
      <c r="D158" s="7">
        <v>7</v>
      </c>
      <c r="E158" s="7">
        <v>340</v>
      </c>
      <c r="F158" s="7">
        <v>61</v>
      </c>
      <c r="G158" s="7">
        <v>12</v>
      </c>
      <c r="H158" s="7">
        <v>185</v>
      </c>
      <c r="I158" s="7" t="s">
        <v>177</v>
      </c>
      <c r="J158" s="7">
        <v>44</v>
      </c>
      <c r="K158" s="7">
        <v>2</v>
      </c>
      <c r="L158" s="7">
        <v>12</v>
      </c>
      <c r="M158" s="7">
        <v>217</v>
      </c>
      <c r="N158" s="7">
        <v>5</v>
      </c>
      <c r="O158" s="7">
        <v>31.5</v>
      </c>
      <c r="P158" s="7">
        <v>37</v>
      </c>
      <c r="Q158" s="7">
        <v>6</v>
      </c>
      <c r="R158" s="7">
        <v>7</v>
      </c>
      <c r="S158" s="7">
        <v>5.2946760000000008</v>
      </c>
    </row>
    <row r="159" spans="1:19" x14ac:dyDescent="0.3">
      <c r="A159" s="7" t="s">
        <v>182</v>
      </c>
      <c r="B159" s="7" t="s">
        <v>99</v>
      </c>
      <c r="C159" s="7" t="s">
        <v>147</v>
      </c>
      <c r="D159" s="7">
        <v>9</v>
      </c>
      <c r="E159" s="7">
        <v>354</v>
      </c>
      <c r="F159" s="7">
        <v>66</v>
      </c>
      <c r="G159" s="7">
        <v>13</v>
      </c>
      <c r="H159" s="7">
        <v>164</v>
      </c>
      <c r="I159" s="7" t="s">
        <v>178</v>
      </c>
      <c r="J159" s="7">
        <v>46</v>
      </c>
      <c r="K159" s="7">
        <v>4</v>
      </c>
      <c r="L159" s="7">
        <v>11</v>
      </c>
      <c r="M159" s="7">
        <v>212</v>
      </c>
      <c r="N159" s="7">
        <v>5</v>
      </c>
      <c r="O159" s="7">
        <v>44.6</v>
      </c>
      <c r="P159" s="7">
        <v>38</v>
      </c>
      <c r="Q159" s="7">
        <v>7</v>
      </c>
      <c r="R159" s="7">
        <v>8.4</v>
      </c>
      <c r="S159" s="7">
        <v>5.1768400000000003</v>
      </c>
    </row>
    <row r="160" spans="1:19" x14ac:dyDescent="0.3">
      <c r="A160" s="7" t="s">
        <v>182</v>
      </c>
      <c r="B160" s="7" t="s">
        <v>99</v>
      </c>
      <c r="C160" s="7" t="s">
        <v>147</v>
      </c>
      <c r="D160" s="7">
        <v>10</v>
      </c>
      <c r="E160" s="7">
        <v>300</v>
      </c>
      <c r="F160" s="7">
        <v>51</v>
      </c>
      <c r="G160" s="7">
        <v>10</v>
      </c>
      <c r="H160" s="7">
        <v>90</v>
      </c>
      <c r="I160" s="7" t="s">
        <v>176</v>
      </c>
      <c r="J160" s="7">
        <v>45</v>
      </c>
      <c r="K160" s="7">
        <v>3</v>
      </c>
      <c r="L160" s="7">
        <v>11</v>
      </c>
      <c r="M160" s="7">
        <v>123</v>
      </c>
      <c r="N160" s="7">
        <v>5</v>
      </c>
      <c r="O160" s="7">
        <v>24.6</v>
      </c>
      <c r="P160" s="7">
        <v>38</v>
      </c>
      <c r="Q160" s="7">
        <v>6</v>
      </c>
      <c r="R160" s="7">
        <v>7.6</v>
      </c>
      <c r="S160" s="7">
        <v>3.4614655999999999</v>
      </c>
    </row>
    <row r="161" spans="1:19" x14ac:dyDescent="0.3">
      <c r="A161" s="7" t="s">
        <v>182</v>
      </c>
      <c r="B161" s="7" t="s">
        <v>99</v>
      </c>
      <c r="C161" s="7" t="s">
        <v>147</v>
      </c>
      <c r="D161" s="7">
        <v>13</v>
      </c>
      <c r="E161" s="7">
        <v>300</v>
      </c>
      <c r="F161" s="7">
        <v>60</v>
      </c>
      <c r="G161" s="7">
        <v>13</v>
      </c>
      <c r="H161" s="7">
        <v>76</v>
      </c>
      <c r="I161" s="7" t="s">
        <v>173</v>
      </c>
      <c r="J161" s="7">
        <v>47</v>
      </c>
      <c r="K161" s="7">
        <v>5</v>
      </c>
      <c r="L161" s="7">
        <v>11</v>
      </c>
      <c r="M161" s="7">
        <v>143</v>
      </c>
      <c r="N161" s="7">
        <v>5</v>
      </c>
      <c r="O161" s="7">
        <v>29.8</v>
      </c>
      <c r="P161" s="7">
        <v>39</v>
      </c>
      <c r="Q161" s="7">
        <v>6</v>
      </c>
      <c r="R161" s="7">
        <v>8.4</v>
      </c>
      <c r="S161" s="7">
        <v>4.8723200000000002</v>
      </c>
    </row>
    <row r="162" spans="1:19" x14ac:dyDescent="0.3">
      <c r="A162" s="7" t="s">
        <v>182</v>
      </c>
      <c r="B162" s="7" t="s">
        <v>109</v>
      </c>
      <c r="C162" s="7" t="s">
        <v>144</v>
      </c>
      <c r="D162" s="7">
        <v>3</v>
      </c>
      <c r="E162" s="7">
        <v>320</v>
      </c>
      <c r="F162" s="7">
        <v>64</v>
      </c>
      <c r="G162" s="7">
        <v>13</v>
      </c>
      <c r="H162" s="7">
        <v>105</v>
      </c>
      <c r="I162" s="7" t="s">
        <v>180</v>
      </c>
      <c r="J162" s="7">
        <v>48</v>
      </c>
      <c r="K162" s="7">
        <v>6</v>
      </c>
      <c r="L162" s="7">
        <v>11</v>
      </c>
      <c r="M162" s="7">
        <v>195</v>
      </c>
      <c r="N162" s="7">
        <v>5</v>
      </c>
      <c r="O162" s="7">
        <v>43.5</v>
      </c>
      <c r="P162" s="7">
        <v>39</v>
      </c>
      <c r="Q162" s="7">
        <v>7</v>
      </c>
      <c r="R162" s="7">
        <v>8.4</v>
      </c>
      <c r="S162" s="7">
        <v>5.0047200000000007</v>
      </c>
    </row>
    <row r="163" spans="1:19" x14ac:dyDescent="0.3">
      <c r="A163" s="7" t="s">
        <v>182</v>
      </c>
      <c r="B163" s="7" t="s">
        <v>109</v>
      </c>
      <c r="C163" s="7" t="s">
        <v>144</v>
      </c>
      <c r="D163" s="7">
        <v>4</v>
      </c>
      <c r="E163" s="7">
        <v>305</v>
      </c>
      <c r="F163" s="7">
        <v>61</v>
      </c>
      <c r="G163" s="7">
        <v>14</v>
      </c>
      <c r="H163" s="7">
        <v>145</v>
      </c>
      <c r="I163" s="7" t="s">
        <v>176</v>
      </c>
      <c r="J163" s="7">
        <v>45</v>
      </c>
      <c r="K163" s="7">
        <v>3</v>
      </c>
      <c r="L163" s="7">
        <v>11</v>
      </c>
      <c r="M163" s="7">
        <v>186</v>
      </c>
      <c r="N163" s="7">
        <v>6</v>
      </c>
      <c r="O163" s="7">
        <v>29.4</v>
      </c>
      <c r="P163" s="7">
        <v>38</v>
      </c>
      <c r="Q163" s="7">
        <v>6</v>
      </c>
      <c r="R163" s="7">
        <v>7.8</v>
      </c>
      <c r="S163" s="7">
        <v>6.1518336000000016</v>
      </c>
    </row>
    <row r="164" spans="1:19" x14ac:dyDescent="0.3">
      <c r="A164" s="7" t="s">
        <v>182</v>
      </c>
      <c r="B164" s="7" t="s">
        <v>109</v>
      </c>
      <c r="C164" s="7" t="s">
        <v>144</v>
      </c>
      <c r="D164" s="7">
        <v>6</v>
      </c>
      <c r="E164" s="7">
        <v>340</v>
      </c>
      <c r="F164" s="7">
        <v>64</v>
      </c>
      <c r="G164" s="7">
        <v>15</v>
      </c>
      <c r="H164" s="7">
        <v>150</v>
      </c>
      <c r="I164" s="7" t="s">
        <v>175</v>
      </c>
      <c r="J164" s="7">
        <v>43</v>
      </c>
      <c r="K164" s="7">
        <v>1</v>
      </c>
      <c r="L164" s="7">
        <v>11</v>
      </c>
      <c r="M164" s="7">
        <v>203</v>
      </c>
      <c r="N164" s="7">
        <v>7</v>
      </c>
      <c r="O164" s="7">
        <v>38.5</v>
      </c>
      <c r="P164" s="7">
        <v>38</v>
      </c>
      <c r="Q164" s="7">
        <v>7</v>
      </c>
      <c r="R164" s="7">
        <v>8</v>
      </c>
      <c r="S164" s="7">
        <v>8.1854976000000015</v>
      </c>
    </row>
    <row r="165" spans="1:19" x14ac:dyDescent="0.3">
      <c r="A165" s="7" t="s">
        <v>182</v>
      </c>
      <c r="B165" s="7" t="s">
        <v>109</v>
      </c>
      <c r="C165" s="7" t="s">
        <v>144</v>
      </c>
      <c r="D165" s="7">
        <v>7</v>
      </c>
      <c r="E165" s="7">
        <v>350</v>
      </c>
      <c r="F165" s="7">
        <v>72</v>
      </c>
      <c r="G165" s="7">
        <v>13</v>
      </c>
      <c r="H165" s="7">
        <v>140</v>
      </c>
      <c r="I165" s="7" t="s">
        <v>177</v>
      </c>
      <c r="J165" s="7">
        <v>44</v>
      </c>
      <c r="K165" s="7">
        <v>2</v>
      </c>
      <c r="L165" s="7">
        <v>11</v>
      </c>
      <c r="M165" s="7">
        <v>215</v>
      </c>
      <c r="N165" s="7">
        <v>5</v>
      </c>
      <c r="O165" s="7">
        <v>48</v>
      </c>
      <c r="P165" s="7">
        <v>38</v>
      </c>
      <c r="Q165" s="7">
        <v>7</v>
      </c>
      <c r="R165" s="7">
        <v>8</v>
      </c>
      <c r="S165" s="7">
        <v>5.1159360000000014</v>
      </c>
    </row>
    <row r="166" spans="1:19" x14ac:dyDescent="0.3">
      <c r="A166" s="7" t="s">
        <v>182</v>
      </c>
      <c r="B166" s="7" t="s">
        <v>109</v>
      </c>
      <c r="C166" s="7" t="s">
        <v>144</v>
      </c>
      <c r="D166" s="7">
        <v>8</v>
      </c>
      <c r="E166" s="7">
        <v>320</v>
      </c>
      <c r="F166" s="7">
        <v>71</v>
      </c>
      <c r="G166" s="7">
        <v>14</v>
      </c>
      <c r="H166" s="7">
        <v>100</v>
      </c>
      <c r="I166" s="7" t="s">
        <v>174</v>
      </c>
      <c r="J166" s="7">
        <v>42</v>
      </c>
      <c r="K166" s="7">
        <v>52</v>
      </c>
      <c r="L166" s="7">
        <v>12</v>
      </c>
      <c r="M166" s="7">
        <v>200</v>
      </c>
      <c r="N166" s="7">
        <v>5</v>
      </c>
      <c r="O166" s="7">
        <v>31.4</v>
      </c>
      <c r="P166" s="7">
        <v>40</v>
      </c>
      <c r="Q166" s="7">
        <v>7</v>
      </c>
      <c r="R166" s="7">
        <v>8.1999999999999993</v>
      </c>
      <c r="S166" s="7">
        <v>5.0550319999999997</v>
      </c>
    </row>
    <row r="167" spans="1:19" x14ac:dyDescent="0.3">
      <c r="A167" s="7" t="s">
        <v>182</v>
      </c>
      <c r="B167" s="7" t="s">
        <v>109</v>
      </c>
      <c r="C167" s="7" t="s">
        <v>144</v>
      </c>
      <c r="D167" s="7">
        <v>9</v>
      </c>
      <c r="E167" s="7">
        <v>352</v>
      </c>
      <c r="F167" s="7">
        <v>64</v>
      </c>
      <c r="G167" s="7">
        <v>14</v>
      </c>
      <c r="H167" s="7">
        <v>100</v>
      </c>
      <c r="I167" s="7" t="s">
        <v>174</v>
      </c>
      <c r="J167" s="7">
        <v>42</v>
      </c>
      <c r="K167" s="7">
        <v>52</v>
      </c>
      <c r="L167" s="7">
        <v>11</v>
      </c>
      <c r="M167" s="7">
        <v>174</v>
      </c>
      <c r="N167" s="7">
        <v>8</v>
      </c>
      <c r="O167" s="7">
        <v>42</v>
      </c>
      <c r="P167" s="7">
        <v>39</v>
      </c>
      <c r="Q167" s="7">
        <v>7</v>
      </c>
      <c r="R167" s="7">
        <v>8.1999999999999993</v>
      </c>
      <c r="S167" s="7">
        <v>8.2109183999999988</v>
      </c>
    </row>
    <row r="168" spans="1:19" x14ac:dyDescent="0.3">
      <c r="A168" s="7" t="s">
        <v>182</v>
      </c>
      <c r="B168" s="7" t="s">
        <v>109</v>
      </c>
      <c r="C168" s="7" t="s">
        <v>144</v>
      </c>
      <c r="D168" s="7">
        <v>10</v>
      </c>
      <c r="E168" s="7">
        <v>320</v>
      </c>
      <c r="F168" s="7">
        <v>66</v>
      </c>
      <c r="G168" s="7">
        <v>13</v>
      </c>
      <c r="H168" s="7">
        <v>75</v>
      </c>
      <c r="I168" s="7" t="s">
        <v>173</v>
      </c>
      <c r="J168" s="7">
        <v>47</v>
      </c>
      <c r="K168" s="7">
        <v>5</v>
      </c>
      <c r="L168" s="7">
        <v>11</v>
      </c>
      <c r="M168" s="7">
        <v>145</v>
      </c>
      <c r="N168" s="7">
        <v>6</v>
      </c>
      <c r="O168" s="7">
        <v>35.5</v>
      </c>
      <c r="P168" s="7">
        <v>37</v>
      </c>
      <c r="Q168" s="7">
        <v>7</v>
      </c>
      <c r="R168" s="7">
        <v>8</v>
      </c>
      <c r="S168" s="7">
        <v>6.5712768000000006</v>
      </c>
    </row>
    <row r="169" spans="1:19" x14ac:dyDescent="0.3">
      <c r="A169" s="7" t="s">
        <v>182</v>
      </c>
      <c r="B169" s="7" t="s">
        <v>109</v>
      </c>
      <c r="C169" s="7" t="s">
        <v>144</v>
      </c>
      <c r="D169" s="7">
        <v>11</v>
      </c>
      <c r="E169" s="7">
        <v>315</v>
      </c>
      <c r="F169" s="7">
        <v>64</v>
      </c>
      <c r="G169" s="7">
        <v>14</v>
      </c>
      <c r="H169" s="7">
        <v>55</v>
      </c>
      <c r="I169" s="7" t="s">
        <v>173</v>
      </c>
      <c r="J169" s="7">
        <v>47</v>
      </c>
      <c r="K169" s="7">
        <v>5</v>
      </c>
      <c r="L169" s="7">
        <v>12</v>
      </c>
      <c r="M169" s="7">
        <v>130</v>
      </c>
      <c r="N169" s="7">
        <v>4</v>
      </c>
      <c r="O169" s="7">
        <v>34</v>
      </c>
      <c r="P169" s="7">
        <v>37</v>
      </c>
      <c r="Q169" s="7">
        <v>6</v>
      </c>
      <c r="R169" s="7">
        <v>7.2</v>
      </c>
      <c r="S169" s="7">
        <v>4.7293280000000006</v>
      </c>
    </row>
    <row r="170" spans="1:19" x14ac:dyDescent="0.3">
      <c r="A170" s="7" t="s">
        <v>182</v>
      </c>
      <c r="B170" s="7" t="s">
        <v>109</v>
      </c>
      <c r="C170" s="7" t="s">
        <v>144</v>
      </c>
      <c r="D170" s="7">
        <v>14</v>
      </c>
      <c r="E170" s="7">
        <v>324</v>
      </c>
      <c r="F170" s="7">
        <v>66</v>
      </c>
      <c r="G170" s="7">
        <v>12</v>
      </c>
      <c r="H170" s="7">
        <v>130</v>
      </c>
      <c r="I170" s="7" t="s">
        <v>178</v>
      </c>
      <c r="J170" s="7">
        <v>46</v>
      </c>
      <c r="K170" s="7">
        <v>4</v>
      </c>
      <c r="L170" s="7">
        <v>11</v>
      </c>
      <c r="M170" s="7">
        <v>194</v>
      </c>
      <c r="N170" s="7">
        <v>6</v>
      </c>
      <c r="O170" s="7">
        <v>42.4</v>
      </c>
      <c r="P170" s="7">
        <v>39</v>
      </c>
      <c r="Q170" s="7">
        <v>8</v>
      </c>
      <c r="R170" s="7">
        <v>8.4</v>
      </c>
      <c r="S170" s="7">
        <v>6.7530355200000001</v>
      </c>
    </row>
    <row r="171" spans="1:19" x14ac:dyDescent="0.3">
      <c r="A171" s="7" t="s">
        <v>182</v>
      </c>
      <c r="B171" s="7" t="s">
        <v>97</v>
      </c>
      <c r="C171" s="7" t="s">
        <v>147</v>
      </c>
      <c r="D171" s="7">
        <v>4</v>
      </c>
      <c r="E171" s="7">
        <v>342</v>
      </c>
      <c r="F171" s="7">
        <v>65</v>
      </c>
      <c r="G171" s="7">
        <v>13</v>
      </c>
      <c r="H171" s="7">
        <v>135</v>
      </c>
      <c r="I171" s="7" t="s">
        <v>177</v>
      </c>
      <c r="J171" s="7">
        <v>44</v>
      </c>
      <c r="K171" s="7">
        <v>2</v>
      </c>
      <c r="L171" s="7">
        <v>12</v>
      </c>
      <c r="M171" s="7">
        <v>204</v>
      </c>
      <c r="N171" s="7">
        <v>4</v>
      </c>
      <c r="O171" s="7">
        <v>40.700000000000003</v>
      </c>
      <c r="P171" s="7">
        <v>37</v>
      </c>
      <c r="Q171" s="7">
        <v>7</v>
      </c>
      <c r="R171" s="7">
        <v>7.4</v>
      </c>
      <c r="S171" s="7">
        <v>4.3768262400000006</v>
      </c>
    </row>
    <row r="172" spans="1:19" x14ac:dyDescent="0.3">
      <c r="A172" s="7" t="s">
        <v>182</v>
      </c>
      <c r="B172" s="7" t="s">
        <v>97</v>
      </c>
      <c r="C172" s="7" t="s">
        <v>147</v>
      </c>
      <c r="D172" s="7">
        <v>6</v>
      </c>
      <c r="E172" s="7">
        <v>342</v>
      </c>
      <c r="F172" s="7">
        <v>63</v>
      </c>
      <c r="G172" s="7">
        <v>14</v>
      </c>
      <c r="H172" s="7">
        <v>162</v>
      </c>
      <c r="I172" s="7" t="s">
        <v>175</v>
      </c>
      <c r="J172" s="7">
        <v>43</v>
      </c>
      <c r="K172" s="7">
        <v>1</v>
      </c>
      <c r="L172" s="7">
        <v>12</v>
      </c>
      <c r="M172" s="7">
        <v>186</v>
      </c>
      <c r="N172" s="7">
        <v>4</v>
      </c>
      <c r="O172" s="7">
        <v>38.200000000000003</v>
      </c>
      <c r="P172" s="7">
        <v>39</v>
      </c>
      <c r="Q172" s="7">
        <v>7</v>
      </c>
      <c r="R172" s="7">
        <v>7.6</v>
      </c>
      <c r="S172" s="7">
        <v>4.4804160000000008</v>
      </c>
    </row>
    <row r="173" spans="1:19" x14ac:dyDescent="0.3">
      <c r="A173" s="7" t="s">
        <v>182</v>
      </c>
      <c r="B173" s="7" t="s">
        <v>97</v>
      </c>
      <c r="C173" s="7" t="s">
        <v>147</v>
      </c>
      <c r="D173" s="7">
        <v>8</v>
      </c>
      <c r="E173" s="7">
        <v>363</v>
      </c>
      <c r="F173" s="7">
        <v>71</v>
      </c>
      <c r="G173" s="7">
        <v>15</v>
      </c>
      <c r="H173" s="7">
        <v>130</v>
      </c>
      <c r="I173" s="7" t="s">
        <v>175</v>
      </c>
      <c r="J173" s="7">
        <v>43</v>
      </c>
      <c r="K173" s="7">
        <v>1</v>
      </c>
      <c r="L173" s="7">
        <v>11</v>
      </c>
      <c r="M173" s="7">
        <v>210</v>
      </c>
      <c r="N173" s="7">
        <v>7</v>
      </c>
      <c r="O173" s="7">
        <v>51</v>
      </c>
      <c r="P173" s="7">
        <v>39</v>
      </c>
      <c r="Q173" s="7">
        <v>8</v>
      </c>
      <c r="R173" s="7">
        <v>7.6</v>
      </c>
      <c r="S173" s="7">
        <v>7.7591696000000008</v>
      </c>
    </row>
    <row r="174" spans="1:19" x14ac:dyDescent="0.3">
      <c r="A174" s="7" t="s">
        <v>182</v>
      </c>
      <c r="B174" s="7" t="s">
        <v>97</v>
      </c>
      <c r="C174" s="7" t="s">
        <v>147</v>
      </c>
      <c r="D174" s="7">
        <v>9</v>
      </c>
      <c r="E174" s="7">
        <v>340</v>
      </c>
      <c r="F174" s="7">
        <v>65</v>
      </c>
      <c r="G174" s="7">
        <v>13</v>
      </c>
      <c r="H174" s="7">
        <v>126</v>
      </c>
      <c r="I174" s="7" t="s">
        <v>175</v>
      </c>
      <c r="J174" s="7">
        <v>43</v>
      </c>
      <c r="K174" s="7">
        <v>1</v>
      </c>
      <c r="L174" s="7">
        <v>12</v>
      </c>
      <c r="M174" s="7">
        <v>165</v>
      </c>
      <c r="N174" s="7">
        <v>6</v>
      </c>
      <c r="O174" s="7">
        <v>34.5</v>
      </c>
      <c r="P174" s="7">
        <v>37</v>
      </c>
      <c r="Q174" s="7">
        <v>6</v>
      </c>
      <c r="R174" s="7">
        <v>7.6</v>
      </c>
      <c r="S174" s="7">
        <v>5.8626719999999999</v>
      </c>
    </row>
    <row r="175" spans="1:19" x14ac:dyDescent="0.3">
      <c r="A175" s="7" t="s">
        <v>182</v>
      </c>
      <c r="B175" s="7" t="s">
        <v>97</v>
      </c>
      <c r="C175" s="7" t="s">
        <v>147</v>
      </c>
      <c r="D175" s="7">
        <v>10</v>
      </c>
      <c r="E175" s="7">
        <v>290</v>
      </c>
      <c r="F175" s="7">
        <v>53</v>
      </c>
      <c r="G175" s="7">
        <v>11</v>
      </c>
      <c r="H175" s="7">
        <v>75</v>
      </c>
      <c r="I175" s="7" t="s">
        <v>179</v>
      </c>
      <c r="J175" s="7">
        <v>41</v>
      </c>
      <c r="K175" s="7">
        <v>51</v>
      </c>
      <c r="L175" s="7">
        <v>11</v>
      </c>
      <c r="M175" s="7">
        <v>174</v>
      </c>
      <c r="N175" s="7">
        <v>7</v>
      </c>
      <c r="O175" s="7">
        <v>35</v>
      </c>
      <c r="P175" s="7">
        <v>39</v>
      </c>
      <c r="Q175" s="7">
        <v>6</v>
      </c>
      <c r="R175" s="7">
        <v>7.8</v>
      </c>
      <c r="S175" s="7">
        <v>5.42178</v>
      </c>
    </row>
    <row r="176" spans="1:19" x14ac:dyDescent="0.3">
      <c r="A176" s="7" t="s">
        <v>182</v>
      </c>
      <c r="B176" s="7" t="s">
        <v>97</v>
      </c>
      <c r="C176" s="7" t="s">
        <v>147</v>
      </c>
      <c r="D176" s="7">
        <v>11</v>
      </c>
      <c r="E176" s="7">
        <v>340</v>
      </c>
      <c r="F176" s="7">
        <v>65</v>
      </c>
      <c r="G176" s="7">
        <v>13</v>
      </c>
      <c r="H176" s="7">
        <v>137</v>
      </c>
      <c r="I176" s="7" t="s">
        <v>173</v>
      </c>
      <c r="J176" s="7">
        <v>47</v>
      </c>
      <c r="K176" s="7">
        <v>5</v>
      </c>
      <c r="L176" s="7">
        <v>11</v>
      </c>
      <c r="M176" s="7">
        <v>204</v>
      </c>
      <c r="N176" s="7">
        <v>6</v>
      </c>
      <c r="O176" s="7">
        <v>40.299999999999997</v>
      </c>
      <c r="P176" s="7">
        <v>38</v>
      </c>
      <c r="Q176" s="7">
        <v>7</v>
      </c>
      <c r="R176" s="7">
        <v>7.6</v>
      </c>
      <c r="S176" s="7">
        <v>6.1772544000000007</v>
      </c>
    </row>
    <row r="177" spans="1:19" x14ac:dyDescent="0.3">
      <c r="A177" s="7" t="s">
        <v>182</v>
      </c>
      <c r="B177" s="7" t="s">
        <v>97</v>
      </c>
      <c r="C177" s="7" t="s">
        <v>147</v>
      </c>
      <c r="D177" s="7">
        <v>12</v>
      </c>
      <c r="E177" s="7">
        <v>336</v>
      </c>
      <c r="F177" s="7">
        <v>57</v>
      </c>
      <c r="G177" s="7">
        <v>13</v>
      </c>
      <c r="H177" s="7">
        <v>120</v>
      </c>
      <c r="I177" s="7" t="s">
        <v>175</v>
      </c>
      <c r="J177" s="7">
        <v>43</v>
      </c>
      <c r="K177" s="7">
        <v>52</v>
      </c>
      <c r="L177" s="7">
        <v>10</v>
      </c>
      <c r="M177" s="7">
        <v>165</v>
      </c>
      <c r="N177" s="7">
        <v>6</v>
      </c>
      <c r="O177" s="7">
        <v>36</v>
      </c>
      <c r="P177" s="7">
        <v>39</v>
      </c>
      <c r="Q177" s="7">
        <v>6</v>
      </c>
      <c r="R177" s="7">
        <v>8</v>
      </c>
      <c r="S177" s="7">
        <v>6.1311792000000009</v>
      </c>
    </row>
    <row r="178" spans="1:19" x14ac:dyDescent="0.3">
      <c r="A178" s="7" t="s">
        <v>182</v>
      </c>
      <c r="B178" s="7" t="s">
        <v>97</v>
      </c>
      <c r="C178" s="7" t="s">
        <v>147</v>
      </c>
      <c r="D178" s="7">
        <v>14</v>
      </c>
      <c r="E178" s="7">
        <v>332</v>
      </c>
      <c r="F178" s="7">
        <v>65</v>
      </c>
      <c r="G178" s="7">
        <v>12</v>
      </c>
      <c r="H178" s="7">
        <v>170</v>
      </c>
      <c r="I178" s="7" t="s">
        <v>175</v>
      </c>
      <c r="J178" s="7">
        <v>43</v>
      </c>
      <c r="K178" s="7">
        <v>1</v>
      </c>
      <c r="L178" s="7">
        <v>11</v>
      </c>
      <c r="M178" s="7">
        <v>135</v>
      </c>
      <c r="N178" s="7">
        <v>7</v>
      </c>
      <c r="O178" s="7">
        <v>46.6</v>
      </c>
      <c r="P178" s="7">
        <v>39</v>
      </c>
      <c r="Q178" s="7">
        <v>7</v>
      </c>
      <c r="R178" s="7">
        <v>7.8</v>
      </c>
      <c r="S178" s="7">
        <v>8.78161536</v>
      </c>
    </row>
    <row r="179" spans="1:19" x14ac:dyDescent="0.3">
      <c r="A179" s="7" t="s">
        <v>182</v>
      </c>
      <c r="B179" s="7" t="s">
        <v>172</v>
      </c>
      <c r="C179" s="7" t="s">
        <v>144</v>
      </c>
      <c r="D179" s="7">
        <v>1</v>
      </c>
      <c r="E179" s="7">
        <v>347</v>
      </c>
      <c r="F179" s="7">
        <v>65</v>
      </c>
      <c r="G179" s="7">
        <v>12</v>
      </c>
      <c r="H179" s="7">
        <v>107</v>
      </c>
      <c r="I179" s="7" t="s">
        <v>176</v>
      </c>
      <c r="J179" s="7">
        <v>45</v>
      </c>
      <c r="K179" s="7">
        <v>3</v>
      </c>
      <c r="L179" s="7">
        <v>11</v>
      </c>
      <c r="M179" s="7">
        <v>196</v>
      </c>
      <c r="N179" s="7">
        <v>6</v>
      </c>
      <c r="O179" s="7">
        <v>36.4</v>
      </c>
      <c r="P179" s="7">
        <v>38</v>
      </c>
      <c r="Q179" s="7">
        <v>7</v>
      </c>
      <c r="R179" s="7">
        <v>7.8</v>
      </c>
      <c r="S179" s="7">
        <v>7.1241792000000013</v>
      </c>
    </row>
    <row r="180" spans="1:19" x14ac:dyDescent="0.3">
      <c r="A180" s="7" t="s">
        <v>182</v>
      </c>
      <c r="B180" s="7" t="s">
        <v>172</v>
      </c>
      <c r="C180" s="7" t="s">
        <v>144</v>
      </c>
      <c r="D180" s="7">
        <v>2</v>
      </c>
      <c r="E180" s="7">
        <v>315</v>
      </c>
      <c r="F180" s="7">
        <v>59</v>
      </c>
      <c r="G180" s="7">
        <v>12</v>
      </c>
      <c r="H180" s="7">
        <v>118</v>
      </c>
      <c r="I180" s="7" t="s">
        <v>178</v>
      </c>
      <c r="J180" s="7">
        <v>46</v>
      </c>
      <c r="K180" s="7">
        <v>4</v>
      </c>
      <c r="L180" s="7">
        <v>12</v>
      </c>
      <c r="M180" s="7">
        <v>182</v>
      </c>
      <c r="N180" s="7">
        <v>4</v>
      </c>
      <c r="O180" s="7">
        <v>35.799999999999997</v>
      </c>
      <c r="P180" s="7">
        <v>37</v>
      </c>
      <c r="Q180" s="7">
        <v>7</v>
      </c>
      <c r="R180" s="7">
        <v>7.6</v>
      </c>
      <c r="S180" s="7">
        <v>4.0215705599999998</v>
      </c>
    </row>
    <row r="181" spans="1:19" x14ac:dyDescent="0.3">
      <c r="A181" s="7" t="s">
        <v>182</v>
      </c>
      <c r="B181" s="7" t="s">
        <v>172</v>
      </c>
      <c r="C181" s="7" t="s">
        <v>144</v>
      </c>
      <c r="D181" s="7">
        <v>3</v>
      </c>
      <c r="E181" s="7">
        <v>300</v>
      </c>
      <c r="F181" s="7">
        <v>55</v>
      </c>
      <c r="G181" s="7">
        <v>9</v>
      </c>
      <c r="H181" s="7">
        <v>97</v>
      </c>
      <c r="I181" s="7" t="s">
        <v>174</v>
      </c>
      <c r="J181" s="7">
        <v>42</v>
      </c>
      <c r="K181" s="7">
        <v>52</v>
      </c>
      <c r="L181" s="7">
        <v>11</v>
      </c>
      <c r="M181" s="7">
        <v>155</v>
      </c>
      <c r="N181" s="7">
        <v>6</v>
      </c>
      <c r="O181" s="7">
        <v>36</v>
      </c>
      <c r="P181" s="7">
        <v>39</v>
      </c>
      <c r="Q181" s="7">
        <v>6</v>
      </c>
      <c r="R181" s="7">
        <v>8</v>
      </c>
      <c r="S181" s="7">
        <v>4.7733907200000001</v>
      </c>
    </row>
    <row r="182" spans="1:19" x14ac:dyDescent="0.3">
      <c r="A182" s="7" t="s">
        <v>182</v>
      </c>
      <c r="B182" s="7" t="s">
        <v>172</v>
      </c>
      <c r="C182" s="7" t="s">
        <v>144</v>
      </c>
      <c r="D182" s="7">
        <v>4</v>
      </c>
      <c r="E182" s="7">
        <v>320</v>
      </c>
      <c r="F182" s="7">
        <v>62</v>
      </c>
      <c r="G182" s="7">
        <v>12</v>
      </c>
      <c r="H182" s="7">
        <v>142</v>
      </c>
      <c r="I182" s="7" t="s">
        <v>177</v>
      </c>
      <c r="J182" s="7">
        <v>44</v>
      </c>
      <c r="K182" s="7">
        <v>2</v>
      </c>
      <c r="L182" s="7">
        <v>11</v>
      </c>
      <c r="M182" s="7">
        <v>180</v>
      </c>
      <c r="N182" s="7">
        <v>5</v>
      </c>
      <c r="O182" s="7">
        <v>41</v>
      </c>
      <c r="P182" s="7">
        <v>39</v>
      </c>
      <c r="Q182" s="7">
        <v>7</v>
      </c>
      <c r="R182" s="7">
        <v>8</v>
      </c>
      <c r="S182" s="7">
        <v>5.5290240000000006</v>
      </c>
    </row>
    <row r="183" spans="1:19" x14ac:dyDescent="0.3">
      <c r="A183" s="7" t="s">
        <v>182</v>
      </c>
      <c r="B183" s="7" t="s">
        <v>172</v>
      </c>
      <c r="C183" s="7" t="s">
        <v>144</v>
      </c>
      <c r="D183" s="7">
        <v>6</v>
      </c>
      <c r="E183" s="7">
        <v>360</v>
      </c>
      <c r="F183" s="7">
        <v>67</v>
      </c>
      <c r="G183" s="7">
        <v>15</v>
      </c>
      <c r="H183" s="7">
        <v>110</v>
      </c>
      <c r="I183" s="7" t="s">
        <v>173</v>
      </c>
      <c r="J183" s="7">
        <v>47</v>
      </c>
      <c r="K183" s="7">
        <v>5</v>
      </c>
      <c r="L183" s="7">
        <v>12</v>
      </c>
      <c r="M183" s="7">
        <v>195</v>
      </c>
      <c r="N183" s="7">
        <v>6</v>
      </c>
      <c r="O183" s="7">
        <v>50.9</v>
      </c>
      <c r="P183" s="7">
        <v>39</v>
      </c>
      <c r="Q183" s="7">
        <v>7</v>
      </c>
      <c r="R183" s="7">
        <v>7.4</v>
      </c>
      <c r="S183" s="7">
        <v>7.1623104000000017</v>
      </c>
    </row>
    <row r="184" spans="1:19" x14ac:dyDescent="0.3">
      <c r="A184" s="7" t="s">
        <v>182</v>
      </c>
      <c r="B184" s="7" t="s">
        <v>172</v>
      </c>
      <c r="C184" s="7" t="s">
        <v>144</v>
      </c>
      <c r="D184" s="7">
        <v>8</v>
      </c>
      <c r="E184" s="7">
        <v>320</v>
      </c>
      <c r="F184" s="7">
        <v>67</v>
      </c>
      <c r="G184" s="7">
        <v>14</v>
      </c>
      <c r="H184" s="7">
        <v>96</v>
      </c>
      <c r="I184" s="7" t="s">
        <v>177</v>
      </c>
      <c r="J184" s="7">
        <v>44</v>
      </c>
      <c r="K184" s="7">
        <v>2</v>
      </c>
      <c r="L184" s="7">
        <v>11</v>
      </c>
      <c r="M184" s="7">
        <v>175</v>
      </c>
      <c r="N184" s="7">
        <v>5</v>
      </c>
      <c r="O184" s="7">
        <v>41</v>
      </c>
      <c r="P184" s="7">
        <v>37</v>
      </c>
      <c r="Q184" s="7">
        <v>7</v>
      </c>
      <c r="R184" s="7">
        <v>8</v>
      </c>
      <c r="S184" s="7">
        <v>5.8976255999999996</v>
      </c>
    </row>
    <row r="185" spans="1:19" x14ac:dyDescent="0.3">
      <c r="A185" s="7" t="s">
        <v>182</v>
      </c>
      <c r="B185" s="7" t="s">
        <v>172</v>
      </c>
      <c r="C185" s="7" t="s">
        <v>144</v>
      </c>
      <c r="D185" s="7">
        <v>9</v>
      </c>
      <c r="E185" s="7">
        <v>315</v>
      </c>
      <c r="F185" s="7">
        <v>67</v>
      </c>
      <c r="G185" s="7">
        <v>13</v>
      </c>
      <c r="H185" s="7">
        <v>110</v>
      </c>
      <c r="I185" s="7" t="s">
        <v>178</v>
      </c>
      <c r="J185" s="7">
        <v>46</v>
      </c>
      <c r="K185" s="7">
        <v>4</v>
      </c>
      <c r="L185" s="7">
        <v>11</v>
      </c>
      <c r="M185" s="7">
        <v>186</v>
      </c>
      <c r="N185" s="7">
        <v>4</v>
      </c>
      <c r="O185" s="7">
        <v>42</v>
      </c>
      <c r="P185" s="7">
        <v>38</v>
      </c>
      <c r="Q185" s="7">
        <v>7</v>
      </c>
      <c r="R185" s="7">
        <v>8.1999999999999993</v>
      </c>
      <c r="S185" s="7">
        <v>4.0440256000000003</v>
      </c>
    </row>
    <row r="186" spans="1:19" x14ac:dyDescent="0.3">
      <c r="A186" s="7" t="s">
        <v>182</v>
      </c>
      <c r="B186" s="7" t="s">
        <v>172</v>
      </c>
      <c r="C186" s="7" t="s">
        <v>147</v>
      </c>
      <c r="D186" s="7">
        <v>1</v>
      </c>
      <c r="E186" s="7">
        <v>336</v>
      </c>
      <c r="F186" s="7">
        <v>64</v>
      </c>
      <c r="G186" s="7">
        <v>12</v>
      </c>
      <c r="H186" s="7">
        <v>106</v>
      </c>
      <c r="I186" s="7" t="s">
        <v>179</v>
      </c>
      <c r="J186" s="7">
        <v>41</v>
      </c>
      <c r="K186" s="7">
        <v>51</v>
      </c>
      <c r="L186" s="7">
        <v>11</v>
      </c>
      <c r="M186" s="7">
        <v>210</v>
      </c>
      <c r="N186" s="7">
        <v>6</v>
      </c>
      <c r="O186" s="7">
        <v>44</v>
      </c>
      <c r="P186" s="7">
        <v>40</v>
      </c>
      <c r="Q186" s="7">
        <v>7</v>
      </c>
      <c r="R186" s="7">
        <v>8</v>
      </c>
      <c r="S186" s="7">
        <v>4.0037760000000002</v>
      </c>
    </row>
    <row r="187" spans="1:19" x14ac:dyDescent="0.3">
      <c r="A187" s="7" t="s">
        <v>182</v>
      </c>
      <c r="B187" s="7" t="s">
        <v>172</v>
      </c>
      <c r="C187" s="7" t="s">
        <v>147</v>
      </c>
      <c r="D187" s="7">
        <v>3</v>
      </c>
      <c r="E187" s="7">
        <v>344</v>
      </c>
      <c r="F187" s="7">
        <v>67</v>
      </c>
      <c r="G187" s="7">
        <v>15</v>
      </c>
      <c r="H187" s="7">
        <v>92</v>
      </c>
      <c r="I187" s="7" t="s">
        <v>177</v>
      </c>
      <c r="J187" s="7">
        <v>44</v>
      </c>
      <c r="K187" s="7">
        <v>2</v>
      </c>
      <c r="L187" s="7">
        <v>11</v>
      </c>
      <c r="M187" s="7">
        <v>180</v>
      </c>
      <c r="N187" s="7">
        <v>4</v>
      </c>
      <c r="O187" s="7">
        <v>46.9</v>
      </c>
      <c r="P187" s="7">
        <v>38</v>
      </c>
      <c r="Q187" s="7">
        <v>7</v>
      </c>
      <c r="R187" s="7">
        <v>7.6</v>
      </c>
      <c r="S187" s="7">
        <v>4.9418035200000006</v>
      </c>
    </row>
    <row r="188" spans="1:19" x14ac:dyDescent="0.3">
      <c r="A188" s="7" t="s">
        <v>182</v>
      </c>
      <c r="B188" s="7" t="s">
        <v>172</v>
      </c>
      <c r="C188" s="7" t="s">
        <v>147</v>
      </c>
      <c r="D188" s="7">
        <v>4</v>
      </c>
      <c r="E188" s="7">
        <v>340</v>
      </c>
      <c r="F188" s="7">
        <v>68</v>
      </c>
      <c r="G188" s="7">
        <v>14</v>
      </c>
      <c r="H188" s="7">
        <v>150</v>
      </c>
      <c r="I188" s="7" t="s">
        <v>178</v>
      </c>
      <c r="J188" s="7">
        <v>46</v>
      </c>
      <c r="K188" s="7">
        <v>4</v>
      </c>
      <c r="L188" s="7">
        <v>12</v>
      </c>
      <c r="M188" s="7">
        <v>200</v>
      </c>
      <c r="N188" s="7">
        <v>5</v>
      </c>
      <c r="O188" s="7">
        <v>44.3</v>
      </c>
      <c r="P188" s="7">
        <v>38</v>
      </c>
      <c r="Q188" s="7">
        <v>7</v>
      </c>
      <c r="R188" s="7">
        <v>7.8</v>
      </c>
      <c r="S188" s="7">
        <v>4.7769920000000008</v>
      </c>
    </row>
    <row r="189" spans="1:19" x14ac:dyDescent="0.3">
      <c r="A189" s="7" t="s">
        <v>182</v>
      </c>
      <c r="B189" s="7" t="s">
        <v>172</v>
      </c>
      <c r="C189" s="7" t="s">
        <v>147</v>
      </c>
      <c r="D189" s="7">
        <v>5</v>
      </c>
      <c r="E189" s="7">
        <v>352</v>
      </c>
      <c r="F189" s="7">
        <v>71</v>
      </c>
      <c r="G189" s="7">
        <v>15</v>
      </c>
      <c r="H189" s="7">
        <v>115</v>
      </c>
      <c r="I189" s="7" t="s">
        <v>175</v>
      </c>
      <c r="J189" s="7">
        <v>43</v>
      </c>
      <c r="K189" s="7">
        <v>52</v>
      </c>
      <c r="L189" s="7">
        <v>10</v>
      </c>
      <c r="M189" s="7">
        <v>220</v>
      </c>
      <c r="N189" s="7">
        <v>6</v>
      </c>
      <c r="O189" s="7">
        <v>52</v>
      </c>
      <c r="P189" s="7">
        <v>39</v>
      </c>
      <c r="Q189" s="7">
        <v>8</v>
      </c>
      <c r="R189" s="7">
        <v>8.1999999999999993</v>
      </c>
      <c r="S189" s="7">
        <v>6.1502448000000012</v>
      </c>
    </row>
    <row r="190" spans="1:19" x14ac:dyDescent="0.3">
      <c r="A190" s="7" t="s">
        <v>182</v>
      </c>
      <c r="B190" s="7" t="s">
        <v>172</v>
      </c>
      <c r="C190" s="7" t="s">
        <v>147</v>
      </c>
      <c r="D190" s="7">
        <v>6</v>
      </c>
      <c r="E190" s="7">
        <v>348</v>
      </c>
      <c r="F190" s="7">
        <v>61</v>
      </c>
      <c r="G190" s="7">
        <v>11</v>
      </c>
      <c r="H190" s="7">
        <v>140</v>
      </c>
      <c r="I190" s="7" t="s">
        <v>177</v>
      </c>
      <c r="J190" s="7">
        <v>44</v>
      </c>
      <c r="K190" s="7">
        <v>2</v>
      </c>
      <c r="L190" s="7">
        <v>11</v>
      </c>
      <c r="M190" s="7">
        <v>104</v>
      </c>
      <c r="N190" s="7">
        <v>4</v>
      </c>
      <c r="O190" s="7">
        <v>42.2</v>
      </c>
      <c r="P190" s="7">
        <v>37</v>
      </c>
      <c r="Q190" s="7">
        <v>7</v>
      </c>
      <c r="R190" s="7">
        <v>8</v>
      </c>
      <c r="S190" s="7">
        <v>4.7229728000000009</v>
      </c>
    </row>
    <row r="191" spans="1:19" x14ac:dyDescent="0.3">
      <c r="A191" s="7" t="s">
        <v>182</v>
      </c>
      <c r="B191" s="7" t="s">
        <v>172</v>
      </c>
      <c r="C191" s="7" t="s">
        <v>147</v>
      </c>
      <c r="D191" s="7">
        <v>7</v>
      </c>
      <c r="E191" s="7">
        <v>323</v>
      </c>
      <c r="F191" s="7">
        <v>59</v>
      </c>
      <c r="G191" s="7">
        <v>12</v>
      </c>
      <c r="H191" s="7">
        <v>92</v>
      </c>
      <c r="I191" s="7" t="s">
        <v>173</v>
      </c>
      <c r="J191" s="7">
        <v>47</v>
      </c>
      <c r="K191" s="7">
        <v>5</v>
      </c>
      <c r="L191" s="7">
        <v>12</v>
      </c>
      <c r="M191" s="7">
        <v>140</v>
      </c>
      <c r="N191" s="7">
        <v>6</v>
      </c>
      <c r="O191" s="7">
        <v>30</v>
      </c>
      <c r="P191" s="7">
        <v>37</v>
      </c>
      <c r="Q191" s="7">
        <v>7</v>
      </c>
      <c r="R191" s="7">
        <v>8</v>
      </c>
      <c r="S191" s="7">
        <v>6.5776320000000004</v>
      </c>
    </row>
    <row r="192" spans="1:19" x14ac:dyDescent="0.3">
      <c r="A192" s="7" t="s">
        <v>182</v>
      </c>
      <c r="B192" s="7" t="s">
        <v>172</v>
      </c>
      <c r="C192" s="7" t="s">
        <v>147</v>
      </c>
      <c r="D192" s="7">
        <v>8</v>
      </c>
      <c r="E192" s="7">
        <v>353</v>
      </c>
      <c r="F192" s="7">
        <v>69</v>
      </c>
      <c r="G192" s="7">
        <v>12</v>
      </c>
      <c r="H192" s="7">
        <v>170</v>
      </c>
      <c r="I192" s="7" t="s">
        <v>175</v>
      </c>
      <c r="J192" s="7">
        <v>43</v>
      </c>
      <c r="K192" s="7">
        <v>1</v>
      </c>
      <c r="L192" s="7">
        <v>11</v>
      </c>
      <c r="M192" s="7">
        <v>218</v>
      </c>
      <c r="N192" s="7">
        <v>6</v>
      </c>
      <c r="O192" s="7">
        <v>46.3</v>
      </c>
      <c r="P192" s="7">
        <v>39</v>
      </c>
      <c r="Q192" s="7">
        <v>7</v>
      </c>
      <c r="R192" s="7">
        <v>8</v>
      </c>
      <c r="S192" s="7">
        <v>7.2284044800000009</v>
      </c>
    </row>
    <row r="193" spans="1:19" x14ac:dyDescent="0.3">
      <c r="A193" s="7" t="s">
        <v>182</v>
      </c>
      <c r="B193" s="7" t="s">
        <v>172</v>
      </c>
      <c r="C193" s="7" t="s">
        <v>147</v>
      </c>
      <c r="D193" s="7">
        <v>9</v>
      </c>
      <c r="E193" s="7">
        <v>336</v>
      </c>
      <c r="F193" s="7">
        <v>64</v>
      </c>
      <c r="G193" s="7">
        <v>12</v>
      </c>
      <c r="H193" s="7">
        <v>154</v>
      </c>
      <c r="I193" s="7" t="s">
        <v>180</v>
      </c>
      <c r="J193" s="7">
        <v>40</v>
      </c>
      <c r="K193" s="7">
        <v>50</v>
      </c>
      <c r="L193" s="7">
        <v>11</v>
      </c>
      <c r="M193" s="7">
        <v>193</v>
      </c>
      <c r="N193" s="7">
        <v>7</v>
      </c>
      <c r="O193" s="7">
        <v>49</v>
      </c>
      <c r="P193" s="7">
        <v>40</v>
      </c>
      <c r="Q193" s="7">
        <v>8</v>
      </c>
      <c r="R193" s="7">
        <v>8</v>
      </c>
      <c r="S193" s="7">
        <v>5.6052864000000007</v>
      </c>
    </row>
    <row r="194" spans="1:19" x14ac:dyDescent="0.3">
      <c r="A194" s="7" t="s">
        <v>182</v>
      </c>
      <c r="B194" s="7" t="s">
        <v>172</v>
      </c>
      <c r="C194" s="7" t="s">
        <v>147</v>
      </c>
      <c r="D194" s="7">
        <v>10</v>
      </c>
      <c r="E194" s="7">
        <v>335</v>
      </c>
      <c r="F194" s="7">
        <v>64</v>
      </c>
      <c r="G194" s="7">
        <v>12</v>
      </c>
      <c r="H194" s="7">
        <v>100</v>
      </c>
      <c r="I194" s="7" t="s">
        <v>179</v>
      </c>
      <c r="J194" s="7">
        <v>41</v>
      </c>
      <c r="K194" s="7">
        <v>51</v>
      </c>
      <c r="L194" s="7">
        <v>11</v>
      </c>
      <c r="M194" s="7">
        <v>142</v>
      </c>
      <c r="N194" s="7">
        <v>8</v>
      </c>
      <c r="O194" s="7">
        <v>45</v>
      </c>
      <c r="P194" s="7">
        <v>40</v>
      </c>
      <c r="Q194" s="7">
        <v>7</v>
      </c>
      <c r="R194" s="7">
        <v>8</v>
      </c>
      <c r="S194" s="7">
        <v>6.7619328000000012</v>
      </c>
    </row>
    <row r="195" spans="1:19" x14ac:dyDescent="0.3">
      <c r="A195" s="7" t="s">
        <v>182</v>
      </c>
      <c r="B195" s="7" t="s">
        <v>172</v>
      </c>
      <c r="C195" s="7" t="s">
        <v>147</v>
      </c>
      <c r="D195" s="7">
        <v>11</v>
      </c>
      <c r="E195" s="7">
        <v>315</v>
      </c>
      <c r="F195" s="7">
        <v>64</v>
      </c>
      <c r="G195" s="7">
        <v>12</v>
      </c>
      <c r="H195" s="7">
        <v>93</v>
      </c>
      <c r="I195" s="7" t="s">
        <v>177</v>
      </c>
      <c r="J195" s="7">
        <v>44</v>
      </c>
      <c r="K195" s="7">
        <v>2</v>
      </c>
      <c r="L195" s="7">
        <v>12</v>
      </c>
      <c r="M195" s="7">
        <v>158</v>
      </c>
      <c r="N195" s="7">
        <v>6</v>
      </c>
      <c r="O195" s="7">
        <v>30.6</v>
      </c>
      <c r="P195" s="7">
        <v>37</v>
      </c>
      <c r="Q195" s="7">
        <v>7</v>
      </c>
      <c r="R195" s="7">
        <v>8</v>
      </c>
      <c r="S195" s="7">
        <v>5.2112639999999999</v>
      </c>
    </row>
    <row r="196" spans="1:19" x14ac:dyDescent="0.3">
      <c r="A196" s="7" t="s">
        <v>182</v>
      </c>
      <c r="B196" s="7" t="s">
        <v>172</v>
      </c>
      <c r="C196" s="7" t="s">
        <v>147</v>
      </c>
      <c r="D196" s="7">
        <v>14</v>
      </c>
      <c r="E196" s="7">
        <v>290</v>
      </c>
      <c r="F196" s="7">
        <v>57</v>
      </c>
      <c r="G196" s="7">
        <v>12</v>
      </c>
      <c r="H196" s="7">
        <v>86</v>
      </c>
      <c r="I196" s="7" t="s">
        <v>176</v>
      </c>
      <c r="J196" s="7">
        <v>45</v>
      </c>
      <c r="K196" s="7">
        <v>3</v>
      </c>
      <c r="L196" s="7">
        <v>11</v>
      </c>
      <c r="M196" s="7">
        <v>160</v>
      </c>
      <c r="N196" s="7">
        <v>6</v>
      </c>
      <c r="O196" s="7">
        <v>23.3</v>
      </c>
      <c r="P196" s="7">
        <v>37</v>
      </c>
      <c r="Q196" s="7">
        <v>6</v>
      </c>
      <c r="R196" s="7">
        <v>7.6</v>
      </c>
      <c r="S196" s="7">
        <v>5.7323904000000008</v>
      </c>
    </row>
    <row r="197" spans="1:19" x14ac:dyDescent="0.3">
      <c r="A197" s="7" t="s">
        <v>182</v>
      </c>
      <c r="B197" s="7" t="s">
        <v>99</v>
      </c>
      <c r="C197" s="7" t="s">
        <v>146</v>
      </c>
      <c r="D197" s="7">
        <v>1</v>
      </c>
      <c r="E197" s="7">
        <v>344</v>
      </c>
      <c r="F197" s="7">
        <v>62</v>
      </c>
      <c r="G197" s="7">
        <v>14</v>
      </c>
      <c r="H197" s="7">
        <v>90</v>
      </c>
      <c r="I197" s="7" t="s">
        <v>177</v>
      </c>
      <c r="J197" s="7">
        <v>44</v>
      </c>
      <c r="K197" s="7">
        <v>2</v>
      </c>
      <c r="L197" s="7">
        <v>11</v>
      </c>
      <c r="M197" s="7">
        <v>170</v>
      </c>
      <c r="N197" s="7">
        <v>6</v>
      </c>
      <c r="O197" s="7">
        <v>40.6</v>
      </c>
      <c r="P197" s="7">
        <v>39</v>
      </c>
      <c r="Q197" s="7">
        <v>7</v>
      </c>
      <c r="R197" s="7">
        <v>7.8</v>
      </c>
      <c r="S197" s="7">
        <v>7.2207782400000013</v>
      </c>
    </row>
    <row r="198" spans="1:19" x14ac:dyDescent="0.3">
      <c r="A198" s="7" t="s">
        <v>182</v>
      </c>
      <c r="B198" s="7" t="s">
        <v>99</v>
      </c>
      <c r="C198" s="7" t="s">
        <v>146</v>
      </c>
      <c r="D198" s="7">
        <v>2</v>
      </c>
      <c r="E198" s="7">
        <v>345</v>
      </c>
      <c r="F198" s="7">
        <v>66</v>
      </c>
      <c r="G198" s="7">
        <v>12</v>
      </c>
      <c r="H198" s="7">
        <v>165</v>
      </c>
      <c r="I198" s="7" t="s">
        <v>174</v>
      </c>
      <c r="J198" s="7">
        <v>42</v>
      </c>
      <c r="K198" s="7">
        <v>52</v>
      </c>
      <c r="L198" s="7">
        <v>10</v>
      </c>
      <c r="M198" s="7">
        <v>230</v>
      </c>
      <c r="N198" s="7">
        <v>6</v>
      </c>
      <c r="O198" s="7">
        <v>44.7</v>
      </c>
      <c r="P198" s="7">
        <v>39</v>
      </c>
      <c r="Q198" s="7">
        <v>7</v>
      </c>
      <c r="R198" s="7">
        <v>7.6</v>
      </c>
      <c r="S198" s="7">
        <v>5.8467840000000004</v>
      </c>
    </row>
    <row r="199" spans="1:19" x14ac:dyDescent="0.3">
      <c r="A199" s="7" t="s">
        <v>182</v>
      </c>
      <c r="B199" s="7" t="s">
        <v>99</v>
      </c>
      <c r="C199" s="7" t="s">
        <v>146</v>
      </c>
      <c r="D199" s="7">
        <v>3</v>
      </c>
      <c r="E199" s="7">
        <v>340</v>
      </c>
      <c r="F199" s="7">
        <v>64</v>
      </c>
      <c r="G199" s="7">
        <v>14</v>
      </c>
      <c r="H199" s="7">
        <v>133</v>
      </c>
      <c r="I199" s="7" t="s">
        <v>177</v>
      </c>
      <c r="J199" s="7">
        <v>44</v>
      </c>
      <c r="K199" s="7">
        <v>2</v>
      </c>
      <c r="L199" s="7">
        <v>12</v>
      </c>
      <c r="M199" s="7">
        <v>204</v>
      </c>
      <c r="N199" s="7">
        <v>6</v>
      </c>
      <c r="O199" s="7">
        <v>37</v>
      </c>
      <c r="P199" s="7">
        <v>38</v>
      </c>
      <c r="Q199" s="7">
        <v>7</v>
      </c>
      <c r="R199" s="7">
        <v>7.4</v>
      </c>
      <c r="S199" s="7">
        <v>5.8722047999999996</v>
      </c>
    </row>
    <row r="200" spans="1:19" x14ac:dyDescent="0.3">
      <c r="A200" s="7" t="s">
        <v>182</v>
      </c>
      <c r="B200" s="7" t="s">
        <v>99</v>
      </c>
      <c r="C200" s="7" t="s">
        <v>146</v>
      </c>
      <c r="D200" s="7">
        <v>4</v>
      </c>
      <c r="E200" s="7">
        <v>327</v>
      </c>
      <c r="F200" s="7">
        <v>73</v>
      </c>
      <c r="G200" s="7">
        <v>12</v>
      </c>
      <c r="H200" s="7">
        <v>135</v>
      </c>
      <c r="I200" s="7" t="s">
        <v>173</v>
      </c>
      <c r="J200" s="7">
        <v>47</v>
      </c>
      <c r="K200" s="7">
        <v>5</v>
      </c>
      <c r="L200" s="7">
        <v>11</v>
      </c>
      <c r="M200" s="7">
        <v>206</v>
      </c>
      <c r="N200" s="7">
        <v>6</v>
      </c>
      <c r="O200" s="7">
        <v>46.5</v>
      </c>
      <c r="P200" s="7">
        <v>40</v>
      </c>
      <c r="Q200" s="7">
        <v>7</v>
      </c>
      <c r="R200" s="7">
        <v>8</v>
      </c>
      <c r="S200" s="7">
        <v>6.1391231999999993</v>
      </c>
    </row>
    <row r="201" spans="1:19" x14ac:dyDescent="0.3">
      <c r="A201" s="7" t="s">
        <v>182</v>
      </c>
      <c r="B201" s="7" t="s">
        <v>99</v>
      </c>
      <c r="C201" s="7" t="s">
        <v>146</v>
      </c>
      <c r="D201" s="7">
        <v>5</v>
      </c>
      <c r="E201" s="7">
        <v>342</v>
      </c>
      <c r="F201" s="7">
        <v>65</v>
      </c>
      <c r="G201" s="7">
        <v>10</v>
      </c>
      <c r="H201" s="7">
        <v>135</v>
      </c>
      <c r="I201" s="7" t="s">
        <v>173</v>
      </c>
      <c r="J201" s="7">
        <v>47</v>
      </c>
      <c r="K201" s="7">
        <v>5</v>
      </c>
      <c r="L201" s="7">
        <v>11</v>
      </c>
      <c r="M201" s="7">
        <v>205</v>
      </c>
      <c r="N201" s="7">
        <v>6</v>
      </c>
      <c r="O201" s="7">
        <v>40.200000000000003</v>
      </c>
      <c r="P201" s="7">
        <v>39</v>
      </c>
      <c r="Q201" s="7">
        <v>7</v>
      </c>
      <c r="R201" s="7">
        <v>7.8</v>
      </c>
      <c r="S201" s="7">
        <v>6.0485616000000011</v>
      </c>
    </row>
    <row r="202" spans="1:19" x14ac:dyDescent="0.3">
      <c r="A202" s="7" t="s">
        <v>182</v>
      </c>
      <c r="B202" s="7" t="s">
        <v>99</v>
      </c>
      <c r="C202" s="7" t="s">
        <v>146</v>
      </c>
      <c r="D202" s="7">
        <v>7</v>
      </c>
      <c r="E202" s="7">
        <v>345</v>
      </c>
      <c r="F202" s="7">
        <v>66</v>
      </c>
      <c r="G202" s="7">
        <v>16</v>
      </c>
      <c r="H202" s="7">
        <v>133</v>
      </c>
      <c r="I202" s="7" t="s">
        <v>175</v>
      </c>
      <c r="J202" s="7">
        <v>43</v>
      </c>
      <c r="K202" s="7">
        <v>1</v>
      </c>
      <c r="L202" s="7">
        <v>11</v>
      </c>
      <c r="M202" s="7">
        <v>210</v>
      </c>
      <c r="N202" s="7">
        <v>7</v>
      </c>
      <c r="O202" s="7">
        <v>40.700000000000003</v>
      </c>
      <c r="P202" s="7">
        <v>38</v>
      </c>
      <c r="Q202" s="7">
        <v>7</v>
      </c>
      <c r="R202" s="7">
        <v>8.4</v>
      </c>
      <c r="S202" s="7">
        <v>7.8748342400000011</v>
      </c>
    </row>
    <row r="203" spans="1:19" x14ac:dyDescent="0.3">
      <c r="A203" s="7" t="s">
        <v>182</v>
      </c>
      <c r="B203" s="7" t="s">
        <v>99</v>
      </c>
      <c r="C203" s="7" t="s">
        <v>146</v>
      </c>
      <c r="D203" s="7">
        <v>8</v>
      </c>
      <c r="E203" s="7">
        <v>335</v>
      </c>
      <c r="F203" s="7">
        <v>66</v>
      </c>
      <c r="G203" s="7">
        <v>13</v>
      </c>
      <c r="H203" s="7">
        <v>104</v>
      </c>
      <c r="I203" s="7" t="s">
        <v>174</v>
      </c>
      <c r="J203" s="7">
        <v>42</v>
      </c>
      <c r="K203" s="7">
        <v>52</v>
      </c>
      <c r="L203" s="7">
        <v>10</v>
      </c>
      <c r="M203" s="7">
        <v>190</v>
      </c>
      <c r="N203" s="7">
        <v>7</v>
      </c>
      <c r="O203" s="7">
        <v>47.5</v>
      </c>
      <c r="P203" s="7">
        <v>37</v>
      </c>
      <c r="Q203" s="7">
        <v>7</v>
      </c>
      <c r="R203" s="7">
        <v>7.6</v>
      </c>
      <c r="S203" s="7">
        <v>7.4603692800000001</v>
      </c>
    </row>
    <row r="204" spans="1:19" x14ac:dyDescent="0.3">
      <c r="A204" s="7" t="s">
        <v>182</v>
      </c>
      <c r="B204" s="7" t="s">
        <v>99</v>
      </c>
      <c r="C204" s="7" t="s">
        <v>146</v>
      </c>
      <c r="D204" s="7">
        <v>12</v>
      </c>
      <c r="E204" s="7">
        <v>326</v>
      </c>
      <c r="F204" s="7">
        <v>66</v>
      </c>
      <c r="G204" s="7">
        <v>11</v>
      </c>
      <c r="H204" s="7">
        <v>147</v>
      </c>
      <c r="I204" s="7" t="s">
        <v>176</v>
      </c>
      <c r="J204" s="7">
        <v>45</v>
      </c>
      <c r="K204" s="7">
        <v>3</v>
      </c>
      <c r="L204" s="7">
        <v>12</v>
      </c>
      <c r="M204" s="7">
        <v>190</v>
      </c>
      <c r="N204" s="7">
        <v>6</v>
      </c>
      <c r="O204" s="7">
        <v>36.6</v>
      </c>
      <c r="P204" s="7">
        <v>38</v>
      </c>
      <c r="Q204" s="7">
        <v>7</v>
      </c>
      <c r="R204" s="7">
        <v>6.8</v>
      </c>
      <c r="S204" s="7">
        <v>5.9840563200000014</v>
      </c>
    </row>
    <row r="205" spans="1:19" x14ac:dyDescent="0.3">
      <c r="A205" s="7" t="s">
        <v>182</v>
      </c>
      <c r="B205" s="7" t="s">
        <v>99</v>
      </c>
      <c r="C205" s="7" t="s">
        <v>146</v>
      </c>
      <c r="D205" s="7">
        <v>13</v>
      </c>
      <c r="E205" s="7">
        <v>290</v>
      </c>
      <c r="F205" s="7">
        <v>55</v>
      </c>
      <c r="G205" s="7">
        <v>9</v>
      </c>
      <c r="H205" s="7">
        <v>110</v>
      </c>
      <c r="I205" s="7" t="s">
        <v>173</v>
      </c>
      <c r="J205" s="7">
        <v>47</v>
      </c>
      <c r="K205" s="7">
        <v>5</v>
      </c>
      <c r="L205" s="7">
        <v>11</v>
      </c>
      <c r="M205" s="7">
        <v>170</v>
      </c>
      <c r="N205" s="7">
        <v>4</v>
      </c>
      <c r="O205" s="7">
        <v>34</v>
      </c>
      <c r="P205" s="7">
        <v>30</v>
      </c>
      <c r="Q205" s="7">
        <v>6</v>
      </c>
      <c r="R205" s="7">
        <v>7</v>
      </c>
      <c r="S205" s="7">
        <v>3.4699392000000011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486D1-E9EC-4637-ADAD-0D3C42EC4ECA}">
  <dimension ref="A1:S205"/>
  <sheetViews>
    <sheetView tabSelected="1" workbookViewId="0">
      <selection activeCell="J15" sqref="J15"/>
    </sheetView>
  </sheetViews>
  <sheetFormatPr baseColWidth="10" defaultRowHeight="14.4" x14ac:dyDescent="0.3"/>
  <cols>
    <col min="1" max="16384" width="11.5546875" style="3"/>
  </cols>
  <sheetData>
    <row r="1" spans="1:19" x14ac:dyDescent="0.3">
      <c r="A1" s="2" t="s">
        <v>161</v>
      </c>
      <c r="B1" s="2" t="s">
        <v>162</v>
      </c>
      <c r="C1" s="2" t="s">
        <v>163</v>
      </c>
      <c r="D1" s="2" t="s">
        <v>164</v>
      </c>
      <c r="E1" s="2" t="s">
        <v>165</v>
      </c>
      <c r="F1" s="2" t="s">
        <v>166</v>
      </c>
      <c r="G1" s="2" t="s">
        <v>167</v>
      </c>
      <c r="H1" s="2" t="s">
        <v>168</v>
      </c>
      <c r="I1" s="2" t="s">
        <v>169</v>
      </c>
      <c r="J1" s="2" t="s">
        <v>124</v>
      </c>
      <c r="K1" s="2" t="s">
        <v>170</v>
      </c>
      <c r="L1" s="2" t="s">
        <v>126</v>
      </c>
      <c r="M1" s="2" t="s">
        <v>127</v>
      </c>
      <c r="N1" s="2" t="s">
        <v>171</v>
      </c>
      <c r="O1" s="2" t="s">
        <v>129</v>
      </c>
      <c r="P1" s="2" t="s">
        <v>130</v>
      </c>
      <c r="Q1" s="2" t="s">
        <v>131</v>
      </c>
      <c r="R1" s="2" t="s">
        <v>132</v>
      </c>
      <c r="S1" s="2" t="s">
        <v>133</v>
      </c>
    </row>
    <row r="2" spans="1:19" x14ac:dyDescent="0.3">
      <c r="A2" s="7" t="s">
        <v>96</v>
      </c>
      <c r="B2" s="7" t="s">
        <v>172</v>
      </c>
      <c r="C2" s="7" t="s">
        <v>144</v>
      </c>
      <c r="D2" s="7">
        <v>2</v>
      </c>
      <c r="E2" s="7">
        <v>340</v>
      </c>
      <c r="F2" s="7">
        <v>70</v>
      </c>
      <c r="G2" s="7">
        <v>14</v>
      </c>
      <c r="H2" s="7">
        <v>120</v>
      </c>
      <c r="I2" s="7" t="s">
        <v>173</v>
      </c>
      <c r="J2" s="7">
        <v>47</v>
      </c>
      <c r="K2" s="7">
        <v>5</v>
      </c>
      <c r="L2" s="7">
        <v>11</v>
      </c>
      <c r="M2" s="7">
        <v>184</v>
      </c>
      <c r="N2" s="7">
        <v>6</v>
      </c>
      <c r="O2" s="7">
        <v>48</v>
      </c>
      <c r="P2" s="7">
        <v>38</v>
      </c>
      <c r="Q2" s="7">
        <v>8</v>
      </c>
      <c r="R2" s="7">
        <v>8.1999999999999993</v>
      </c>
      <c r="S2" s="7">
        <v>7.3211904000000008</v>
      </c>
    </row>
    <row r="3" spans="1:19" x14ac:dyDescent="0.3">
      <c r="A3" s="7" t="s">
        <v>96</v>
      </c>
      <c r="B3" s="7" t="s">
        <v>172</v>
      </c>
      <c r="C3" s="7" t="s">
        <v>144</v>
      </c>
      <c r="D3" s="7">
        <v>3</v>
      </c>
      <c r="E3" s="7">
        <v>330</v>
      </c>
      <c r="F3" s="7">
        <v>63</v>
      </c>
      <c r="G3" s="7">
        <v>11</v>
      </c>
      <c r="H3" s="7">
        <v>138</v>
      </c>
      <c r="I3" s="7" t="s">
        <v>174</v>
      </c>
      <c r="J3" s="7">
        <v>42</v>
      </c>
      <c r="K3" s="7">
        <v>52</v>
      </c>
      <c r="L3" s="7">
        <v>11</v>
      </c>
      <c r="M3" s="7">
        <v>160</v>
      </c>
      <c r="N3" s="7">
        <v>7</v>
      </c>
      <c r="O3" s="7">
        <v>42</v>
      </c>
      <c r="P3" s="7">
        <v>39</v>
      </c>
      <c r="Q3" s="7">
        <v>7</v>
      </c>
      <c r="R3" s="7">
        <v>8</v>
      </c>
      <c r="S3" s="7">
        <v>6.2280960000000007</v>
      </c>
    </row>
    <row r="4" spans="1:19" x14ac:dyDescent="0.3">
      <c r="A4" s="7" t="s">
        <v>96</v>
      </c>
      <c r="B4" s="7" t="s">
        <v>172</v>
      </c>
      <c r="C4" s="7" t="s">
        <v>144</v>
      </c>
      <c r="D4" s="7">
        <v>8</v>
      </c>
      <c r="E4" s="7">
        <v>300</v>
      </c>
      <c r="F4" s="7">
        <v>59</v>
      </c>
      <c r="G4" s="7">
        <v>13</v>
      </c>
      <c r="H4" s="7">
        <v>122</v>
      </c>
      <c r="I4" s="7" t="s">
        <v>173</v>
      </c>
      <c r="J4" s="7">
        <v>47</v>
      </c>
      <c r="K4" s="7">
        <v>5</v>
      </c>
      <c r="L4" s="7">
        <v>12</v>
      </c>
      <c r="M4" s="7">
        <v>167</v>
      </c>
      <c r="N4" s="7">
        <v>5</v>
      </c>
      <c r="O4" s="7">
        <v>27</v>
      </c>
      <c r="P4" s="7">
        <v>37</v>
      </c>
      <c r="Q4" s="7">
        <v>6</v>
      </c>
      <c r="R4" s="7">
        <v>7.2</v>
      </c>
      <c r="S4" s="7">
        <v>4.2341520000000008</v>
      </c>
    </row>
    <row r="5" spans="1:19" x14ac:dyDescent="0.3">
      <c r="A5" s="7" t="s">
        <v>96</v>
      </c>
      <c r="B5" s="7" t="s">
        <v>172</v>
      </c>
      <c r="C5" s="7" t="s">
        <v>144</v>
      </c>
      <c r="D5" s="7">
        <v>11</v>
      </c>
      <c r="E5" s="7">
        <v>290</v>
      </c>
      <c r="F5" s="7">
        <v>57</v>
      </c>
      <c r="G5" s="7">
        <v>12</v>
      </c>
      <c r="H5" s="7">
        <v>80</v>
      </c>
      <c r="I5" s="7" t="s">
        <v>174</v>
      </c>
      <c r="J5" s="7">
        <v>42</v>
      </c>
      <c r="K5" s="7">
        <v>52</v>
      </c>
      <c r="L5" s="7">
        <v>11</v>
      </c>
      <c r="M5" s="7">
        <v>150</v>
      </c>
      <c r="N5" s="7">
        <v>6</v>
      </c>
      <c r="O5" s="7">
        <v>37</v>
      </c>
      <c r="P5" s="7">
        <v>39</v>
      </c>
      <c r="Q5" s="7">
        <v>6</v>
      </c>
      <c r="R5" s="7">
        <v>7.8</v>
      </c>
      <c r="S5" s="7">
        <v>5.3383680000000018</v>
      </c>
    </row>
    <row r="6" spans="1:19" x14ac:dyDescent="0.3">
      <c r="A6" s="7" t="s">
        <v>96</v>
      </c>
      <c r="B6" s="7" t="s">
        <v>172</v>
      </c>
      <c r="C6" s="7" t="s">
        <v>144</v>
      </c>
      <c r="D6" s="7">
        <v>13</v>
      </c>
      <c r="E6" s="7">
        <v>354</v>
      </c>
      <c r="F6" s="7">
        <v>70</v>
      </c>
      <c r="G6" s="7">
        <v>11</v>
      </c>
      <c r="H6" s="7">
        <v>172</v>
      </c>
      <c r="I6" s="7" t="s">
        <v>175</v>
      </c>
      <c r="J6" s="7">
        <v>43</v>
      </c>
      <c r="K6" s="7">
        <v>1</v>
      </c>
      <c r="L6" s="7">
        <v>11</v>
      </c>
      <c r="M6" s="7">
        <v>230</v>
      </c>
      <c r="N6" s="7">
        <v>6</v>
      </c>
      <c r="O6" s="7">
        <v>51</v>
      </c>
      <c r="P6" s="7">
        <v>39</v>
      </c>
      <c r="Q6" s="7">
        <v>8</v>
      </c>
      <c r="R6" s="7">
        <v>7.6</v>
      </c>
      <c r="S6" s="7">
        <v>6.1486560000000008</v>
      </c>
    </row>
    <row r="7" spans="1:19" x14ac:dyDescent="0.3">
      <c r="A7" s="7" t="s">
        <v>96</v>
      </c>
      <c r="B7" s="7" t="s">
        <v>172</v>
      </c>
      <c r="C7" s="7" t="s">
        <v>144</v>
      </c>
      <c r="D7" s="7">
        <v>14</v>
      </c>
      <c r="E7" s="7">
        <v>340</v>
      </c>
      <c r="F7" s="7">
        <v>63</v>
      </c>
      <c r="G7" s="7">
        <v>13</v>
      </c>
      <c r="H7" s="7">
        <v>155</v>
      </c>
      <c r="I7" s="7" t="s">
        <v>176</v>
      </c>
      <c r="J7" s="7">
        <v>45</v>
      </c>
      <c r="K7" s="7">
        <v>3</v>
      </c>
      <c r="L7" s="7">
        <v>11</v>
      </c>
      <c r="M7" s="7">
        <v>215</v>
      </c>
      <c r="N7" s="7">
        <v>5</v>
      </c>
      <c r="O7" s="7">
        <v>43</v>
      </c>
      <c r="P7" s="7">
        <v>39</v>
      </c>
      <c r="Q7" s="7">
        <v>7</v>
      </c>
      <c r="R7" s="7">
        <v>8</v>
      </c>
      <c r="S7" s="7">
        <v>6.156600000000001</v>
      </c>
    </row>
    <row r="8" spans="1:19" x14ac:dyDescent="0.3">
      <c r="A8" s="7" t="s">
        <v>96</v>
      </c>
      <c r="B8" s="7" t="s">
        <v>97</v>
      </c>
      <c r="C8" s="7" t="s">
        <v>147</v>
      </c>
      <c r="D8" s="7">
        <v>2</v>
      </c>
      <c r="E8" s="7">
        <v>370</v>
      </c>
      <c r="F8" s="7">
        <v>71</v>
      </c>
      <c r="G8" s="7">
        <v>14</v>
      </c>
      <c r="H8" s="7">
        <v>153</v>
      </c>
      <c r="I8" s="7" t="s">
        <v>177</v>
      </c>
      <c r="J8" s="7">
        <v>44</v>
      </c>
      <c r="K8" s="7">
        <v>2</v>
      </c>
      <c r="L8" s="7">
        <v>11</v>
      </c>
      <c r="M8" s="7">
        <v>245</v>
      </c>
      <c r="N8" s="7">
        <v>6</v>
      </c>
      <c r="O8" s="7">
        <v>51.5</v>
      </c>
      <c r="P8" s="7">
        <v>39</v>
      </c>
      <c r="Q8" s="7">
        <v>8</v>
      </c>
      <c r="R8" s="7">
        <v>8.1999999999999993</v>
      </c>
      <c r="S8" s="7">
        <v>6.6195763200000002</v>
      </c>
    </row>
    <row r="9" spans="1:19" x14ac:dyDescent="0.3">
      <c r="A9" s="7" t="s">
        <v>96</v>
      </c>
      <c r="B9" s="7" t="s">
        <v>97</v>
      </c>
      <c r="C9" s="7" t="s">
        <v>147</v>
      </c>
      <c r="D9" s="7">
        <v>9</v>
      </c>
      <c r="E9" s="7">
        <v>330</v>
      </c>
      <c r="F9" s="7">
        <v>64</v>
      </c>
      <c r="G9" s="7">
        <v>12</v>
      </c>
      <c r="H9" s="7">
        <v>120</v>
      </c>
      <c r="I9" s="7" t="s">
        <v>175</v>
      </c>
      <c r="J9" s="7">
        <v>43</v>
      </c>
      <c r="K9" s="7">
        <v>1</v>
      </c>
      <c r="L9" s="7">
        <v>11</v>
      </c>
      <c r="M9" s="7">
        <v>205</v>
      </c>
      <c r="N9" s="7">
        <v>6</v>
      </c>
      <c r="O9" s="7">
        <v>42.2</v>
      </c>
      <c r="P9" s="7">
        <v>38</v>
      </c>
      <c r="Q9" s="7">
        <v>8</v>
      </c>
      <c r="R9" s="7">
        <v>7.6</v>
      </c>
      <c r="S9" s="7">
        <v>6.2916480000000012</v>
      </c>
    </row>
    <row r="10" spans="1:19" x14ac:dyDescent="0.3">
      <c r="A10" s="7" t="s">
        <v>96</v>
      </c>
      <c r="B10" s="7" t="s">
        <v>97</v>
      </c>
      <c r="C10" s="7" t="s">
        <v>147</v>
      </c>
      <c r="D10" s="7">
        <v>11</v>
      </c>
      <c r="E10" s="7">
        <v>305</v>
      </c>
      <c r="F10" s="7">
        <v>60</v>
      </c>
      <c r="G10" s="7">
        <v>13</v>
      </c>
      <c r="H10" s="7">
        <v>60</v>
      </c>
      <c r="I10" s="7" t="s">
        <v>177</v>
      </c>
      <c r="J10" s="7">
        <v>44</v>
      </c>
      <c r="K10" s="7">
        <v>2</v>
      </c>
      <c r="L10" s="7">
        <v>11</v>
      </c>
      <c r="M10" s="7">
        <v>160</v>
      </c>
      <c r="N10" s="7">
        <v>5</v>
      </c>
      <c r="O10" s="7">
        <v>41.5</v>
      </c>
      <c r="P10" s="7">
        <v>38</v>
      </c>
      <c r="Q10" s="7">
        <v>7</v>
      </c>
      <c r="R10" s="7">
        <v>7.8</v>
      </c>
      <c r="S10" s="7">
        <v>4.6604800000000024</v>
      </c>
    </row>
    <row r="11" spans="1:19" x14ac:dyDescent="0.3">
      <c r="A11" s="7" t="s">
        <v>96</v>
      </c>
      <c r="B11" s="7" t="s">
        <v>97</v>
      </c>
      <c r="C11" s="7" t="s">
        <v>147</v>
      </c>
      <c r="D11" s="7">
        <v>12</v>
      </c>
      <c r="E11" s="7">
        <v>330</v>
      </c>
      <c r="F11" s="7">
        <v>63</v>
      </c>
      <c r="G11" s="7">
        <v>12</v>
      </c>
      <c r="H11" s="7">
        <v>100</v>
      </c>
      <c r="I11" s="7" t="s">
        <v>177</v>
      </c>
      <c r="J11" s="7">
        <v>44</v>
      </c>
      <c r="K11" s="7">
        <v>2</v>
      </c>
      <c r="L11" s="7">
        <v>11</v>
      </c>
      <c r="M11" s="7">
        <v>166</v>
      </c>
      <c r="N11" s="7">
        <v>5</v>
      </c>
      <c r="O11" s="7">
        <v>39.5</v>
      </c>
      <c r="P11" s="7">
        <v>39</v>
      </c>
      <c r="Q11" s="7">
        <v>7</v>
      </c>
      <c r="R11" s="7">
        <v>7.8</v>
      </c>
      <c r="S11" s="7">
        <v>5.3012960000000033</v>
      </c>
    </row>
    <row r="12" spans="1:19" x14ac:dyDescent="0.3">
      <c r="A12" s="7" t="s">
        <v>96</v>
      </c>
      <c r="B12" s="7" t="s">
        <v>97</v>
      </c>
      <c r="C12" s="7" t="s">
        <v>147</v>
      </c>
      <c r="D12" s="7">
        <v>13</v>
      </c>
      <c r="E12" s="7">
        <v>330</v>
      </c>
      <c r="F12" s="7">
        <v>65</v>
      </c>
      <c r="G12" s="7">
        <v>13</v>
      </c>
      <c r="H12" s="7">
        <v>132</v>
      </c>
      <c r="I12" s="7" t="s">
        <v>177</v>
      </c>
      <c r="J12" s="7">
        <v>44</v>
      </c>
      <c r="K12" s="7">
        <v>2</v>
      </c>
      <c r="L12" s="7">
        <v>11</v>
      </c>
      <c r="M12" s="7">
        <v>220</v>
      </c>
      <c r="N12" s="7">
        <v>5</v>
      </c>
      <c r="O12" s="7">
        <v>42</v>
      </c>
      <c r="P12" s="7">
        <v>39</v>
      </c>
      <c r="Q12" s="7">
        <v>7</v>
      </c>
      <c r="R12" s="7">
        <v>8</v>
      </c>
      <c r="S12" s="7">
        <v>5.3026200000000001</v>
      </c>
    </row>
    <row r="13" spans="1:19" x14ac:dyDescent="0.3">
      <c r="A13" s="7" t="s">
        <v>96</v>
      </c>
      <c r="B13" s="7" t="s">
        <v>97</v>
      </c>
      <c r="C13" s="7" t="s">
        <v>147</v>
      </c>
      <c r="D13" s="7">
        <v>14</v>
      </c>
      <c r="E13" s="7">
        <v>295</v>
      </c>
      <c r="F13" s="7">
        <v>59</v>
      </c>
      <c r="G13" s="7">
        <v>11</v>
      </c>
      <c r="H13" s="7">
        <v>105</v>
      </c>
      <c r="I13" s="7" t="s">
        <v>178</v>
      </c>
      <c r="J13" s="7">
        <v>46</v>
      </c>
      <c r="K13" s="7">
        <v>4</v>
      </c>
      <c r="L13" s="7">
        <v>11</v>
      </c>
      <c r="M13" s="7">
        <v>182</v>
      </c>
      <c r="N13" s="7">
        <v>5</v>
      </c>
      <c r="O13" s="7">
        <v>36</v>
      </c>
      <c r="P13" s="7">
        <v>38</v>
      </c>
      <c r="Q13" s="7">
        <v>6</v>
      </c>
      <c r="R13" s="7">
        <v>7.8</v>
      </c>
      <c r="S13" s="7">
        <v>4.448640000000001</v>
      </c>
    </row>
    <row r="14" spans="1:19" x14ac:dyDescent="0.3">
      <c r="A14" s="7" t="s">
        <v>96</v>
      </c>
      <c r="B14" s="7" t="s">
        <v>109</v>
      </c>
      <c r="C14" s="7" t="s">
        <v>144</v>
      </c>
      <c r="D14" s="7">
        <v>1</v>
      </c>
      <c r="E14" s="7">
        <v>360</v>
      </c>
      <c r="F14" s="7">
        <v>67</v>
      </c>
      <c r="G14" s="7">
        <v>13</v>
      </c>
      <c r="H14" s="7">
        <v>118</v>
      </c>
      <c r="I14" s="7" t="s">
        <v>177</v>
      </c>
      <c r="J14" s="7">
        <v>44</v>
      </c>
      <c r="K14" s="7">
        <v>2</v>
      </c>
      <c r="L14" s="7">
        <v>11</v>
      </c>
      <c r="M14" s="7">
        <v>190</v>
      </c>
      <c r="N14" s="7">
        <v>6</v>
      </c>
      <c r="O14" s="7">
        <v>48</v>
      </c>
      <c r="P14" s="7">
        <v>38</v>
      </c>
      <c r="Q14" s="7">
        <v>8</v>
      </c>
      <c r="R14" s="7">
        <v>8.4</v>
      </c>
      <c r="S14" s="7">
        <v>7.0161408000000014</v>
      </c>
    </row>
    <row r="15" spans="1:19" x14ac:dyDescent="0.3">
      <c r="A15" s="7" t="s">
        <v>96</v>
      </c>
      <c r="B15" s="7" t="s">
        <v>109</v>
      </c>
      <c r="C15" s="7" t="s">
        <v>144</v>
      </c>
      <c r="D15" s="7">
        <v>2</v>
      </c>
      <c r="E15" s="7">
        <v>330</v>
      </c>
      <c r="F15" s="7">
        <v>60</v>
      </c>
      <c r="G15" s="7">
        <v>12</v>
      </c>
      <c r="H15" s="7">
        <v>80</v>
      </c>
      <c r="I15" s="7" t="s">
        <v>176</v>
      </c>
      <c r="J15" s="7">
        <v>45</v>
      </c>
      <c r="K15" s="7">
        <v>3</v>
      </c>
      <c r="L15" s="7">
        <v>11</v>
      </c>
      <c r="M15" s="7">
        <v>170</v>
      </c>
      <c r="N15" s="7">
        <v>5</v>
      </c>
      <c r="O15" s="7">
        <v>40</v>
      </c>
      <c r="P15" s="7">
        <v>39</v>
      </c>
      <c r="Q15" s="7">
        <v>7</v>
      </c>
      <c r="R15" s="7">
        <v>8.1999999999999993</v>
      </c>
      <c r="S15" s="7">
        <v>5.4813599999999996</v>
      </c>
    </row>
    <row r="16" spans="1:19" x14ac:dyDescent="0.3">
      <c r="A16" s="7" t="s">
        <v>96</v>
      </c>
      <c r="B16" s="7" t="s">
        <v>109</v>
      </c>
      <c r="C16" s="7" t="s">
        <v>144</v>
      </c>
      <c r="D16" s="7">
        <v>4</v>
      </c>
      <c r="E16" s="7">
        <v>357</v>
      </c>
      <c r="F16" s="7">
        <v>72</v>
      </c>
      <c r="G16" s="7">
        <v>13</v>
      </c>
      <c r="H16" s="7">
        <v>125</v>
      </c>
      <c r="I16" s="7" t="s">
        <v>176</v>
      </c>
      <c r="J16" s="7">
        <v>45</v>
      </c>
      <c r="K16" s="7">
        <v>3</v>
      </c>
      <c r="L16" s="7">
        <v>11</v>
      </c>
      <c r="M16" s="7">
        <v>235</v>
      </c>
      <c r="N16" s="7">
        <v>5</v>
      </c>
      <c r="O16" s="7">
        <v>50</v>
      </c>
      <c r="P16" s="7">
        <v>39</v>
      </c>
      <c r="Q16" s="7">
        <v>8</v>
      </c>
      <c r="R16" s="7">
        <v>8.1999999999999993</v>
      </c>
      <c r="S16" s="7">
        <v>6.2890000000000006</v>
      </c>
    </row>
    <row r="17" spans="1:19" x14ac:dyDescent="0.3">
      <c r="A17" s="7" t="s">
        <v>96</v>
      </c>
      <c r="B17" s="7" t="s">
        <v>109</v>
      </c>
      <c r="C17" s="7" t="s">
        <v>144</v>
      </c>
      <c r="D17" s="7">
        <v>5</v>
      </c>
      <c r="E17" s="7">
        <v>355</v>
      </c>
      <c r="F17" s="7">
        <v>64</v>
      </c>
      <c r="G17" s="7">
        <v>13</v>
      </c>
      <c r="H17" s="7">
        <v>125</v>
      </c>
      <c r="I17" s="7" t="s">
        <v>174</v>
      </c>
      <c r="J17" s="7">
        <v>42</v>
      </c>
      <c r="K17" s="7">
        <v>52</v>
      </c>
      <c r="L17" s="7">
        <v>11</v>
      </c>
      <c r="M17" s="7">
        <v>213</v>
      </c>
      <c r="N17" s="7">
        <v>5</v>
      </c>
      <c r="O17" s="7">
        <v>46.2</v>
      </c>
      <c r="P17" s="7">
        <v>40</v>
      </c>
      <c r="Q17" s="7">
        <v>8</v>
      </c>
      <c r="R17" s="7">
        <v>8.4</v>
      </c>
      <c r="S17" s="7">
        <v>5.3860320000000002</v>
      </c>
    </row>
    <row r="18" spans="1:19" x14ac:dyDescent="0.3">
      <c r="A18" s="7" t="s">
        <v>96</v>
      </c>
      <c r="B18" s="7" t="s">
        <v>109</v>
      </c>
      <c r="C18" s="7" t="s">
        <v>144</v>
      </c>
      <c r="D18" s="7">
        <v>6</v>
      </c>
      <c r="E18" s="7">
        <v>345</v>
      </c>
      <c r="F18" s="7">
        <v>66</v>
      </c>
      <c r="G18" s="7">
        <v>13</v>
      </c>
      <c r="H18" s="7">
        <v>148</v>
      </c>
      <c r="I18" s="7" t="s">
        <v>175</v>
      </c>
      <c r="J18" s="7">
        <v>43</v>
      </c>
      <c r="K18" s="7">
        <v>1</v>
      </c>
      <c r="L18" s="7">
        <v>11</v>
      </c>
      <c r="M18" s="7">
        <v>215</v>
      </c>
      <c r="N18" s="7">
        <v>6</v>
      </c>
      <c r="O18" s="7">
        <v>42.2</v>
      </c>
      <c r="P18" s="7">
        <v>39</v>
      </c>
      <c r="Q18" s="7">
        <v>8</v>
      </c>
      <c r="R18" s="7">
        <v>7.6</v>
      </c>
      <c r="S18" s="7">
        <v>7.4355840000000022</v>
      </c>
    </row>
    <row r="19" spans="1:19" x14ac:dyDescent="0.3">
      <c r="A19" s="7" t="s">
        <v>96</v>
      </c>
      <c r="B19" s="7" t="s">
        <v>109</v>
      </c>
      <c r="C19" s="7" t="s">
        <v>144</v>
      </c>
      <c r="D19" s="7">
        <v>10</v>
      </c>
      <c r="E19" s="7">
        <v>336</v>
      </c>
      <c r="F19" s="7">
        <v>67</v>
      </c>
      <c r="G19" s="7">
        <v>12</v>
      </c>
      <c r="H19" s="7">
        <v>124</v>
      </c>
      <c r="I19" s="7" t="s">
        <v>179</v>
      </c>
      <c r="J19" s="7">
        <v>41</v>
      </c>
      <c r="K19" s="7">
        <v>51</v>
      </c>
      <c r="L19" s="7">
        <v>11</v>
      </c>
      <c r="M19" s="7">
        <v>190</v>
      </c>
      <c r="N19" s="7">
        <v>7</v>
      </c>
      <c r="O19" s="7">
        <v>52</v>
      </c>
      <c r="P19" s="7">
        <v>40</v>
      </c>
      <c r="Q19" s="7">
        <v>8</v>
      </c>
      <c r="R19" s="7">
        <v>8</v>
      </c>
      <c r="S19" s="7">
        <v>7.6739039999999994</v>
      </c>
    </row>
    <row r="20" spans="1:19" x14ac:dyDescent="0.3">
      <c r="A20" s="7" t="s">
        <v>96</v>
      </c>
      <c r="B20" s="7" t="s">
        <v>109</v>
      </c>
      <c r="C20" s="7" t="s">
        <v>144</v>
      </c>
      <c r="D20" s="7">
        <v>11</v>
      </c>
      <c r="E20" s="7">
        <v>305</v>
      </c>
      <c r="F20" s="7">
        <v>62</v>
      </c>
      <c r="G20" s="7">
        <v>13</v>
      </c>
      <c r="H20" s="7">
        <v>110</v>
      </c>
      <c r="I20" s="7" t="s">
        <v>178</v>
      </c>
      <c r="J20" s="7">
        <v>46</v>
      </c>
      <c r="K20" s="7">
        <v>4</v>
      </c>
      <c r="L20" s="7">
        <v>11</v>
      </c>
      <c r="M20" s="7">
        <v>173</v>
      </c>
      <c r="N20" s="7">
        <v>5</v>
      </c>
      <c r="O20" s="7">
        <v>39</v>
      </c>
      <c r="P20" s="7">
        <v>38</v>
      </c>
      <c r="Q20" s="7">
        <v>7</v>
      </c>
      <c r="R20" s="7">
        <v>7.8</v>
      </c>
      <c r="S20" s="7">
        <v>4.448640000000001</v>
      </c>
    </row>
    <row r="21" spans="1:19" x14ac:dyDescent="0.3">
      <c r="A21" s="7" t="s">
        <v>96</v>
      </c>
      <c r="B21" s="7" t="s">
        <v>109</v>
      </c>
      <c r="C21" s="7" t="s">
        <v>144</v>
      </c>
      <c r="D21" s="7">
        <v>12</v>
      </c>
      <c r="E21" s="7">
        <v>305</v>
      </c>
      <c r="F21" s="7">
        <v>62</v>
      </c>
      <c r="G21" s="7">
        <v>13</v>
      </c>
      <c r="H21" s="7">
        <v>110</v>
      </c>
      <c r="I21" s="7" t="s">
        <v>178</v>
      </c>
      <c r="J21" s="7">
        <v>46</v>
      </c>
      <c r="K21" s="7">
        <v>4</v>
      </c>
      <c r="L21" s="7">
        <v>11</v>
      </c>
      <c r="M21" s="7">
        <v>184</v>
      </c>
      <c r="N21" s="7">
        <v>4</v>
      </c>
      <c r="O21" s="7">
        <v>38.9</v>
      </c>
      <c r="P21" s="7">
        <v>37</v>
      </c>
      <c r="Q21" s="7">
        <v>7</v>
      </c>
      <c r="R21" s="7">
        <v>8.1999999999999993</v>
      </c>
      <c r="S21" s="7">
        <v>4.3952563200000014</v>
      </c>
    </row>
    <row r="22" spans="1:19" x14ac:dyDescent="0.3">
      <c r="A22" s="7" t="s">
        <v>96</v>
      </c>
      <c r="B22" s="7" t="s">
        <v>109</v>
      </c>
      <c r="C22" s="7" t="s">
        <v>144</v>
      </c>
      <c r="D22" s="7">
        <v>13</v>
      </c>
      <c r="E22" s="7">
        <v>298</v>
      </c>
      <c r="F22" s="7">
        <v>58</v>
      </c>
      <c r="G22" s="7">
        <v>13</v>
      </c>
      <c r="H22" s="7">
        <v>102</v>
      </c>
      <c r="I22" s="7" t="s">
        <v>176</v>
      </c>
      <c r="J22" s="7">
        <v>45</v>
      </c>
      <c r="K22" s="7">
        <v>3</v>
      </c>
      <c r="L22" s="7">
        <v>11</v>
      </c>
      <c r="M22" s="7">
        <v>160</v>
      </c>
      <c r="N22" s="7">
        <v>5</v>
      </c>
      <c r="O22" s="7">
        <v>36</v>
      </c>
      <c r="P22" s="7">
        <v>38</v>
      </c>
      <c r="Q22" s="7">
        <v>6</v>
      </c>
      <c r="R22" s="7">
        <v>7.8</v>
      </c>
      <c r="S22" s="7">
        <v>5.2960000000000003</v>
      </c>
    </row>
    <row r="23" spans="1:19" x14ac:dyDescent="0.3">
      <c r="A23" s="7" t="s">
        <v>96</v>
      </c>
      <c r="B23" s="7" t="s">
        <v>109</v>
      </c>
      <c r="C23" s="7" t="s">
        <v>144</v>
      </c>
      <c r="D23" s="7">
        <v>14</v>
      </c>
      <c r="E23" s="7">
        <v>318</v>
      </c>
      <c r="F23" s="7">
        <v>65</v>
      </c>
      <c r="G23" s="7">
        <v>13</v>
      </c>
      <c r="H23" s="7">
        <v>105</v>
      </c>
      <c r="I23" s="7" t="s">
        <v>176</v>
      </c>
      <c r="J23" s="7">
        <v>45</v>
      </c>
      <c r="K23" s="7">
        <v>3</v>
      </c>
      <c r="L23" s="7">
        <v>10</v>
      </c>
      <c r="M23" s="7">
        <v>175</v>
      </c>
      <c r="N23" s="7">
        <v>6</v>
      </c>
      <c r="O23" s="7">
        <v>42.7</v>
      </c>
      <c r="P23" s="7">
        <v>37</v>
      </c>
      <c r="Q23" s="7">
        <v>7</v>
      </c>
      <c r="R23" s="7">
        <v>7.8</v>
      </c>
      <c r="S23" s="7">
        <v>6.7238016000000007</v>
      </c>
    </row>
    <row r="24" spans="1:19" x14ac:dyDescent="0.3">
      <c r="A24" s="7" t="s">
        <v>96</v>
      </c>
      <c r="B24" s="7" t="s">
        <v>99</v>
      </c>
      <c r="C24" s="7" t="s">
        <v>147</v>
      </c>
      <c r="D24" s="7">
        <v>1</v>
      </c>
      <c r="E24" s="7">
        <v>380</v>
      </c>
      <c r="F24" s="7">
        <v>73</v>
      </c>
      <c r="G24" s="7">
        <v>12</v>
      </c>
      <c r="H24" s="7">
        <v>185</v>
      </c>
      <c r="I24" s="7" t="s">
        <v>173</v>
      </c>
      <c r="J24" s="7">
        <v>47</v>
      </c>
      <c r="K24" s="7">
        <v>5</v>
      </c>
      <c r="L24" s="7">
        <v>11</v>
      </c>
      <c r="M24" s="7">
        <v>235</v>
      </c>
      <c r="N24" s="7">
        <v>7</v>
      </c>
      <c r="O24" s="7">
        <v>50</v>
      </c>
      <c r="P24" s="7">
        <v>37</v>
      </c>
      <c r="Q24" s="7">
        <v>8</v>
      </c>
      <c r="R24" s="7">
        <v>8</v>
      </c>
      <c r="S24" s="7">
        <v>7.6739039999999994</v>
      </c>
    </row>
    <row r="25" spans="1:19" x14ac:dyDescent="0.3">
      <c r="A25" s="7" t="s">
        <v>96</v>
      </c>
      <c r="B25" s="7" t="s">
        <v>99</v>
      </c>
      <c r="C25" s="7" t="s">
        <v>147</v>
      </c>
      <c r="D25" s="7">
        <v>2</v>
      </c>
      <c r="E25" s="7">
        <v>327</v>
      </c>
      <c r="F25" s="7">
        <v>66</v>
      </c>
      <c r="G25" s="7">
        <v>12</v>
      </c>
      <c r="H25" s="7">
        <v>88</v>
      </c>
      <c r="I25" s="7" t="s">
        <v>180</v>
      </c>
      <c r="J25" s="7">
        <v>48</v>
      </c>
      <c r="K25" s="7">
        <v>6</v>
      </c>
      <c r="L25" s="7">
        <v>11</v>
      </c>
      <c r="M25" s="7">
        <v>140</v>
      </c>
      <c r="N25" s="7">
        <v>7</v>
      </c>
      <c r="O25" s="7">
        <v>40</v>
      </c>
      <c r="P25" s="7">
        <v>39</v>
      </c>
      <c r="Q25" s="7">
        <v>8</v>
      </c>
      <c r="R25" s="7">
        <v>8</v>
      </c>
      <c r="S25" s="7">
        <v>8.2707631999999993</v>
      </c>
    </row>
    <row r="26" spans="1:19" x14ac:dyDescent="0.3">
      <c r="A26" s="7" t="s">
        <v>96</v>
      </c>
      <c r="B26" s="7" t="s">
        <v>99</v>
      </c>
      <c r="C26" s="7" t="s">
        <v>147</v>
      </c>
      <c r="D26" s="7">
        <v>3</v>
      </c>
      <c r="E26" s="7">
        <v>378</v>
      </c>
      <c r="F26" s="7">
        <v>74</v>
      </c>
      <c r="G26" s="7">
        <v>16</v>
      </c>
      <c r="H26" s="7">
        <v>100</v>
      </c>
      <c r="I26" s="7" t="s">
        <v>176</v>
      </c>
      <c r="J26" s="7">
        <v>45</v>
      </c>
      <c r="K26" s="7">
        <v>3</v>
      </c>
      <c r="L26" s="7">
        <v>11</v>
      </c>
      <c r="M26" s="7">
        <v>183</v>
      </c>
      <c r="N26" s="7">
        <v>7</v>
      </c>
      <c r="O26" s="7">
        <v>51</v>
      </c>
      <c r="P26" s="7">
        <v>39</v>
      </c>
      <c r="Q26" s="7">
        <v>8</v>
      </c>
      <c r="R26" s="7">
        <v>8</v>
      </c>
      <c r="S26" s="7">
        <v>9.1567840000000018</v>
      </c>
    </row>
    <row r="27" spans="1:19" x14ac:dyDescent="0.3">
      <c r="A27" s="7" t="s">
        <v>96</v>
      </c>
      <c r="B27" s="7" t="s">
        <v>99</v>
      </c>
      <c r="C27" s="7" t="s">
        <v>147</v>
      </c>
      <c r="D27" s="7">
        <v>4</v>
      </c>
      <c r="E27" s="7">
        <v>305</v>
      </c>
      <c r="F27" s="7">
        <v>63</v>
      </c>
      <c r="G27" s="7">
        <v>13</v>
      </c>
      <c r="H27" s="7">
        <v>130</v>
      </c>
      <c r="I27" s="7" t="s">
        <v>175</v>
      </c>
      <c r="J27" s="7">
        <v>43</v>
      </c>
      <c r="K27" s="7">
        <v>1</v>
      </c>
      <c r="L27" s="7">
        <v>11</v>
      </c>
      <c r="M27" s="7">
        <v>195</v>
      </c>
      <c r="N27" s="7">
        <v>5</v>
      </c>
      <c r="O27" s="7">
        <v>35.1</v>
      </c>
      <c r="P27" s="7">
        <v>37</v>
      </c>
      <c r="Q27" s="7">
        <v>7</v>
      </c>
      <c r="R27" s="7">
        <v>8.1999999999999993</v>
      </c>
      <c r="S27" s="7">
        <v>5.3595520000000008</v>
      </c>
    </row>
    <row r="28" spans="1:19" x14ac:dyDescent="0.3">
      <c r="A28" s="7" t="s">
        <v>96</v>
      </c>
      <c r="B28" s="7" t="s">
        <v>99</v>
      </c>
      <c r="C28" s="7" t="s">
        <v>147</v>
      </c>
      <c r="D28" s="7">
        <v>5</v>
      </c>
      <c r="E28" s="7">
        <v>360</v>
      </c>
      <c r="F28" s="7">
        <v>71</v>
      </c>
      <c r="G28" s="7">
        <v>13</v>
      </c>
      <c r="H28" s="7">
        <v>140</v>
      </c>
      <c r="I28" s="7" t="s">
        <v>175</v>
      </c>
      <c r="J28" s="7">
        <v>43</v>
      </c>
      <c r="K28" s="7">
        <v>1</v>
      </c>
      <c r="L28" s="7">
        <v>11</v>
      </c>
      <c r="M28" s="7">
        <v>210</v>
      </c>
      <c r="N28" s="7">
        <v>4</v>
      </c>
      <c r="O28" s="7">
        <v>51.5</v>
      </c>
      <c r="P28" s="7">
        <v>39</v>
      </c>
      <c r="Q28" s="7">
        <v>8</v>
      </c>
      <c r="R28" s="7">
        <v>8</v>
      </c>
      <c r="S28" s="7">
        <v>5.9315199999999999</v>
      </c>
    </row>
    <row r="29" spans="1:19" x14ac:dyDescent="0.3">
      <c r="A29" s="7" t="s">
        <v>96</v>
      </c>
      <c r="B29" s="7" t="s">
        <v>99</v>
      </c>
      <c r="C29" s="7" t="s">
        <v>147</v>
      </c>
      <c r="D29" s="7">
        <v>6</v>
      </c>
      <c r="E29" s="7">
        <v>366</v>
      </c>
      <c r="F29" s="7">
        <v>69</v>
      </c>
      <c r="G29" s="7">
        <v>13</v>
      </c>
      <c r="H29" s="7">
        <v>120</v>
      </c>
      <c r="I29" s="7" t="s">
        <v>177</v>
      </c>
      <c r="J29" s="7">
        <v>44</v>
      </c>
      <c r="K29" s="7">
        <v>2</v>
      </c>
      <c r="L29" s="7">
        <v>11</v>
      </c>
      <c r="M29" s="7">
        <v>200</v>
      </c>
      <c r="N29" s="7">
        <v>5</v>
      </c>
      <c r="O29" s="7">
        <v>51.3</v>
      </c>
      <c r="P29" s="7">
        <v>39</v>
      </c>
      <c r="Q29" s="7">
        <v>8</v>
      </c>
      <c r="R29" s="7">
        <v>8.1999999999999993</v>
      </c>
      <c r="S29" s="7">
        <v>5.8467840000000004</v>
      </c>
    </row>
    <row r="30" spans="1:19" x14ac:dyDescent="0.3">
      <c r="A30" s="7" t="s">
        <v>96</v>
      </c>
      <c r="B30" s="7" t="s">
        <v>99</v>
      </c>
      <c r="C30" s="7" t="s">
        <v>147</v>
      </c>
      <c r="D30" s="7">
        <v>7</v>
      </c>
      <c r="E30" s="7">
        <v>361</v>
      </c>
      <c r="F30" s="7">
        <v>62</v>
      </c>
      <c r="G30" s="7">
        <v>12</v>
      </c>
      <c r="H30" s="7">
        <v>90</v>
      </c>
      <c r="I30" s="7" t="s">
        <v>177</v>
      </c>
      <c r="J30" s="7">
        <v>44</v>
      </c>
      <c r="K30" s="7">
        <v>2</v>
      </c>
      <c r="L30" s="7">
        <v>11</v>
      </c>
      <c r="M30" s="7">
        <v>155</v>
      </c>
      <c r="N30" s="7">
        <v>6</v>
      </c>
      <c r="O30" s="7">
        <v>40.700000000000003</v>
      </c>
      <c r="P30" s="7">
        <v>38</v>
      </c>
      <c r="Q30" s="7">
        <v>7</v>
      </c>
      <c r="R30" s="7">
        <v>8</v>
      </c>
      <c r="S30" s="7">
        <v>7.0161408000000014</v>
      </c>
    </row>
    <row r="31" spans="1:19" x14ac:dyDescent="0.3">
      <c r="A31" s="7" t="s">
        <v>96</v>
      </c>
      <c r="B31" s="7" t="s">
        <v>99</v>
      </c>
      <c r="C31" s="7" t="s">
        <v>147</v>
      </c>
      <c r="D31" s="7">
        <v>8</v>
      </c>
      <c r="E31" s="7">
        <v>325</v>
      </c>
      <c r="F31" s="7">
        <v>65</v>
      </c>
      <c r="G31" s="7">
        <v>14</v>
      </c>
      <c r="H31" s="7">
        <v>110</v>
      </c>
      <c r="I31" s="7" t="s">
        <v>178</v>
      </c>
      <c r="J31" s="7">
        <v>46</v>
      </c>
      <c r="K31" s="7">
        <v>4</v>
      </c>
      <c r="L31" s="7">
        <v>12</v>
      </c>
      <c r="M31" s="7">
        <v>170</v>
      </c>
      <c r="N31" s="7">
        <v>5</v>
      </c>
      <c r="O31" s="7">
        <v>31.3</v>
      </c>
      <c r="P31" s="7">
        <v>36</v>
      </c>
      <c r="Q31" s="7">
        <v>7</v>
      </c>
      <c r="R31" s="7">
        <v>7.4</v>
      </c>
      <c r="S31" s="7">
        <v>5.3595520000000008</v>
      </c>
    </row>
    <row r="32" spans="1:19" x14ac:dyDescent="0.3">
      <c r="A32" s="7" t="s">
        <v>96</v>
      </c>
      <c r="B32" s="7" t="s">
        <v>99</v>
      </c>
      <c r="C32" s="7" t="s">
        <v>147</v>
      </c>
      <c r="D32" s="7">
        <v>12</v>
      </c>
      <c r="E32" s="7">
        <v>330</v>
      </c>
      <c r="F32" s="7">
        <v>64</v>
      </c>
      <c r="G32" s="7">
        <v>12</v>
      </c>
      <c r="H32" s="7">
        <v>135</v>
      </c>
      <c r="I32" s="7" t="s">
        <v>176</v>
      </c>
      <c r="J32" s="7">
        <v>45</v>
      </c>
      <c r="K32" s="7">
        <v>3</v>
      </c>
      <c r="L32" s="7">
        <v>11</v>
      </c>
      <c r="M32" s="7">
        <v>190</v>
      </c>
      <c r="N32" s="7">
        <v>5</v>
      </c>
      <c r="O32" s="7">
        <v>48.1</v>
      </c>
      <c r="P32" s="7">
        <v>38</v>
      </c>
      <c r="Q32" s="7">
        <v>8</v>
      </c>
      <c r="R32" s="7">
        <v>8</v>
      </c>
      <c r="S32" s="7">
        <v>4.7875839999999998</v>
      </c>
    </row>
    <row r="33" spans="1:19" x14ac:dyDescent="0.3">
      <c r="A33" s="7" t="s">
        <v>96</v>
      </c>
      <c r="B33" s="7" t="s">
        <v>99</v>
      </c>
      <c r="C33" s="7" t="s">
        <v>147</v>
      </c>
      <c r="D33" s="7">
        <v>13</v>
      </c>
      <c r="E33" s="7">
        <v>362</v>
      </c>
      <c r="F33" s="7">
        <v>69</v>
      </c>
      <c r="G33" s="7">
        <v>14</v>
      </c>
      <c r="H33" s="7">
        <v>83</v>
      </c>
      <c r="I33" s="7" t="s">
        <v>177</v>
      </c>
      <c r="J33" s="7">
        <v>44</v>
      </c>
      <c r="K33" s="7">
        <v>2</v>
      </c>
      <c r="L33" s="7">
        <v>11</v>
      </c>
      <c r="M33" s="7">
        <v>172</v>
      </c>
      <c r="N33" s="7">
        <v>7</v>
      </c>
      <c r="O33" s="7">
        <v>50.5</v>
      </c>
      <c r="P33" s="7">
        <v>39</v>
      </c>
      <c r="Q33" s="7">
        <v>8</v>
      </c>
      <c r="R33" s="7">
        <v>8</v>
      </c>
      <c r="S33" s="7">
        <v>8.0965248000000027</v>
      </c>
    </row>
    <row r="34" spans="1:19" x14ac:dyDescent="0.3">
      <c r="A34" s="7" t="s">
        <v>96</v>
      </c>
      <c r="B34" s="7" t="s">
        <v>99</v>
      </c>
      <c r="C34" s="7" t="s">
        <v>147</v>
      </c>
      <c r="D34" s="7">
        <v>14</v>
      </c>
      <c r="E34" s="7">
        <v>337</v>
      </c>
      <c r="F34" s="7">
        <v>69</v>
      </c>
      <c r="G34" s="7">
        <v>13</v>
      </c>
      <c r="H34" s="7">
        <v>95</v>
      </c>
      <c r="I34" s="7" t="s">
        <v>175</v>
      </c>
      <c r="J34" s="7">
        <v>43</v>
      </c>
      <c r="K34" s="7">
        <v>1</v>
      </c>
      <c r="L34" s="7">
        <v>11</v>
      </c>
      <c r="M34" s="7">
        <v>158</v>
      </c>
      <c r="N34" s="7">
        <v>7</v>
      </c>
      <c r="O34" s="7">
        <v>46.7</v>
      </c>
      <c r="P34" s="7">
        <v>37</v>
      </c>
      <c r="Q34" s="7">
        <v>8</v>
      </c>
      <c r="R34" s="7">
        <v>7.6</v>
      </c>
      <c r="S34" s="7">
        <v>9.3243494400000024</v>
      </c>
    </row>
    <row r="35" spans="1:19" x14ac:dyDescent="0.3">
      <c r="A35" s="7" t="s">
        <v>96</v>
      </c>
      <c r="B35" s="7" t="s">
        <v>109</v>
      </c>
      <c r="C35" s="7" t="s">
        <v>146</v>
      </c>
      <c r="D35" s="7">
        <v>1</v>
      </c>
      <c r="E35" s="7">
        <v>383</v>
      </c>
      <c r="F35" s="7">
        <v>78</v>
      </c>
      <c r="G35" s="7">
        <v>15</v>
      </c>
      <c r="H35" s="7">
        <v>180</v>
      </c>
      <c r="I35" s="7" t="s">
        <v>176</v>
      </c>
      <c r="J35" s="7">
        <v>45</v>
      </c>
      <c r="K35" s="7">
        <v>3</v>
      </c>
      <c r="L35" s="7">
        <v>10</v>
      </c>
      <c r="M35" s="7">
        <v>237</v>
      </c>
      <c r="N35" s="7">
        <v>7</v>
      </c>
      <c r="O35" s="7">
        <v>58.7</v>
      </c>
      <c r="P35" s="7">
        <v>39</v>
      </c>
      <c r="Q35" s="7">
        <v>8</v>
      </c>
      <c r="R35" s="7">
        <v>9</v>
      </c>
      <c r="S35" s="7">
        <v>9.8314944000000004</v>
      </c>
    </row>
    <row r="36" spans="1:19" x14ac:dyDescent="0.3">
      <c r="A36" s="7" t="s">
        <v>96</v>
      </c>
      <c r="B36" s="7" t="s">
        <v>109</v>
      </c>
      <c r="C36" s="7" t="s">
        <v>146</v>
      </c>
      <c r="D36" s="7">
        <v>3</v>
      </c>
      <c r="E36" s="7">
        <v>334</v>
      </c>
      <c r="F36" s="7">
        <v>68</v>
      </c>
      <c r="G36" s="7">
        <v>14</v>
      </c>
      <c r="H36" s="7">
        <v>130</v>
      </c>
      <c r="I36" s="7" t="s">
        <v>178</v>
      </c>
      <c r="J36" s="7">
        <v>46</v>
      </c>
      <c r="K36" s="7">
        <v>4</v>
      </c>
      <c r="L36" s="7">
        <v>11</v>
      </c>
      <c r="M36" s="7">
        <v>190</v>
      </c>
      <c r="N36" s="7">
        <v>5</v>
      </c>
      <c r="O36" s="7">
        <v>46</v>
      </c>
      <c r="P36" s="7">
        <v>38</v>
      </c>
      <c r="Q36" s="7">
        <v>7</v>
      </c>
      <c r="R36" s="7">
        <v>8.4</v>
      </c>
      <c r="S36" s="7">
        <v>6.2386879999999998</v>
      </c>
    </row>
    <row r="37" spans="1:19" x14ac:dyDescent="0.3">
      <c r="A37" s="7" t="s">
        <v>96</v>
      </c>
      <c r="B37" s="7" t="s">
        <v>109</v>
      </c>
      <c r="C37" s="7" t="s">
        <v>146</v>
      </c>
      <c r="D37" s="7">
        <v>4</v>
      </c>
      <c r="E37" s="7">
        <v>350</v>
      </c>
      <c r="F37" s="7">
        <v>71</v>
      </c>
      <c r="G37" s="7">
        <v>12</v>
      </c>
      <c r="H37" s="7">
        <v>168</v>
      </c>
      <c r="I37" s="7" t="s">
        <v>180</v>
      </c>
      <c r="J37" s="7">
        <v>40</v>
      </c>
      <c r="K37" s="7">
        <v>50</v>
      </c>
      <c r="L37" s="7">
        <v>11</v>
      </c>
      <c r="M37" s="7">
        <v>215</v>
      </c>
      <c r="N37" s="7">
        <v>6</v>
      </c>
      <c r="O37" s="7">
        <v>52.4</v>
      </c>
      <c r="P37" s="7">
        <v>39</v>
      </c>
      <c r="Q37" s="7">
        <v>8</v>
      </c>
      <c r="R37" s="7">
        <v>8</v>
      </c>
      <c r="S37" s="7">
        <v>7.7851200000000018</v>
      </c>
    </row>
    <row r="38" spans="1:19" x14ac:dyDescent="0.3">
      <c r="A38" s="7" t="s">
        <v>96</v>
      </c>
      <c r="B38" s="7" t="s">
        <v>109</v>
      </c>
      <c r="C38" s="7" t="s">
        <v>146</v>
      </c>
      <c r="D38" s="7">
        <v>5</v>
      </c>
      <c r="E38" s="7">
        <v>330</v>
      </c>
      <c r="F38" s="7">
        <v>64</v>
      </c>
      <c r="G38" s="7">
        <v>11</v>
      </c>
      <c r="H38" s="7">
        <v>165</v>
      </c>
      <c r="I38" s="7" t="s">
        <v>180</v>
      </c>
      <c r="J38" s="7">
        <v>40</v>
      </c>
      <c r="K38" s="7">
        <v>50</v>
      </c>
      <c r="L38" s="7">
        <v>11</v>
      </c>
      <c r="M38" s="7">
        <v>215</v>
      </c>
      <c r="N38" s="7">
        <v>6</v>
      </c>
      <c r="O38" s="7">
        <v>48</v>
      </c>
      <c r="P38" s="7">
        <v>40</v>
      </c>
      <c r="Q38" s="7">
        <v>8</v>
      </c>
      <c r="R38" s="7">
        <v>7.8</v>
      </c>
      <c r="S38" s="7">
        <v>6.7206240000000008</v>
      </c>
    </row>
    <row r="39" spans="1:19" x14ac:dyDescent="0.3">
      <c r="A39" s="7" t="s">
        <v>96</v>
      </c>
      <c r="B39" s="7" t="s">
        <v>109</v>
      </c>
      <c r="C39" s="7" t="s">
        <v>146</v>
      </c>
      <c r="D39" s="7">
        <v>6</v>
      </c>
      <c r="E39" s="7">
        <v>325</v>
      </c>
      <c r="F39" s="7">
        <v>61</v>
      </c>
      <c r="G39" s="7">
        <v>13</v>
      </c>
      <c r="H39" s="7">
        <v>95</v>
      </c>
      <c r="I39" s="7" t="s">
        <v>176</v>
      </c>
      <c r="J39" s="7">
        <v>45</v>
      </c>
      <c r="K39" s="7">
        <v>3</v>
      </c>
      <c r="L39" s="7">
        <v>11</v>
      </c>
      <c r="M39" s="7">
        <v>164</v>
      </c>
      <c r="N39" s="7">
        <v>4</v>
      </c>
      <c r="O39" s="7">
        <v>43.3</v>
      </c>
      <c r="P39" s="7">
        <v>39</v>
      </c>
      <c r="Q39" s="7">
        <v>7</v>
      </c>
      <c r="R39" s="7">
        <v>8.1999999999999993</v>
      </c>
      <c r="S39" s="7">
        <v>4.0037760000000011</v>
      </c>
    </row>
    <row r="40" spans="1:19" x14ac:dyDescent="0.3">
      <c r="A40" s="7" t="s">
        <v>96</v>
      </c>
      <c r="B40" s="7" t="s">
        <v>109</v>
      </c>
      <c r="C40" s="7" t="s">
        <v>146</v>
      </c>
      <c r="D40" s="7">
        <v>7</v>
      </c>
      <c r="E40" s="7">
        <v>345</v>
      </c>
      <c r="F40" s="7">
        <v>66</v>
      </c>
      <c r="G40" s="7">
        <v>11</v>
      </c>
      <c r="H40" s="7">
        <v>144</v>
      </c>
      <c r="I40" s="7" t="s">
        <v>173</v>
      </c>
      <c r="J40" s="7">
        <v>39</v>
      </c>
      <c r="K40" s="7">
        <v>49</v>
      </c>
      <c r="L40" s="7">
        <v>11</v>
      </c>
      <c r="M40" s="7">
        <v>175</v>
      </c>
      <c r="N40" s="7">
        <v>8</v>
      </c>
      <c r="O40" s="7">
        <v>49</v>
      </c>
      <c r="P40" s="7">
        <v>40</v>
      </c>
      <c r="Q40" s="7">
        <v>8</v>
      </c>
      <c r="R40" s="7">
        <v>8.1999999999999993</v>
      </c>
      <c r="S40" s="7">
        <v>9.5497472000000023</v>
      </c>
    </row>
    <row r="41" spans="1:19" x14ac:dyDescent="0.3">
      <c r="A41" s="7" t="s">
        <v>96</v>
      </c>
      <c r="B41" s="7" t="s">
        <v>109</v>
      </c>
      <c r="C41" s="7" t="s">
        <v>146</v>
      </c>
      <c r="D41" s="7">
        <v>8</v>
      </c>
      <c r="E41" s="7">
        <v>370</v>
      </c>
      <c r="F41" s="7">
        <v>69</v>
      </c>
      <c r="G41" s="7">
        <v>14</v>
      </c>
      <c r="H41" s="7">
        <v>125</v>
      </c>
      <c r="I41" s="7" t="s">
        <v>175</v>
      </c>
      <c r="J41" s="7">
        <v>42</v>
      </c>
      <c r="K41" s="7">
        <v>52</v>
      </c>
      <c r="L41" s="7">
        <v>11</v>
      </c>
      <c r="M41" s="7">
        <v>198</v>
      </c>
      <c r="N41" s="7">
        <v>4</v>
      </c>
      <c r="O41" s="7">
        <v>53.5</v>
      </c>
      <c r="P41" s="7">
        <v>39</v>
      </c>
      <c r="Q41" s="7">
        <v>8</v>
      </c>
      <c r="R41" s="7">
        <v>7.6</v>
      </c>
      <c r="S41" s="7">
        <v>4.1414720000000003</v>
      </c>
    </row>
    <row r="42" spans="1:19" x14ac:dyDescent="0.3">
      <c r="A42" s="7" t="s">
        <v>96</v>
      </c>
      <c r="B42" s="7" t="s">
        <v>109</v>
      </c>
      <c r="C42" s="7" t="s">
        <v>146</v>
      </c>
      <c r="D42" s="7">
        <v>9</v>
      </c>
      <c r="E42" s="7">
        <v>363</v>
      </c>
      <c r="F42" s="7">
        <v>70</v>
      </c>
      <c r="G42" s="7">
        <v>12</v>
      </c>
      <c r="H42" s="7">
        <v>100</v>
      </c>
      <c r="I42" s="7" t="s">
        <v>174</v>
      </c>
      <c r="J42" s="7">
        <v>42</v>
      </c>
      <c r="K42" s="7">
        <v>52</v>
      </c>
      <c r="L42" s="7">
        <v>11</v>
      </c>
      <c r="M42" s="7">
        <v>180</v>
      </c>
      <c r="N42" s="7">
        <v>5</v>
      </c>
      <c r="O42" s="7">
        <v>52</v>
      </c>
      <c r="P42" s="7">
        <v>39</v>
      </c>
      <c r="Q42" s="7">
        <v>8</v>
      </c>
      <c r="R42" s="7">
        <v>8</v>
      </c>
      <c r="S42" s="7">
        <v>5.9421119999999998</v>
      </c>
    </row>
    <row r="43" spans="1:19" x14ac:dyDescent="0.3">
      <c r="A43" s="7" t="s">
        <v>96</v>
      </c>
      <c r="B43" s="7" t="s">
        <v>109</v>
      </c>
      <c r="C43" s="7" t="s">
        <v>146</v>
      </c>
      <c r="D43" s="7">
        <v>12</v>
      </c>
      <c r="E43" s="7">
        <v>350</v>
      </c>
      <c r="F43" s="7">
        <v>63</v>
      </c>
      <c r="G43" s="7">
        <v>12</v>
      </c>
      <c r="H43" s="7">
        <v>156</v>
      </c>
      <c r="I43" s="7" t="s">
        <v>174</v>
      </c>
      <c r="J43" s="7">
        <v>42</v>
      </c>
      <c r="K43" s="7">
        <v>52</v>
      </c>
      <c r="L43" s="7">
        <v>11</v>
      </c>
      <c r="M43" s="7">
        <v>185</v>
      </c>
      <c r="N43" s="7">
        <v>6</v>
      </c>
      <c r="O43" s="7">
        <v>42</v>
      </c>
      <c r="P43" s="7">
        <v>39</v>
      </c>
      <c r="Q43" s="7">
        <v>7</v>
      </c>
      <c r="R43" s="7">
        <v>7.4</v>
      </c>
      <c r="S43" s="7">
        <v>6.7110912000000011</v>
      </c>
    </row>
    <row r="44" spans="1:19" x14ac:dyDescent="0.3">
      <c r="A44" s="7" t="s">
        <v>96</v>
      </c>
      <c r="B44" s="7" t="s">
        <v>109</v>
      </c>
      <c r="C44" s="7" t="s">
        <v>146</v>
      </c>
      <c r="D44" s="7">
        <v>13</v>
      </c>
      <c r="E44" s="7">
        <v>365</v>
      </c>
      <c r="F44" s="7">
        <v>72</v>
      </c>
      <c r="G44" s="7">
        <v>13</v>
      </c>
      <c r="H44" s="7">
        <v>110</v>
      </c>
      <c r="I44" s="7" t="s">
        <v>178</v>
      </c>
      <c r="J44" s="7">
        <v>46</v>
      </c>
      <c r="K44" s="7">
        <v>4</v>
      </c>
      <c r="L44" s="7">
        <v>11</v>
      </c>
      <c r="M44" s="7">
        <v>200</v>
      </c>
      <c r="N44" s="7">
        <v>5</v>
      </c>
      <c r="O44" s="7">
        <v>49.5</v>
      </c>
      <c r="P44" s="7">
        <v>38</v>
      </c>
      <c r="Q44" s="7">
        <v>8</v>
      </c>
      <c r="R44" s="7">
        <v>8.1999999999999993</v>
      </c>
      <c r="S44" s="7">
        <v>5.9580000000000002</v>
      </c>
    </row>
    <row r="45" spans="1:19" x14ac:dyDescent="0.3">
      <c r="A45" s="7" t="s">
        <v>96</v>
      </c>
      <c r="B45" s="7" t="s">
        <v>109</v>
      </c>
      <c r="C45" s="7" t="s">
        <v>146</v>
      </c>
      <c r="D45" s="7">
        <v>14</v>
      </c>
      <c r="E45" s="7">
        <v>367</v>
      </c>
      <c r="F45" s="7">
        <v>68</v>
      </c>
      <c r="G45" s="7">
        <v>12</v>
      </c>
      <c r="H45" s="7">
        <v>170</v>
      </c>
      <c r="I45" s="7" t="s">
        <v>179</v>
      </c>
      <c r="J45" s="7">
        <v>41</v>
      </c>
      <c r="K45" s="7">
        <v>51</v>
      </c>
      <c r="L45" s="7">
        <v>11</v>
      </c>
      <c r="M45" s="7">
        <v>230</v>
      </c>
      <c r="N45" s="7">
        <v>8</v>
      </c>
      <c r="O45" s="7">
        <v>53.5</v>
      </c>
      <c r="P45" s="7">
        <v>40</v>
      </c>
      <c r="Q45" s="7">
        <v>8</v>
      </c>
      <c r="R45" s="7">
        <v>8.4</v>
      </c>
      <c r="S45" s="7">
        <v>8.7701759999999993</v>
      </c>
    </row>
    <row r="46" spans="1:19" x14ac:dyDescent="0.3">
      <c r="A46" s="7" t="s">
        <v>96</v>
      </c>
      <c r="B46" s="7" t="s">
        <v>99</v>
      </c>
      <c r="C46" s="7" t="s">
        <v>144</v>
      </c>
      <c r="D46" s="7">
        <v>1</v>
      </c>
      <c r="E46" s="7">
        <v>351</v>
      </c>
      <c r="F46" s="7">
        <v>70</v>
      </c>
      <c r="G46" s="7">
        <v>13</v>
      </c>
      <c r="H46" s="7">
        <v>110</v>
      </c>
      <c r="I46" s="7" t="s">
        <v>175</v>
      </c>
      <c r="J46" s="7">
        <v>43</v>
      </c>
      <c r="K46" s="7">
        <v>1</v>
      </c>
      <c r="L46" s="7">
        <v>11</v>
      </c>
      <c r="M46" s="7">
        <v>170</v>
      </c>
      <c r="N46" s="7">
        <v>5</v>
      </c>
      <c r="O46" s="7">
        <v>52</v>
      </c>
      <c r="P46" s="7">
        <v>39</v>
      </c>
      <c r="Q46" s="7">
        <v>8</v>
      </c>
      <c r="R46" s="7">
        <v>8.1999999999999993</v>
      </c>
      <c r="S46" s="7">
        <v>6.3578480000000006</v>
      </c>
    </row>
    <row r="47" spans="1:19" x14ac:dyDescent="0.3">
      <c r="A47" s="7" t="s">
        <v>96</v>
      </c>
      <c r="B47" s="7" t="s">
        <v>99</v>
      </c>
      <c r="C47" s="7" t="s">
        <v>144</v>
      </c>
      <c r="D47" s="7">
        <v>2</v>
      </c>
      <c r="E47" s="7">
        <v>305</v>
      </c>
      <c r="F47" s="7">
        <v>60</v>
      </c>
      <c r="G47" s="7">
        <v>12</v>
      </c>
      <c r="H47" s="7">
        <v>125</v>
      </c>
      <c r="I47" s="7" t="s">
        <v>180</v>
      </c>
      <c r="J47" s="7">
        <v>48</v>
      </c>
      <c r="K47" s="7">
        <v>6</v>
      </c>
      <c r="L47" s="7">
        <v>11</v>
      </c>
      <c r="M47" s="7">
        <v>177</v>
      </c>
      <c r="N47" s="7">
        <v>6</v>
      </c>
      <c r="O47" s="7">
        <v>33</v>
      </c>
      <c r="P47" s="7">
        <v>38</v>
      </c>
      <c r="Q47" s="7">
        <v>7</v>
      </c>
      <c r="R47" s="7">
        <v>8.6</v>
      </c>
      <c r="S47" s="7">
        <v>6.0520569600000007</v>
      </c>
    </row>
    <row r="48" spans="1:19" x14ac:dyDescent="0.3">
      <c r="A48" s="7" t="s">
        <v>96</v>
      </c>
      <c r="B48" s="7" t="s">
        <v>99</v>
      </c>
      <c r="C48" s="7" t="s">
        <v>144</v>
      </c>
      <c r="D48" s="7">
        <v>5</v>
      </c>
      <c r="E48" s="7">
        <v>336</v>
      </c>
      <c r="F48" s="7">
        <v>62</v>
      </c>
      <c r="G48" s="7">
        <v>13</v>
      </c>
      <c r="H48" s="7">
        <v>90</v>
      </c>
      <c r="I48" s="7" t="s">
        <v>178</v>
      </c>
      <c r="J48" s="7">
        <v>46</v>
      </c>
      <c r="K48" s="7">
        <v>4</v>
      </c>
      <c r="L48" s="7">
        <v>12</v>
      </c>
      <c r="M48" s="7">
        <v>144</v>
      </c>
      <c r="N48" s="7">
        <v>4</v>
      </c>
      <c r="O48" s="7">
        <v>39.6</v>
      </c>
      <c r="P48" s="7">
        <v>39</v>
      </c>
      <c r="Q48" s="7">
        <v>7</v>
      </c>
      <c r="R48" s="7">
        <v>7.6</v>
      </c>
      <c r="S48" s="7">
        <v>4.6604800000000006</v>
      </c>
    </row>
    <row r="49" spans="1:19" x14ac:dyDescent="0.3">
      <c r="A49" s="7" t="s">
        <v>96</v>
      </c>
      <c r="B49" s="7" t="s">
        <v>99</v>
      </c>
      <c r="C49" s="7" t="s">
        <v>144</v>
      </c>
      <c r="D49" s="7">
        <v>6</v>
      </c>
      <c r="E49" s="7">
        <v>320</v>
      </c>
      <c r="F49" s="7">
        <v>66</v>
      </c>
      <c r="G49" s="7">
        <v>13</v>
      </c>
      <c r="H49" s="7">
        <v>86</v>
      </c>
      <c r="I49" s="7" t="s">
        <v>178</v>
      </c>
      <c r="J49" s="7">
        <v>46</v>
      </c>
      <c r="K49" s="7">
        <v>4</v>
      </c>
      <c r="L49" s="7">
        <v>11</v>
      </c>
      <c r="M49" s="7">
        <v>180</v>
      </c>
      <c r="N49" s="7">
        <v>4</v>
      </c>
      <c r="O49" s="7">
        <v>48</v>
      </c>
      <c r="P49" s="7">
        <v>37</v>
      </c>
      <c r="Q49" s="7">
        <v>8</v>
      </c>
      <c r="R49" s="7">
        <v>7.4</v>
      </c>
      <c r="S49" s="7">
        <v>4.1446496000000002</v>
      </c>
    </row>
    <row r="50" spans="1:19" x14ac:dyDescent="0.3">
      <c r="A50" s="7" t="s">
        <v>96</v>
      </c>
      <c r="B50" s="7" t="s">
        <v>99</v>
      </c>
      <c r="C50" s="7" t="s">
        <v>144</v>
      </c>
      <c r="D50" s="7">
        <v>7</v>
      </c>
      <c r="E50" s="7">
        <v>346</v>
      </c>
      <c r="F50" s="7">
        <v>69</v>
      </c>
      <c r="G50" s="7">
        <v>14</v>
      </c>
      <c r="H50" s="7">
        <v>78</v>
      </c>
      <c r="I50" s="7" t="s">
        <v>173</v>
      </c>
      <c r="J50" s="7">
        <v>3</v>
      </c>
      <c r="K50" s="7">
        <v>13</v>
      </c>
      <c r="L50" s="7">
        <v>11</v>
      </c>
      <c r="M50" s="7">
        <v>153</v>
      </c>
      <c r="N50" s="7">
        <v>6</v>
      </c>
      <c r="O50" s="7">
        <v>49.6</v>
      </c>
      <c r="P50" s="7">
        <v>39</v>
      </c>
      <c r="Q50" s="7">
        <v>8</v>
      </c>
      <c r="R50" s="7">
        <v>8.4</v>
      </c>
      <c r="S50" s="7">
        <v>7.9440000000000008</v>
      </c>
    </row>
    <row r="51" spans="1:19" x14ac:dyDescent="0.3">
      <c r="A51" s="7" t="s">
        <v>96</v>
      </c>
      <c r="B51" s="7" t="s">
        <v>99</v>
      </c>
      <c r="C51" s="7" t="s">
        <v>144</v>
      </c>
      <c r="D51" s="7">
        <v>8</v>
      </c>
      <c r="E51" s="7">
        <v>325</v>
      </c>
      <c r="F51" s="7">
        <v>63</v>
      </c>
      <c r="G51" s="7">
        <v>12</v>
      </c>
      <c r="H51" s="7">
        <v>60</v>
      </c>
      <c r="I51" s="7" t="s">
        <v>176</v>
      </c>
      <c r="J51" s="7">
        <v>45</v>
      </c>
      <c r="K51" s="7">
        <v>3</v>
      </c>
      <c r="L51" s="7">
        <v>11</v>
      </c>
      <c r="M51" s="7">
        <v>130</v>
      </c>
      <c r="N51" s="7">
        <v>5</v>
      </c>
      <c r="O51" s="7">
        <v>45.3</v>
      </c>
      <c r="P51" s="7">
        <v>38</v>
      </c>
      <c r="Q51" s="7">
        <v>7</v>
      </c>
      <c r="R51" s="7">
        <v>8</v>
      </c>
      <c r="S51" s="7">
        <v>4.4910080000000008</v>
      </c>
    </row>
    <row r="52" spans="1:19" x14ac:dyDescent="0.3">
      <c r="A52" s="7" t="s">
        <v>96</v>
      </c>
      <c r="B52" s="7" t="s">
        <v>99</v>
      </c>
      <c r="C52" s="7" t="s">
        <v>144</v>
      </c>
      <c r="D52" s="7">
        <v>9</v>
      </c>
      <c r="E52" s="7">
        <v>331</v>
      </c>
      <c r="F52" s="7">
        <v>64</v>
      </c>
      <c r="G52" s="7">
        <v>12</v>
      </c>
      <c r="H52" s="7">
        <v>85</v>
      </c>
      <c r="I52" s="7" t="s">
        <v>177</v>
      </c>
      <c r="J52" s="7">
        <v>44</v>
      </c>
      <c r="K52" s="7">
        <v>2</v>
      </c>
      <c r="L52" s="7">
        <v>11</v>
      </c>
      <c r="M52" s="7">
        <v>170</v>
      </c>
      <c r="N52" s="7">
        <v>5</v>
      </c>
      <c r="O52" s="7">
        <v>42</v>
      </c>
      <c r="P52" s="7">
        <v>38</v>
      </c>
      <c r="Q52" s="7">
        <v>7</v>
      </c>
      <c r="R52" s="7">
        <v>8</v>
      </c>
      <c r="S52" s="7">
        <v>5.6243520000000018</v>
      </c>
    </row>
    <row r="53" spans="1:19" x14ac:dyDescent="0.3">
      <c r="A53" s="7" t="s">
        <v>96</v>
      </c>
      <c r="B53" s="7" t="s">
        <v>99</v>
      </c>
      <c r="C53" s="7" t="s">
        <v>144</v>
      </c>
      <c r="D53" s="7">
        <v>10</v>
      </c>
      <c r="E53" s="7">
        <v>330</v>
      </c>
      <c r="F53" s="7">
        <v>66</v>
      </c>
      <c r="G53" s="7">
        <v>10</v>
      </c>
      <c r="H53" s="7">
        <v>130</v>
      </c>
      <c r="I53" s="7" t="s">
        <v>176</v>
      </c>
      <c r="J53" s="7">
        <v>45</v>
      </c>
      <c r="K53" s="7">
        <v>3</v>
      </c>
      <c r="L53" s="7">
        <v>11</v>
      </c>
      <c r="M53" s="7">
        <v>220</v>
      </c>
      <c r="N53" s="7">
        <v>2</v>
      </c>
      <c r="O53" s="7">
        <v>43.4</v>
      </c>
      <c r="P53" s="7">
        <v>38</v>
      </c>
      <c r="Q53" s="7">
        <v>8</v>
      </c>
      <c r="R53" s="7">
        <v>8.1999999999999993</v>
      </c>
      <c r="S53" s="7">
        <v>2.2412671999999998</v>
      </c>
    </row>
    <row r="54" spans="1:19" x14ac:dyDescent="0.3">
      <c r="A54" s="7" t="s">
        <v>96</v>
      </c>
      <c r="B54" s="7" t="s">
        <v>99</v>
      </c>
      <c r="C54" s="7" t="s">
        <v>144</v>
      </c>
      <c r="D54" s="7">
        <v>14</v>
      </c>
      <c r="E54" s="7">
        <v>266</v>
      </c>
      <c r="F54" s="7">
        <v>53</v>
      </c>
      <c r="G54" s="7">
        <v>11</v>
      </c>
      <c r="H54" s="7">
        <v>87</v>
      </c>
      <c r="I54" s="7" t="s">
        <v>177</v>
      </c>
      <c r="J54" s="7">
        <v>44</v>
      </c>
      <c r="K54" s="7">
        <v>2</v>
      </c>
      <c r="L54" s="7">
        <v>11</v>
      </c>
      <c r="M54" s="7">
        <v>148</v>
      </c>
      <c r="N54" s="7">
        <v>5</v>
      </c>
      <c r="O54" s="7">
        <v>28.6</v>
      </c>
      <c r="P54" s="7">
        <v>38</v>
      </c>
      <c r="Q54" s="7">
        <v>6</v>
      </c>
      <c r="R54" s="7">
        <v>7.8</v>
      </c>
      <c r="S54" s="7">
        <v>4.1798679999999999</v>
      </c>
    </row>
    <row r="55" spans="1:19" x14ac:dyDescent="0.3">
      <c r="A55" s="7" t="s">
        <v>96</v>
      </c>
      <c r="B55" s="7" t="s">
        <v>97</v>
      </c>
      <c r="C55" s="7" t="s">
        <v>144</v>
      </c>
      <c r="D55" s="7">
        <v>4</v>
      </c>
      <c r="E55" s="7">
        <v>325</v>
      </c>
      <c r="F55" s="7">
        <v>67</v>
      </c>
      <c r="G55" s="7">
        <v>10</v>
      </c>
      <c r="H55" s="7">
        <v>103</v>
      </c>
      <c r="I55" s="7" t="s">
        <v>173</v>
      </c>
      <c r="J55" s="7">
        <v>3</v>
      </c>
      <c r="K55" s="7">
        <v>13</v>
      </c>
      <c r="L55" s="7">
        <v>11</v>
      </c>
      <c r="M55" s="7">
        <v>150</v>
      </c>
      <c r="N55" s="7">
        <v>6</v>
      </c>
      <c r="O55" s="7">
        <v>33.9</v>
      </c>
      <c r="P55" s="7">
        <v>37</v>
      </c>
      <c r="Q55" s="7">
        <v>7</v>
      </c>
      <c r="R55" s="7">
        <v>7.4</v>
      </c>
      <c r="S55" s="7">
        <v>6.7307923200000008</v>
      </c>
    </row>
    <row r="56" spans="1:19" x14ac:dyDescent="0.3">
      <c r="A56" s="7" t="s">
        <v>96</v>
      </c>
      <c r="B56" s="7" t="s">
        <v>97</v>
      </c>
      <c r="C56" s="7" t="s">
        <v>144</v>
      </c>
      <c r="D56" s="7">
        <v>5</v>
      </c>
      <c r="E56" s="7">
        <v>294</v>
      </c>
      <c r="F56" s="7">
        <v>55</v>
      </c>
      <c r="G56" s="7">
        <v>8</v>
      </c>
      <c r="H56" s="7">
        <v>110</v>
      </c>
      <c r="I56" s="7" t="s">
        <v>175</v>
      </c>
      <c r="J56" s="7">
        <v>43</v>
      </c>
      <c r="K56" s="7">
        <v>1</v>
      </c>
      <c r="L56" s="7">
        <v>11</v>
      </c>
      <c r="M56" s="7">
        <v>154</v>
      </c>
      <c r="N56" s="7">
        <v>7</v>
      </c>
      <c r="O56" s="7">
        <v>34</v>
      </c>
      <c r="P56" s="7">
        <v>39</v>
      </c>
      <c r="Q56" s="7">
        <v>6</v>
      </c>
      <c r="R56" s="7">
        <v>7.8</v>
      </c>
      <c r="S56" s="7">
        <v>6.6507168000000014</v>
      </c>
    </row>
    <row r="57" spans="1:19" x14ac:dyDescent="0.3">
      <c r="A57" s="7" t="s">
        <v>96</v>
      </c>
      <c r="B57" s="7" t="s">
        <v>97</v>
      </c>
      <c r="C57" s="7" t="s">
        <v>144</v>
      </c>
      <c r="D57" s="7">
        <v>6</v>
      </c>
      <c r="E57" s="7">
        <v>360</v>
      </c>
      <c r="F57" s="7">
        <v>67</v>
      </c>
      <c r="G57" s="7">
        <v>12</v>
      </c>
      <c r="H57" s="7">
        <v>103</v>
      </c>
      <c r="I57" s="7" t="s">
        <v>173</v>
      </c>
      <c r="J57" s="7">
        <v>3</v>
      </c>
      <c r="K57" s="7">
        <v>13</v>
      </c>
      <c r="L57" s="7">
        <v>11</v>
      </c>
      <c r="M57" s="7">
        <v>210</v>
      </c>
      <c r="N57" s="7">
        <v>7</v>
      </c>
      <c r="O57" s="7">
        <v>45.9</v>
      </c>
      <c r="P57" s="7">
        <v>37</v>
      </c>
      <c r="Q57" s="7">
        <v>8</v>
      </c>
      <c r="R57" s="7">
        <v>8.1999999999999993</v>
      </c>
      <c r="S57" s="7">
        <v>9.6387200000000011</v>
      </c>
    </row>
    <row r="58" spans="1:19" x14ac:dyDescent="0.3">
      <c r="A58" s="7" t="s">
        <v>96</v>
      </c>
      <c r="B58" s="7" t="s">
        <v>97</v>
      </c>
      <c r="C58" s="7" t="s">
        <v>144</v>
      </c>
      <c r="D58" s="7">
        <v>7</v>
      </c>
      <c r="E58" s="7">
        <v>310</v>
      </c>
      <c r="F58" s="7">
        <v>57</v>
      </c>
      <c r="G58" s="7">
        <v>10</v>
      </c>
      <c r="H58" s="7">
        <v>60</v>
      </c>
      <c r="I58" s="7" t="s">
        <v>178</v>
      </c>
      <c r="J58" s="7">
        <v>46</v>
      </c>
      <c r="K58" s="7">
        <v>4</v>
      </c>
      <c r="L58" s="7">
        <v>11</v>
      </c>
      <c r="M58" s="7">
        <v>145</v>
      </c>
      <c r="N58" s="7">
        <v>6</v>
      </c>
      <c r="O58" s="7">
        <v>28.1</v>
      </c>
      <c r="P58" s="7">
        <v>38</v>
      </c>
      <c r="Q58" s="7">
        <v>6</v>
      </c>
      <c r="R58" s="7">
        <v>7.4</v>
      </c>
      <c r="S58" s="7">
        <v>7.2067968000000002</v>
      </c>
    </row>
    <row r="59" spans="1:19" x14ac:dyDescent="0.3">
      <c r="A59" s="7" t="s">
        <v>96</v>
      </c>
      <c r="B59" s="7" t="s">
        <v>97</v>
      </c>
      <c r="C59" s="7" t="s">
        <v>144</v>
      </c>
      <c r="D59" s="7">
        <v>9</v>
      </c>
      <c r="E59" s="7">
        <v>312</v>
      </c>
      <c r="F59" s="7">
        <v>58</v>
      </c>
      <c r="G59" s="7">
        <v>12</v>
      </c>
      <c r="H59" s="7">
        <v>88</v>
      </c>
      <c r="I59" s="7" t="s">
        <v>173</v>
      </c>
      <c r="J59" s="7">
        <v>3</v>
      </c>
      <c r="K59" s="7">
        <v>13</v>
      </c>
      <c r="L59" s="7">
        <v>11</v>
      </c>
      <c r="M59" s="7">
        <v>133</v>
      </c>
      <c r="N59" s="7">
        <v>6</v>
      </c>
      <c r="O59" s="7">
        <v>27.8</v>
      </c>
      <c r="P59" s="7">
        <v>38</v>
      </c>
      <c r="Q59" s="7">
        <v>6</v>
      </c>
      <c r="R59" s="7">
        <v>7.8</v>
      </c>
      <c r="S59" s="7">
        <v>5.8722047999999996</v>
      </c>
    </row>
    <row r="60" spans="1:19" x14ac:dyDescent="0.3">
      <c r="A60" s="7" t="s">
        <v>96</v>
      </c>
      <c r="B60" s="7" t="s">
        <v>97</v>
      </c>
      <c r="C60" s="7" t="s">
        <v>144</v>
      </c>
      <c r="D60" s="7">
        <v>10</v>
      </c>
      <c r="E60" s="7">
        <v>338</v>
      </c>
      <c r="F60" s="7">
        <v>61</v>
      </c>
      <c r="G60" s="7">
        <v>13</v>
      </c>
      <c r="H60" s="7">
        <v>55</v>
      </c>
      <c r="I60" s="7" t="s">
        <v>176</v>
      </c>
      <c r="J60" s="7">
        <v>45</v>
      </c>
      <c r="K60" s="7">
        <v>3</v>
      </c>
      <c r="L60" s="7">
        <v>11</v>
      </c>
      <c r="M60" s="7">
        <v>130</v>
      </c>
      <c r="N60" s="7">
        <v>5</v>
      </c>
      <c r="O60" s="7">
        <v>41</v>
      </c>
      <c r="P60" s="7">
        <v>38</v>
      </c>
      <c r="Q60" s="7">
        <v>7</v>
      </c>
      <c r="R60" s="7">
        <v>8.1999999999999993</v>
      </c>
      <c r="S60" s="7">
        <v>5.0841599999999998</v>
      </c>
    </row>
    <row r="61" spans="1:19" x14ac:dyDescent="0.3">
      <c r="A61" s="7" t="s">
        <v>96</v>
      </c>
      <c r="B61" s="7" t="s">
        <v>97</v>
      </c>
      <c r="C61" s="7" t="s">
        <v>144</v>
      </c>
      <c r="D61" s="7">
        <v>11</v>
      </c>
      <c r="E61" s="7">
        <v>303</v>
      </c>
      <c r="F61" s="7">
        <v>60</v>
      </c>
      <c r="G61" s="7">
        <v>12</v>
      </c>
      <c r="H61" s="7">
        <v>90</v>
      </c>
      <c r="I61" s="7" t="s">
        <v>177</v>
      </c>
      <c r="J61" s="7">
        <v>44</v>
      </c>
      <c r="K61" s="7">
        <v>2</v>
      </c>
      <c r="L61" s="7">
        <v>11</v>
      </c>
      <c r="M61" s="7">
        <v>150</v>
      </c>
      <c r="N61" s="7">
        <v>4</v>
      </c>
      <c r="O61" s="7">
        <v>40.5</v>
      </c>
      <c r="P61" s="7">
        <v>38</v>
      </c>
      <c r="Q61" s="7">
        <v>7</v>
      </c>
      <c r="R61" s="7">
        <v>8</v>
      </c>
      <c r="S61" s="7">
        <v>3.914803200000001</v>
      </c>
    </row>
    <row r="62" spans="1:19" x14ac:dyDescent="0.3">
      <c r="A62" s="7" t="s">
        <v>96</v>
      </c>
      <c r="B62" s="7" t="s">
        <v>97</v>
      </c>
      <c r="C62" s="7" t="s">
        <v>144</v>
      </c>
      <c r="D62" s="7">
        <v>12</v>
      </c>
      <c r="E62" s="7">
        <v>315</v>
      </c>
      <c r="F62" s="7">
        <v>59</v>
      </c>
      <c r="G62" s="7">
        <v>13</v>
      </c>
      <c r="H62" s="7">
        <v>87</v>
      </c>
      <c r="I62" s="7" t="s">
        <v>176</v>
      </c>
      <c r="J62" s="7">
        <v>45</v>
      </c>
      <c r="K62" s="7">
        <v>3</v>
      </c>
      <c r="L62" s="7">
        <v>11</v>
      </c>
      <c r="M62" s="7">
        <v>142</v>
      </c>
      <c r="N62" s="7">
        <v>5</v>
      </c>
      <c r="O62" s="7">
        <v>32.200000000000003</v>
      </c>
      <c r="P62" s="7">
        <v>38</v>
      </c>
      <c r="Q62" s="7">
        <v>6</v>
      </c>
      <c r="R62" s="7">
        <v>7.8</v>
      </c>
      <c r="S62" s="7">
        <v>4.5545600000000004</v>
      </c>
    </row>
    <row r="63" spans="1:19" x14ac:dyDescent="0.3">
      <c r="A63" s="7" t="s">
        <v>96</v>
      </c>
      <c r="B63" s="7" t="s">
        <v>97</v>
      </c>
      <c r="C63" s="7" t="s">
        <v>144</v>
      </c>
      <c r="D63" s="7">
        <v>13</v>
      </c>
      <c r="E63" s="7">
        <v>311</v>
      </c>
      <c r="F63" s="7">
        <v>61</v>
      </c>
      <c r="G63" s="7">
        <v>12</v>
      </c>
      <c r="H63" s="7">
        <v>127</v>
      </c>
      <c r="I63" s="7" t="s">
        <v>177</v>
      </c>
      <c r="J63" s="7">
        <v>44</v>
      </c>
      <c r="K63" s="7">
        <v>2</v>
      </c>
      <c r="L63" s="7">
        <v>11</v>
      </c>
      <c r="M63" s="7">
        <v>180</v>
      </c>
      <c r="N63" s="7">
        <v>5</v>
      </c>
      <c r="O63" s="7">
        <v>40</v>
      </c>
      <c r="P63" s="7">
        <v>39</v>
      </c>
      <c r="Q63" s="7">
        <v>7</v>
      </c>
      <c r="R63" s="7">
        <v>8</v>
      </c>
      <c r="S63" s="7">
        <v>5.6481840000000014</v>
      </c>
    </row>
    <row r="64" spans="1:19" x14ac:dyDescent="0.3">
      <c r="A64" s="7" t="s">
        <v>96</v>
      </c>
      <c r="B64" s="7" t="s">
        <v>172</v>
      </c>
      <c r="C64" s="7" t="s">
        <v>146</v>
      </c>
      <c r="D64" s="7">
        <v>1</v>
      </c>
      <c r="E64" s="7">
        <v>342</v>
      </c>
      <c r="F64" s="7">
        <v>70</v>
      </c>
      <c r="G64" s="7">
        <v>14</v>
      </c>
      <c r="H64" s="7">
        <v>130</v>
      </c>
      <c r="I64" s="7" t="s">
        <v>178</v>
      </c>
      <c r="J64" s="7">
        <v>46</v>
      </c>
      <c r="K64" s="7">
        <v>4</v>
      </c>
      <c r="L64" s="7">
        <v>11</v>
      </c>
      <c r="M64" s="7">
        <v>190</v>
      </c>
      <c r="N64" s="7">
        <v>5</v>
      </c>
      <c r="O64" s="7">
        <v>49.5</v>
      </c>
      <c r="P64" s="7">
        <v>39</v>
      </c>
      <c r="Q64" s="7">
        <v>8</v>
      </c>
      <c r="R64" s="7">
        <v>8.1999999999999993</v>
      </c>
      <c r="S64" s="7">
        <v>5.7196800000000003</v>
      </c>
    </row>
    <row r="65" spans="1:19" x14ac:dyDescent="0.3">
      <c r="A65" s="7" t="s">
        <v>96</v>
      </c>
      <c r="B65" s="7" t="s">
        <v>172</v>
      </c>
      <c r="C65" s="7" t="s">
        <v>146</v>
      </c>
      <c r="D65" s="7">
        <v>3</v>
      </c>
      <c r="E65" s="7">
        <v>335</v>
      </c>
      <c r="F65" s="7">
        <v>67</v>
      </c>
      <c r="G65" s="7">
        <v>12</v>
      </c>
      <c r="H65" s="7">
        <v>100</v>
      </c>
      <c r="I65" s="7" t="s">
        <v>177</v>
      </c>
      <c r="J65" s="7">
        <v>44</v>
      </c>
      <c r="K65" s="7">
        <v>2</v>
      </c>
      <c r="L65" s="7">
        <v>11</v>
      </c>
      <c r="M65" s="7">
        <v>165</v>
      </c>
      <c r="N65" s="7">
        <v>6</v>
      </c>
      <c r="O65" s="7">
        <v>44</v>
      </c>
      <c r="P65" s="7">
        <v>39</v>
      </c>
      <c r="Q65" s="7">
        <v>7</v>
      </c>
      <c r="R65" s="7">
        <v>8.1999999999999993</v>
      </c>
      <c r="S65" s="7">
        <v>6.8636160000000022</v>
      </c>
    </row>
    <row r="66" spans="1:19" x14ac:dyDescent="0.3">
      <c r="A66" s="7" t="s">
        <v>96</v>
      </c>
      <c r="B66" s="7" t="s">
        <v>172</v>
      </c>
      <c r="C66" s="7" t="s">
        <v>146</v>
      </c>
      <c r="D66" s="7">
        <v>4</v>
      </c>
      <c r="E66" s="7">
        <v>296</v>
      </c>
      <c r="F66" s="7">
        <v>61</v>
      </c>
      <c r="G66" s="7">
        <v>11</v>
      </c>
      <c r="H66" s="7">
        <v>64</v>
      </c>
      <c r="I66" s="7" t="s">
        <v>173</v>
      </c>
      <c r="J66" s="7">
        <v>3</v>
      </c>
      <c r="K66" s="7">
        <v>13</v>
      </c>
      <c r="L66" s="7">
        <v>11</v>
      </c>
      <c r="M66" s="7">
        <v>105</v>
      </c>
      <c r="N66" s="7">
        <v>4</v>
      </c>
      <c r="O66" s="7">
        <v>41</v>
      </c>
      <c r="P66" s="7">
        <v>38</v>
      </c>
      <c r="Q66" s="7">
        <v>7</v>
      </c>
      <c r="R66" s="7">
        <v>8.1999999999999993</v>
      </c>
      <c r="S66" s="7">
        <v>4.2876416000000006</v>
      </c>
    </row>
    <row r="67" spans="1:19" x14ac:dyDescent="0.3">
      <c r="A67" s="7" t="s">
        <v>96</v>
      </c>
      <c r="B67" s="7" t="s">
        <v>172</v>
      </c>
      <c r="C67" s="7" t="s">
        <v>146</v>
      </c>
      <c r="D67" s="7">
        <v>5</v>
      </c>
      <c r="E67" s="7">
        <v>352</v>
      </c>
      <c r="F67" s="7">
        <v>65</v>
      </c>
      <c r="G67" s="7">
        <v>12</v>
      </c>
      <c r="H67" s="7">
        <v>95</v>
      </c>
      <c r="I67" s="7" t="s">
        <v>176</v>
      </c>
      <c r="J67" s="7">
        <v>45</v>
      </c>
      <c r="K67" s="7">
        <v>3</v>
      </c>
      <c r="L67" s="7">
        <v>10</v>
      </c>
      <c r="M67" s="7">
        <v>164</v>
      </c>
      <c r="N67" s="7">
        <v>5</v>
      </c>
      <c r="O67" s="7">
        <v>44.4</v>
      </c>
      <c r="P67" s="7">
        <v>39</v>
      </c>
      <c r="Q67" s="7">
        <v>7</v>
      </c>
      <c r="R67" s="7">
        <v>8.4</v>
      </c>
      <c r="S67" s="7">
        <v>6.0374400000000001</v>
      </c>
    </row>
    <row r="68" spans="1:19" x14ac:dyDescent="0.3">
      <c r="A68" s="7" t="s">
        <v>96</v>
      </c>
      <c r="B68" s="7" t="s">
        <v>172</v>
      </c>
      <c r="C68" s="7" t="s">
        <v>146</v>
      </c>
      <c r="D68" s="7">
        <v>6</v>
      </c>
      <c r="E68" s="7">
        <v>300</v>
      </c>
      <c r="F68" s="7">
        <v>56</v>
      </c>
      <c r="G68" s="7">
        <v>13</v>
      </c>
      <c r="H68" s="7">
        <v>58</v>
      </c>
      <c r="I68" s="7" t="s">
        <v>178</v>
      </c>
      <c r="J68" s="7">
        <v>46</v>
      </c>
      <c r="K68" s="7">
        <v>4</v>
      </c>
      <c r="L68" s="7">
        <v>11</v>
      </c>
      <c r="M68" s="7">
        <v>126</v>
      </c>
      <c r="N68" s="7">
        <v>4</v>
      </c>
      <c r="O68" s="7">
        <v>34</v>
      </c>
      <c r="P68" s="7">
        <v>39</v>
      </c>
      <c r="Q68" s="7">
        <v>6</v>
      </c>
      <c r="R68" s="7">
        <v>7.6</v>
      </c>
      <c r="S68" s="7">
        <v>3.914803200000001</v>
      </c>
    </row>
    <row r="69" spans="1:19" x14ac:dyDescent="0.3">
      <c r="A69" s="7" t="s">
        <v>96</v>
      </c>
      <c r="B69" s="7" t="s">
        <v>172</v>
      </c>
      <c r="C69" s="7" t="s">
        <v>146</v>
      </c>
      <c r="D69" s="7">
        <v>7</v>
      </c>
      <c r="E69" s="7">
        <v>338</v>
      </c>
      <c r="F69" s="7">
        <v>64</v>
      </c>
      <c r="G69" s="7">
        <v>11</v>
      </c>
      <c r="H69" s="7">
        <v>110</v>
      </c>
      <c r="I69" s="7" t="s">
        <v>175</v>
      </c>
      <c r="J69" s="7">
        <v>43</v>
      </c>
      <c r="K69" s="7">
        <v>1</v>
      </c>
      <c r="L69" s="7">
        <v>11</v>
      </c>
      <c r="M69" s="7">
        <v>185</v>
      </c>
      <c r="N69" s="7">
        <v>6</v>
      </c>
      <c r="O69" s="7">
        <v>41</v>
      </c>
      <c r="P69" s="7">
        <v>39</v>
      </c>
      <c r="Q69" s="7">
        <v>7</v>
      </c>
      <c r="R69" s="7">
        <v>7.6</v>
      </c>
      <c r="S69" s="7">
        <v>6.7206240000000008</v>
      </c>
    </row>
    <row r="70" spans="1:19" x14ac:dyDescent="0.3">
      <c r="A70" s="7" t="s">
        <v>96</v>
      </c>
      <c r="B70" s="7" t="s">
        <v>172</v>
      </c>
      <c r="C70" s="7" t="s">
        <v>146</v>
      </c>
      <c r="D70" s="7">
        <v>9</v>
      </c>
      <c r="E70" s="7">
        <v>355</v>
      </c>
      <c r="F70" s="7">
        <v>66</v>
      </c>
      <c r="G70" s="7">
        <v>12</v>
      </c>
      <c r="H70" s="7">
        <v>150</v>
      </c>
      <c r="I70" s="7" t="s">
        <v>175</v>
      </c>
      <c r="J70" s="7">
        <v>43</v>
      </c>
      <c r="K70" s="7">
        <v>1</v>
      </c>
      <c r="L70" s="7">
        <v>12</v>
      </c>
      <c r="M70" s="7">
        <v>240</v>
      </c>
      <c r="N70" s="7">
        <v>6</v>
      </c>
      <c r="O70" s="7">
        <v>47.3</v>
      </c>
      <c r="P70" s="7">
        <v>40</v>
      </c>
      <c r="Q70" s="7">
        <v>7</v>
      </c>
      <c r="R70" s="7">
        <v>8.4</v>
      </c>
      <c r="S70" s="7">
        <v>6.3552000000000008</v>
      </c>
    </row>
    <row r="71" spans="1:19" x14ac:dyDescent="0.3">
      <c r="A71" s="7" t="s">
        <v>96</v>
      </c>
      <c r="B71" s="7" t="s">
        <v>172</v>
      </c>
      <c r="C71" s="7" t="s">
        <v>146</v>
      </c>
      <c r="D71" s="7">
        <v>11</v>
      </c>
      <c r="E71" s="7">
        <v>352</v>
      </c>
      <c r="F71" s="7">
        <v>72</v>
      </c>
      <c r="G71" s="7">
        <v>15</v>
      </c>
      <c r="H71" s="7">
        <v>84</v>
      </c>
      <c r="I71" s="7" t="s">
        <v>180</v>
      </c>
      <c r="J71" s="7">
        <v>48</v>
      </c>
      <c r="K71" s="7">
        <v>6</v>
      </c>
      <c r="L71" s="7">
        <v>11</v>
      </c>
      <c r="M71" s="7">
        <v>230</v>
      </c>
      <c r="N71" s="7">
        <v>7</v>
      </c>
      <c r="O71" s="7">
        <v>46</v>
      </c>
      <c r="P71" s="7">
        <v>38</v>
      </c>
      <c r="Q71" s="7">
        <v>8</v>
      </c>
      <c r="R71" s="7">
        <v>8.1999999999999993</v>
      </c>
      <c r="S71" s="7">
        <v>10.65004416</v>
      </c>
    </row>
    <row r="72" spans="1:19" x14ac:dyDescent="0.3">
      <c r="A72" s="7" t="s">
        <v>96</v>
      </c>
      <c r="B72" s="7" t="s">
        <v>172</v>
      </c>
      <c r="C72" s="7" t="s">
        <v>146</v>
      </c>
      <c r="D72" s="7">
        <v>12</v>
      </c>
      <c r="E72" s="7">
        <v>360</v>
      </c>
      <c r="F72" s="7">
        <v>70</v>
      </c>
      <c r="G72" s="7">
        <v>12</v>
      </c>
      <c r="H72" s="7">
        <v>144</v>
      </c>
      <c r="I72" s="7" t="s">
        <v>175</v>
      </c>
      <c r="J72" s="7">
        <v>43</v>
      </c>
      <c r="K72" s="7">
        <v>1</v>
      </c>
      <c r="L72" s="7">
        <v>12</v>
      </c>
      <c r="M72" s="7">
        <v>183</v>
      </c>
      <c r="N72" s="7">
        <v>5</v>
      </c>
      <c r="O72" s="7">
        <v>49.9</v>
      </c>
      <c r="P72" s="7">
        <v>38</v>
      </c>
      <c r="Q72" s="7">
        <v>8</v>
      </c>
      <c r="R72" s="7">
        <v>8.1999999999999993</v>
      </c>
      <c r="S72" s="7">
        <v>5.5300832</v>
      </c>
    </row>
    <row r="73" spans="1:19" x14ac:dyDescent="0.3">
      <c r="A73" s="7" t="s">
        <v>96</v>
      </c>
      <c r="B73" s="7" t="s">
        <v>172</v>
      </c>
      <c r="C73" s="7" t="s">
        <v>146</v>
      </c>
      <c r="D73" s="7">
        <v>13</v>
      </c>
      <c r="E73" s="7">
        <v>370</v>
      </c>
      <c r="F73" s="7">
        <v>72</v>
      </c>
      <c r="G73" s="7">
        <v>14</v>
      </c>
      <c r="H73" s="7">
        <v>153</v>
      </c>
      <c r="I73" s="7" t="s">
        <v>181</v>
      </c>
      <c r="J73" s="7">
        <v>45</v>
      </c>
      <c r="K73" s="7">
        <v>3</v>
      </c>
      <c r="L73" s="7">
        <v>11</v>
      </c>
      <c r="M73" s="7">
        <v>215</v>
      </c>
      <c r="N73" s="7">
        <v>6</v>
      </c>
      <c r="O73" s="7">
        <v>43.4</v>
      </c>
      <c r="P73" s="7">
        <v>38</v>
      </c>
      <c r="Q73" s="7">
        <v>7</v>
      </c>
      <c r="R73" s="7">
        <v>7.8</v>
      </c>
      <c r="S73" s="7">
        <v>6.5776320000000004</v>
      </c>
    </row>
    <row r="74" spans="1:19" x14ac:dyDescent="0.3">
      <c r="A74" s="7" t="s">
        <v>96</v>
      </c>
      <c r="B74" s="7" t="s">
        <v>109</v>
      </c>
      <c r="C74" s="7" t="s">
        <v>147</v>
      </c>
      <c r="D74" s="7">
        <v>1</v>
      </c>
      <c r="E74" s="7">
        <v>345</v>
      </c>
      <c r="F74" s="7">
        <v>72</v>
      </c>
      <c r="G74" s="7">
        <v>14</v>
      </c>
      <c r="H74" s="7">
        <v>100</v>
      </c>
      <c r="I74" s="7" t="s">
        <v>180</v>
      </c>
      <c r="J74" s="7">
        <v>48</v>
      </c>
      <c r="K74" s="7">
        <v>6</v>
      </c>
      <c r="L74" s="7">
        <v>11</v>
      </c>
      <c r="M74" s="7">
        <v>212</v>
      </c>
      <c r="N74" s="7">
        <v>6</v>
      </c>
      <c r="O74" s="7">
        <v>39</v>
      </c>
      <c r="P74" s="7">
        <v>37</v>
      </c>
      <c r="Q74" s="7">
        <v>7</v>
      </c>
      <c r="R74" s="7">
        <v>8.1999999999999993</v>
      </c>
      <c r="S74" s="7">
        <v>7.3211904000000017</v>
      </c>
    </row>
    <row r="75" spans="1:19" x14ac:dyDescent="0.3">
      <c r="A75" s="7" t="s">
        <v>96</v>
      </c>
      <c r="B75" s="7" t="s">
        <v>109</v>
      </c>
      <c r="C75" s="7" t="s">
        <v>147</v>
      </c>
      <c r="D75" s="7">
        <v>3</v>
      </c>
      <c r="E75" s="7">
        <v>320</v>
      </c>
      <c r="F75" s="7">
        <v>61</v>
      </c>
      <c r="G75" s="7">
        <v>13</v>
      </c>
      <c r="H75" s="7">
        <v>115</v>
      </c>
      <c r="I75" s="7" t="s">
        <v>177</v>
      </c>
      <c r="J75" s="7">
        <v>44</v>
      </c>
      <c r="K75" s="7">
        <v>2</v>
      </c>
      <c r="L75" s="7">
        <v>11</v>
      </c>
      <c r="M75" s="7">
        <v>165</v>
      </c>
      <c r="N75" s="7">
        <v>5</v>
      </c>
      <c r="O75" s="7">
        <v>41</v>
      </c>
      <c r="P75" s="7">
        <v>39</v>
      </c>
      <c r="Q75" s="7">
        <v>7</v>
      </c>
      <c r="R75" s="7">
        <v>8</v>
      </c>
      <c r="S75" s="7">
        <v>4.951760000000001</v>
      </c>
    </row>
    <row r="76" spans="1:19" x14ac:dyDescent="0.3">
      <c r="A76" s="7" t="s">
        <v>96</v>
      </c>
      <c r="B76" s="7" t="s">
        <v>109</v>
      </c>
      <c r="C76" s="7" t="s">
        <v>147</v>
      </c>
      <c r="D76" s="7">
        <v>4</v>
      </c>
      <c r="E76" s="7">
        <v>328</v>
      </c>
      <c r="F76" s="7">
        <v>62</v>
      </c>
      <c r="G76" s="7">
        <v>12</v>
      </c>
      <c r="H76" s="7">
        <v>97</v>
      </c>
      <c r="I76" s="7" t="s">
        <v>173</v>
      </c>
      <c r="J76" s="7">
        <v>3</v>
      </c>
      <c r="K76" s="7">
        <v>13</v>
      </c>
      <c r="L76" s="7">
        <v>11</v>
      </c>
      <c r="M76" s="7">
        <v>152</v>
      </c>
      <c r="N76" s="7">
        <v>5</v>
      </c>
      <c r="O76" s="7">
        <v>40.1</v>
      </c>
      <c r="P76" s="7">
        <v>38</v>
      </c>
      <c r="Q76" s="7">
        <v>7</v>
      </c>
      <c r="R76" s="7">
        <v>8</v>
      </c>
      <c r="S76" s="7">
        <v>5.9580000000000002</v>
      </c>
    </row>
    <row r="77" spans="1:19" x14ac:dyDescent="0.3">
      <c r="A77" s="7" t="s">
        <v>96</v>
      </c>
      <c r="B77" s="7" t="s">
        <v>109</v>
      </c>
      <c r="C77" s="7" t="s">
        <v>147</v>
      </c>
      <c r="D77" s="7">
        <v>5</v>
      </c>
      <c r="E77" s="7">
        <v>330</v>
      </c>
      <c r="F77" s="7">
        <v>58</v>
      </c>
      <c r="G77" s="7">
        <v>13</v>
      </c>
      <c r="H77" s="7">
        <v>100</v>
      </c>
      <c r="I77" s="7" t="s">
        <v>177</v>
      </c>
      <c r="J77" s="7">
        <v>44</v>
      </c>
      <c r="K77" s="7">
        <v>2</v>
      </c>
      <c r="L77" s="7">
        <v>11</v>
      </c>
      <c r="M77" s="7">
        <v>160</v>
      </c>
      <c r="N77" s="7">
        <v>5</v>
      </c>
      <c r="O77" s="7">
        <v>41</v>
      </c>
      <c r="P77" s="7">
        <v>39</v>
      </c>
      <c r="Q77" s="7">
        <v>7</v>
      </c>
      <c r="R77" s="7">
        <v>8</v>
      </c>
      <c r="S77" s="7">
        <v>5.3622000000000014</v>
      </c>
    </row>
    <row r="78" spans="1:19" x14ac:dyDescent="0.3">
      <c r="A78" s="7" t="s">
        <v>96</v>
      </c>
      <c r="B78" s="7" t="s">
        <v>109</v>
      </c>
      <c r="C78" s="7" t="s">
        <v>147</v>
      </c>
      <c r="D78" s="7">
        <v>6</v>
      </c>
      <c r="E78" s="7">
        <v>366</v>
      </c>
      <c r="F78" s="7">
        <v>58</v>
      </c>
      <c r="G78" s="7">
        <v>14</v>
      </c>
      <c r="H78" s="7">
        <v>108</v>
      </c>
      <c r="I78" s="7" t="s">
        <v>177</v>
      </c>
      <c r="J78" s="7">
        <v>44</v>
      </c>
      <c r="K78" s="7">
        <v>2</v>
      </c>
      <c r="L78" s="7">
        <v>11</v>
      </c>
      <c r="M78" s="7">
        <v>195</v>
      </c>
      <c r="N78" s="7">
        <v>5</v>
      </c>
      <c r="O78" s="7">
        <v>38</v>
      </c>
      <c r="P78" s="7">
        <v>39</v>
      </c>
      <c r="Q78" s="7">
        <v>6</v>
      </c>
      <c r="R78" s="7">
        <v>8.1999999999999993</v>
      </c>
      <c r="S78" s="7">
        <v>5.1768400000000003</v>
      </c>
    </row>
    <row r="79" spans="1:19" x14ac:dyDescent="0.3">
      <c r="A79" s="7" t="s">
        <v>96</v>
      </c>
      <c r="B79" s="7" t="s">
        <v>109</v>
      </c>
      <c r="C79" s="7" t="s">
        <v>147</v>
      </c>
      <c r="D79" s="7">
        <v>9</v>
      </c>
      <c r="E79" s="7">
        <v>354</v>
      </c>
      <c r="F79" s="7">
        <v>72</v>
      </c>
      <c r="G79" s="7">
        <v>12</v>
      </c>
      <c r="H79" s="7">
        <v>190</v>
      </c>
      <c r="I79" s="7" t="s">
        <v>178</v>
      </c>
      <c r="J79" s="7">
        <v>46</v>
      </c>
      <c r="K79" s="7">
        <v>4</v>
      </c>
      <c r="L79" s="7">
        <v>11</v>
      </c>
      <c r="M79" s="7">
        <v>205</v>
      </c>
      <c r="N79" s="7">
        <v>6</v>
      </c>
      <c r="O79" s="7">
        <v>48.5</v>
      </c>
      <c r="P79" s="7">
        <v>39</v>
      </c>
      <c r="Q79" s="7">
        <v>8</v>
      </c>
      <c r="R79" s="7">
        <v>8.1999999999999993</v>
      </c>
      <c r="S79" s="7">
        <v>6.8636160000000022</v>
      </c>
    </row>
    <row r="80" spans="1:19" x14ac:dyDescent="0.3">
      <c r="A80" s="7" t="s">
        <v>96</v>
      </c>
      <c r="B80" s="7" t="s">
        <v>109</v>
      </c>
      <c r="C80" s="7" t="s">
        <v>147</v>
      </c>
      <c r="D80" s="7">
        <v>11</v>
      </c>
      <c r="E80" s="7">
        <v>335</v>
      </c>
      <c r="F80" s="7">
        <v>67</v>
      </c>
      <c r="G80" s="7">
        <v>12</v>
      </c>
      <c r="H80" s="7">
        <v>95</v>
      </c>
      <c r="I80" s="7" t="s">
        <v>178</v>
      </c>
      <c r="J80" s="7">
        <v>46</v>
      </c>
      <c r="K80" s="7">
        <v>4</v>
      </c>
      <c r="L80" s="7">
        <v>11</v>
      </c>
      <c r="M80" s="7">
        <v>177</v>
      </c>
      <c r="N80" s="7">
        <v>5</v>
      </c>
      <c r="O80" s="7">
        <v>43</v>
      </c>
      <c r="P80" s="7">
        <v>38</v>
      </c>
      <c r="Q80" s="7">
        <v>7</v>
      </c>
      <c r="R80" s="7">
        <v>8.1999999999999993</v>
      </c>
      <c r="S80" s="7">
        <v>5.7196800000000003</v>
      </c>
    </row>
    <row r="81" spans="1:19" x14ac:dyDescent="0.3">
      <c r="A81" s="7" t="s">
        <v>96</v>
      </c>
      <c r="B81" s="7" t="s">
        <v>109</v>
      </c>
      <c r="C81" s="7" t="s">
        <v>147</v>
      </c>
      <c r="D81" s="7">
        <v>12</v>
      </c>
      <c r="E81" s="7">
        <v>316</v>
      </c>
      <c r="F81" s="7">
        <v>61</v>
      </c>
      <c r="G81" s="7">
        <v>11</v>
      </c>
      <c r="H81" s="7">
        <v>80</v>
      </c>
      <c r="I81" s="7" t="s">
        <v>175</v>
      </c>
      <c r="J81" s="7">
        <v>43</v>
      </c>
      <c r="K81" s="7">
        <v>1</v>
      </c>
      <c r="L81" s="7">
        <v>11</v>
      </c>
      <c r="M81" s="7">
        <v>184</v>
      </c>
      <c r="N81" s="7">
        <v>7</v>
      </c>
      <c r="O81" s="7">
        <v>42</v>
      </c>
      <c r="P81" s="7">
        <v>39</v>
      </c>
      <c r="Q81" s="7">
        <v>7</v>
      </c>
      <c r="R81" s="7">
        <v>7.8</v>
      </c>
      <c r="S81" s="7">
        <v>6.5246720000000016</v>
      </c>
    </row>
    <row r="82" spans="1:19" x14ac:dyDescent="0.3">
      <c r="A82" s="7" t="s">
        <v>96</v>
      </c>
      <c r="B82" s="7" t="s">
        <v>109</v>
      </c>
      <c r="C82" s="7" t="s">
        <v>147</v>
      </c>
      <c r="D82" s="7">
        <v>13</v>
      </c>
      <c r="E82" s="7">
        <v>325</v>
      </c>
      <c r="F82" s="7">
        <v>60</v>
      </c>
      <c r="G82" s="7">
        <v>10</v>
      </c>
      <c r="H82" s="7">
        <v>100</v>
      </c>
      <c r="I82" s="7" t="s">
        <v>177</v>
      </c>
      <c r="J82" s="7">
        <v>44</v>
      </c>
      <c r="K82" s="7">
        <v>1</v>
      </c>
      <c r="L82" s="7">
        <v>10</v>
      </c>
      <c r="M82" s="7">
        <v>190</v>
      </c>
      <c r="N82" s="7">
        <v>6</v>
      </c>
      <c r="O82" s="7">
        <v>38</v>
      </c>
      <c r="P82" s="7">
        <v>39</v>
      </c>
      <c r="Q82" s="7">
        <v>7</v>
      </c>
      <c r="R82" s="7">
        <v>8</v>
      </c>
      <c r="S82" s="7">
        <v>6.2122080000000004</v>
      </c>
    </row>
    <row r="83" spans="1:19" x14ac:dyDescent="0.3">
      <c r="A83" s="7" t="s">
        <v>96</v>
      </c>
      <c r="B83" s="7" t="s">
        <v>97</v>
      </c>
      <c r="C83" s="7" t="s">
        <v>146</v>
      </c>
      <c r="D83" s="7">
        <v>2</v>
      </c>
      <c r="E83" s="7">
        <v>285</v>
      </c>
      <c r="F83" s="7">
        <v>57</v>
      </c>
      <c r="G83" s="7">
        <v>11</v>
      </c>
      <c r="H83" s="7">
        <v>100</v>
      </c>
      <c r="I83" s="7" t="s">
        <v>173</v>
      </c>
      <c r="J83" s="7">
        <v>47</v>
      </c>
      <c r="K83" s="7">
        <v>5</v>
      </c>
      <c r="L83" s="7">
        <v>11</v>
      </c>
      <c r="M83" s="7">
        <v>180</v>
      </c>
      <c r="N83" s="7">
        <v>5</v>
      </c>
      <c r="O83" s="7">
        <v>31.2</v>
      </c>
      <c r="P83" s="7">
        <v>38</v>
      </c>
      <c r="Q83" s="7">
        <v>6</v>
      </c>
      <c r="R83" s="7">
        <v>8</v>
      </c>
      <c r="S83" s="7">
        <v>4.5685944000000012</v>
      </c>
    </row>
    <row r="84" spans="1:19" x14ac:dyDescent="0.3">
      <c r="A84" s="7" t="s">
        <v>96</v>
      </c>
      <c r="B84" s="7" t="s">
        <v>97</v>
      </c>
      <c r="C84" s="7" t="s">
        <v>146</v>
      </c>
      <c r="D84" s="7">
        <v>3</v>
      </c>
      <c r="E84" s="7">
        <v>330</v>
      </c>
      <c r="F84" s="7">
        <v>64</v>
      </c>
      <c r="G84" s="7">
        <v>12</v>
      </c>
      <c r="H84" s="7">
        <v>84</v>
      </c>
      <c r="I84" s="7" t="s">
        <v>175</v>
      </c>
      <c r="J84" s="7">
        <v>43</v>
      </c>
      <c r="K84" s="7">
        <v>1</v>
      </c>
      <c r="L84" s="7">
        <v>11</v>
      </c>
      <c r="M84" s="7">
        <v>165</v>
      </c>
      <c r="N84" s="7">
        <v>7</v>
      </c>
      <c r="O84" s="7">
        <v>41</v>
      </c>
      <c r="P84" s="7">
        <v>39</v>
      </c>
      <c r="Q84" s="7">
        <v>7</v>
      </c>
      <c r="R84" s="7">
        <v>8.1999999999999993</v>
      </c>
      <c r="S84" s="7">
        <v>6.7749079999999999</v>
      </c>
    </row>
    <row r="85" spans="1:19" x14ac:dyDescent="0.3">
      <c r="A85" s="7" t="s">
        <v>96</v>
      </c>
      <c r="B85" s="7" t="s">
        <v>97</v>
      </c>
      <c r="C85" s="7" t="s">
        <v>146</v>
      </c>
      <c r="D85" s="7">
        <v>4</v>
      </c>
      <c r="E85" s="7">
        <v>307</v>
      </c>
      <c r="F85" s="7">
        <v>63</v>
      </c>
      <c r="G85" s="7">
        <v>13</v>
      </c>
      <c r="H85" s="7">
        <v>105</v>
      </c>
      <c r="I85" s="7" t="s">
        <v>173</v>
      </c>
      <c r="J85" s="7">
        <v>47</v>
      </c>
      <c r="K85" s="7">
        <v>5</v>
      </c>
      <c r="L85" s="7">
        <v>11</v>
      </c>
      <c r="M85" s="7">
        <v>190</v>
      </c>
      <c r="N85" s="7">
        <v>4</v>
      </c>
      <c r="O85" s="7">
        <v>40</v>
      </c>
      <c r="P85" s="7">
        <v>39</v>
      </c>
      <c r="Q85" s="7">
        <v>7</v>
      </c>
      <c r="R85" s="7">
        <v>8</v>
      </c>
      <c r="S85" s="7">
        <v>3.8681983999999998</v>
      </c>
    </row>
    <row r="86" spans="1:19" x14ac:dyDescent="0.3">
      <c r="A86" s="7" t="s">
        <v>96</v>
      </c>
      <c r="B86" s="7" t="s">
        <v>97</v>
      </c>
      <c r="C86" s="7" t="s">
        <v>146</v>
      </c>
      <c r="D86" s="7">
        <v>5</v>
      </c>
      <c r="E86" s="7">
        <v>310</v>
      </c>
      <c r="F86" s="7">
        <v>66</v>
      </c>
      <c r="G86" s="7">
        <v>13</v>
      </c>
      <c r="H86" s="7">
        <v>107</v>
      </c>
      <c r="I86" s="7" t="s">
        <v>173</v>
      </c>
      <c r="J86" s="7">
        <v>47</v>
      </c>
      <c r="K86" s="7">
        <v>5</v>
      </c>
      <c r="L86" s="7">
        <v>11</v>
      </c>
      <c r="M86" s="7">
        <v>195</v>
      </c>
      <c r="N86" s="7">
        <v>5</v>
      </c>
      <c r="O86" s="7">
        <v>43</v>
      </c>
      <c r="P86" s="7">
        <v>39</v>
      </c>
      <c r="Q86" s="7">
        <v>7</v>
      </c>
      <c r="R86" s="7">
        <v>8</v>
      </c>
      <c r="S86" s="7">
        <v>5.3595520000000008</v>
      </c>
    </row>
    <row r="87" spans="1:19" x14ac:dyDescent="0.3">
      <c r="A87" s="7" t="s">
        <v>96</v>
      </c>
      <c r="B87" s="7" t="s">
        <v>97</v>
      </c>
      <c r="C87" s="7" t="s">
        <v>146</v>
      </c>
      <c r="D87" s="7">
        <v>6</v>
      </c>
      <c r="E87" s="7">
        <v>314</v>
      </c>
      <c r="F87" s="7">
        <v>62</v>
      </c>
      <c r="G87" s="7">
        <v>12</v>
      </c>
      <c r="H87" s="7">
        <v>94</v>
      </c>
      <c r="I87" s="7" t="s">
        <v>173</v>
      </c>
      <c r="J87" s="7">
        <v>47</v>
      </c>
      <c r="K87" s="7">
        <v>5</v>
      </c>
      <c r="L87" s="7">
        <v>11</v>
      </c>
      <c r="M87" s="7">
        <v>155</v>
      </c>
      <c r="N87" s="7">
        <v>5</v>
      </c>
      <c r="O87" s="7">
        <v>38.9</v>
      </c>
      <c r="P87" s="7">
        <v>37</v>
      </c>
      <c r="Q87" s="7">
        <v>7</v>
      </c>
      <c r="R87" s="7">
        <v>8</v>
      </c>
      <c r="S87" s="7">
        <v>5.9580000000000002</v>
      </c>
    </row>
    <row r="88" spans="1:19" x14ac:dyDescent="0.3">
      <c r="A88" s="7" t="s">
        <v>96</v>
      </c>
      <c r="B88" s="7" t="s">
        <v>97</v>
      </c>
      <c r="C88" s="7" t="s">
        <v>146</v>
      </c>
      <c r="D88" s="7">
        <v>7</v>
      </c>
      <c r="E88" s="7">
        <v>330</v>
      </c>
      <c r="F88" s="7">
        <v>64</v>
      </c>
      <c r="G88" s="7">
        <v>14</v>
      </c>
      <c r="H88" s="7">
        <v>110</v>
      </c>
      <c r="I88" s="7" t="s">
        <v>177</v>
      </c>
      <c r="J88" s="7">
        <v>44</v>
      </c>
      <c r="K88" s="7">
        <v>2</v>
      </c>
      <c r="L88" s="7">
        <v>11</v>
      </c>
      <c r="M88" s="7">
        <v>180</v>
      </c>
      <c r="N88" s="7">
        <v>6</v>
      </c>
      <c r="O88" s="7">
        <v>42.2</v>
      </c>
      <c r="P88" s="7">
        <v>39</v>
      </c>
      <c r="Q88" s="7">
        <v>7</v>
      </c>
      <c r="R88" s="7">
        <v>8</v>
      </c>
      <c r="S88" s="7">
        <v>5.5385568000000003</v>
      </c>
    </row>
    <row r="89" spans="1:19" x14ac:dyDescent="0.3">
      <c r="A89" s="7" t="s">
        <v>96</v>
      </c>
      <c r="B89" s="7" t="s">
        <v>97</v>
      </c>
      <c r="C89" s="7" t="s">
        <v>146</v>
      </c>
      <c r="D89" s="7">
        <v>8</v>
      </c>
      <c r="E89" s="7">
        <v>336</v>
      </c>
      <c r="F89" s="7">
        <v>64</v>
      </c>
      <c r="G89" s="7">
        <v>14</v>
      </c>
      <c r="H89" s="7">
        <v>110</v>
      </c>
      <c r="I89" s="7" t="s">
        <v>177</v>
      </c>
      <c r="J89" s="7">
        <v>44</v>
      </c>
      <c r="K89" s="7">
        <v>2</v>
      </c>
      <c r="L89" s="7">
        <v>11</v>
      </c>
      <c r="M89" s="7">
        <v>172</v>
      </c>
      <c r="N89" s="7">
        <v>4</v>
      </c>
      <c r="O89" s="7">
        <v>41.5</v>
      </c>
      <c r="P89" s="7">
        <v>39</v>
      </c>
      <c r="Q89" s="7">
        <v>7</v>
      </c>
      <c r="R89" s="7">
        <v>8.1999999999999993</v>
      </c>
      <c r="S89" s="7">
        <v>3.9084479999999999</v>
      </c>
    </row>
    <row r="90" spans="1:19" x14ac:dyDescent="0.3">
      <c r="A90" s="7" t="s">
        <v>96</v>
      </c>
      <c r="B90" s="7" t="s">
        <v>97</v>
      </c>
      <c r="C90" s="7" t="s">
        <v>146</v>
      </c>
      <c r="D90" s="7">
        <v>9</v>
      </c>
      <c r="E90" s="7">
        <v>326</v>
      </c>
      <c r="F90" s="7">
        <v>60</v>
      </c>
      <c r="G90" s="7">
        <v>11</v>
      </c>
      <c r="H90" s="7">
        <v>100</v>
      </c>
      <c r="I90" s="7" t="s">
        <v>174</v>
      </c>
      <c r="J90" s="7">
        <v>42</v>
      </c>
      <c r="K90" s="7">
        <v>52</v>
      </c>
      <c r="L90" s="7">
        <v>11</v>
      </c>
      <c r="M90" s="7">
        <v>190</v>
      </c>
      <c r="N90" s="7">
        <v>4</v>
      </c>
      <c r="O90" s="7">
        <v>40</v>
      </c>
      <c r="P90" s="7">
        <v>39</v>
      </c>
      <c r="Q90" s="7">
        <v>7</v>
      </c>
      <c r="R90" s="7">
        <v>8</v>
      </c>
      <c r="S90" s="7">
        <v>4.0821568000000008</v>
      </c>
    </row>
    <row r="91" spans="1:19" x14ac:dyDescent="0.3">
      <c r="A91" s="7" t="s">
        <v>96</v>
      </c>
      <c r="B91" s="7" t="s">
        <v>97</v>
      </c>
      <c r="C91" s="7" t="s">
        <v>146</v>
      </c>
      <c r="D91" s="7">
        <v>10</v>
      </c>
      <c r="E91" s="7">
        <v>323</v>
      </c>
      <c r="F91" s="7">
        <v>61</v>
      </c>
      <c r="G91" s="7">
        <v>12</v>
      </c>
      <c r="H91" s="7">
        <v>90</v>
      </c>
      <c r="I91" s="7" t="s">
        <v>177</v>
      </c>
      <c r="J91" s="7">
        <v>44</v>
      </c>
      <c r="K91" s="7">
        <v>2</v>
      </c>
      <c r="L91" s="7">
        <v>11</v>
      </c>
      <c r="M91" s="7">
        <v>160</v>
      </c>
      <c r="N91" s="7">
        <v>5</v>
      </c>
      <c r="O91" s="7">
        <v>39.5</v>
      </c>
      <c r="P91" s="7">
        <v>38</v>
      </c>
      <c r="Q91" s="7">
        <v>7</v>
      </c>
      <c r="R91" s="7">
        <v>7.8</v>
      </c>
      <c r="S91" s="7">
        <v>5.2377439999999993</v>
      </c>
    </row>
    <row r="92" spans="1:19" x14ac:dyDescent="0.3">
      <c r="A92" s="7" t="s">
        <v>96</v>
      </c>
      <c r="B92" s="7" t="s">
        <v>97</v>
      </c>
      <c r="C92" s="7" t="s">
        <v>146</v>
      </c>
      <c r="D92" s="7">
        <v>11</v>
      </c>
      <c r="E92" s="7">
        <v>300</v>
      </c>
      <c r="F92" s="7">
        <v>62</v>
      </c>
      <c r="G92" s="7">
        <v>13</v>
      </c>
      <c r="H92" s="7">
        <v>110</v>
      </c>
      <c r="I92" s="7" t="s">
        <v>180</v>
      </c>
      <c r="J92" s="7">
        <v>48</v>
      </c>
      <c r="K92" s="7">
        <v>6</v>
      </c>
      <c r="L92" s="7">
        <v>11</v>
      </c>
      <c r="M92" s="7">
        <v>150</v>
      </c>
      <c r="N92" s="7">
        <v>5</v>
      </c>
      <c r="O92" s="7">
        <v>40</v>
      </c>
      <c r="P92" s="7">
        <v>38</v>
      </c>
      <c r="Q92" s="7">
        <v>7</v>
      </c>
      <c r="R92" s="7">
        <v>7.6</v>
      </c>
      <c r="S92" s="7">
        <v>4.9570560000000006</v>
      </c>
    </row>
    <row r="93" spans="1:19" x14ac:dyDescent="0.3">
      <c r="A93" s="7" t="s">
        <v>96</v>
      </c>
      <c r="B93" s="7" t="s">
        <v>97</v>
      </c>
      <c r="C93" s="7" t="s">
        <v>146</v>
      </c>
      <c r="D93" s="7">
        <v>12</v>
      </c>
      <c r="E93" s="7">
        <v>350</v>
      </c>
      <c r="F93" s="7">
        <v>70</v>
      </c>
      <c r="G93" s="7">
        <v>12</v>
      </c>
      <c r="H93" s="7">
        <v>150</v>
      </c>
      <c r="I93" s="7" t="s">
        <v>176</v>
      </c>
      <c r="J93" s="7">
        <v>45</v>
      </c>
      <c r="K93" s="7">
        <v>3</v>
      </c>
      <c r="L93" s="7">
        <v>10</v>
      </c>
      <c r="M93" s="7">
        <v>200</v>
      </c>
      <c r="N93" s="7">
        <v>6</v>
      </c>
      <c r="O93" s="7">
        <v>50.2</v>
      </c>
      <c r="P93" s="7">
        <v>38</v>
      </c>
      <c r="Q93" s="7">
        <v>8</v>
      </c>
      <c r="R93" s="7">
        <v>8.1999999999999993</v>
      </c>
      <c r="S93" s="7">
        <v>7.7851200000000018</v>
      </c>
    </row>
    <row r="94" spans="1:19" x14ac:dyDescent="0.3">
      <c r="A94" s="7" t="s">
        <v>96</v>
      </c>
      <c r="B94" s="7" t="s">
        <v>97</v>
      </c>
      <c r="C94" s="7" t="s">
        <v>146</v>
      </c>
      <c r="D94" s="7">
        <v>13</v>
      </c>
      <c r="E94" s="7">
        <v>357</v>
      </c>
      <c r="F94" s="7">
        <v>68</v>
      </c>
      <c r="G94" s="7">
        <v>13</v>
      </c>
      <c r="H94" s="7">
        <v>130</v>
      </c>
      <c r="I94" s="7" t="s">
        <v>176</v>
      </c>
      <c r="J94" s="7">
        <v>45</v>
      </c>
      <c r="K94" s="7">
        <v>3</v>
      </c>
      <c r="L94" s="7">
        <v>11</v>
      </c>
      <c r="M94" s="7">
        <v>165</v>
      </c>
      <c r="N94" s="7">
        <v>5</v>
      </c>
      <c r="O94" s="7">
        <v>49</v>
      </c>
      <c r="P94" s="7">
        <v>39</v>
      </c>
      <c r="Q94" s="7">
        <v>8</v>
      </c>
      <c r="R94" s="7">
        <v>8</v>
      </c>
      <c r="S94" s="7">
        <v>6.0374400000000001</v>
      </c>
    </row>
    <row r="95" spans="1:19" x14ac:dyDescent="0.3">
      <c r="A95" s="7" t="s">
        <v>96</v>
      </c>
      <c r="B95" s="7" t="s">
        <v>97</v>
      </c>
      <c r="C95" s="7" t="s">
        <v>146</v>
      </c>
      <c r="D95" s="7">
        <v>14</v>
      </c>
      <c r="E95" s="7">
        <v>333</v>
      </c>
      <c r="F95" s="7">
        <v>61</v>
      </c>
      <c r="G95" s="7">
        <v>13</v>
      </c>
      <c r="H95" s="7">
        <v>100</v>
      </c>
      <c r="I95" s="7" t="s">
        <v>177</v>
      </c>
      <c r="J95" s="7">
        <v>44</v>
      </c>
      <c r="K95" s="7">
        <v>2</v>
      </c>
      <c r="L95" s="7">
        <v>11</v>
      </c>
      <c r="M95" s="7">
        <v>160</v>
      </c>
      <c r="N95" s="7">
        <v>5</v>
      </c>
      <c r="O95" s="7">
        <v>40.200000000000003</v>
      </c>
      <c r="P95" s="7">
        <v>39</v>
      </c>
      <c r="Q95" s="7">
        <v>7</v>
      </c>
      <c r="R95" s="7">
        <v>7.6</v>
      </c>
      <c r="S95" s="7">
        <v>5.4138360000000008</v>
      </c>
    </row>
    <row r="96" spans="1:19" x14ac:dyDescent="0.3">
      <c r="A96" s="7" t="s">
        <v>96</v>
      </c>
      <c r="B96" s="7" t="s">
        <v>172</v>
      </c>
      <c r="C96" s="7" t="s">
        <v>147</v>
      </c>
      <c r="D96" s="7">
        <v>1</v>
      </c>
      <c r="E96" s="7">
        <v>330</v>
      </c>
      <c r="F96" s="7">
        <v>66</v>
      </c>
      <c r="G96" s="7">
        <v>13</v>
      </c>
      <c r="H96" s="7">
        <v>130</v>
      </c>
      <c r="I96" s="7" t="s">
        <v>178</v>
      </c>
      <c r="J96" s="7">
        <v>46</v>
      </c>
      <c r="K96" s="7">
        <v>4</v>
      </c>
      <c r="L96" s="7">
        <v>11</v>
      </c>
      <c r="M96" s="7">
        <v>210</v>
      </c>
      <c r="N96" s="7">
        <v>5</v>
      </c>
      <c r="O96" s="7">
        <v>48.5</v>
      </c>
      <c r="P96" s="7">
        <v>39</v>
      </c>
      <c r="Q96" s="7">
        <v>8</v>
      </c>
      <c r="R96" s="7">
        <v>8</v>
      </c>
      <c r="S96" s="7">
        <v>5.8467840000000004</v>
      </c>
    </row>
    <row r="97" spans="1:19" x14ac:dyDescent="0.3">
      <c r="A97" s="7" t="s">
        <v>96</v>
      </c>
      <c r="B97" s="7" t="s">
        <v>172</v>
      </c>
      <c r="C97" s="7" t="s">
        <v>147</v>
      </c>
      <c r="D97" s="7">
        <v>5</v>
      </c>
      <c r="E97" s="7">
        <v>308</v>
      </c>
      <c r="F97" s="7">
        <v>62</v>
      </c>
      <c r="G97" s="7">
        <v>12</v>
      </c>
      <c r="H97" s="7">
        <v>90</v>
      </c>
      <c r="I97" s="7" t="s">
        <v>175</v>
      </c>
      <c r="J97" s="7">
        <v>43</v>
      </c>
      <c r="K97" s="7">
        <v>1</v>
      </c>
      <c r="L97" s="7">
        <v>11</v>
      </c>
      <c r="M97" s="7">
        <v>154</v>
      </c>
      <c r="N97" s="7">
        <v>6</v>
      </c>
      <c r="O97" s="7">
        <v>38</v>
      </c>
      <c r="P97" s="7">
        <v>39</v>
      </c>
      <c r="Q97" s="7">
        <v>7</v>
      </c>
      <c r="R97" s="7">
        <v>7.66</v>
      </c>
      <c r="S97" s="7">
        <v>7.4355840000000022</v>
      </c>
    </row>
    <row r="98" spans="1:19" x14ac:dyDescent="0.3">
      <c r="A98" s="7" t="s">
        <v>96</v>
      </c>
      <c r="B98" s="7" t="s">
        <v>172</v>
      </c>
      <c r="C98" s="7" t="s">
        <v>147</v>
      </c>
      <c r="D98" s="7">
        <v>6</v>
      </c>
      <c r="E98" s="7">
        <v>313</v>
      </c>
      <c r="F98" s="7">
        <v>58</v>
      </c>
      <c r="G98" s="7">
        <v>12</v>
      </c>
      <c r="H98" s="7">
        <v>105</v>
      </c>
      <c r="I98" s="7" t="s">
        <v>176</v>
      </c>
      <c r="J98" s="7">
        <v>43</v>
      </c>
      <c r="K98" s="7">
        <v>1</v>
      </c>
      <c r="L98" s="7">
        <v>11</v>
      </c>
      <c r="M98" s="7">
        <v>147</v>
      </c>
      <c r="N98" s="7">
        <v>5</v>
      </c>
      <c r="O98" s="7">
        <v>34</v>
      </c>
      <c r="P98" s="7">
        <v>39</v>
      </c>
      <c r="Q98" s="7">
        <v>6</v>
      </c>
      <c r="R98" s="7">
        <v>8.1999999999999993</v>
      </c>
      <c r="S98" s="7">
        <v>4.6896080000000007</v>
      </c>
    </row>
    <row r="99" spans="1:19" x14ac:dyDescent="0.3">
      <c r="A99" s="7" t="s">
        <v>96</v>
      </c>
      <c r="B99" s="7" t="s">
        <v>172</v>
      </c>
      <c r="C99" s="7" t="s">
        <v>147</v>
      </c>
      <c r="D99" s="7">
        <v>7</v>
      </c>
      <c r="E99" s="7">
        <v>320</v>
      </c>
      <c r="F99" s="7">
        <v>62</v>
      </c>
      <c r="G99" s="7">
        <v>13</v>
      </c>
      <c r="H99" s="7">
        <v>106</v>
      </c>
      <c r="I99" s="7" t="s">
        <v>175</v>
      </c>
      <c r="J99" s="7">
        <v>43</v>
      </c>
      <c r="K99" s="7">
        <v>1</v>
      </c>
      <c r="L99" s="7">
        <v>11</v>
      </c>
      <c r="M99" s="7">
        <v>200</v>
      </c>
      <c r="N99" s="7">
        <v>6</v>
      </c>
      <c r="O99" s="7">
        <v>40</v>
      </c>
      <c r="P99" s="7">
        <v>39</v>
      </c>
      <c r="Q99" s="7">
        <v>7</v>
      </c>
      <c r="R99" s="7">
        <v>8</v>
      </c>
      <c r="S99" s="7">
        <v>6.8229427200000003</v>
      </c>
    </row>
    <row r="100" spans="1:19" x14ac:dyDescent="0.3">
      <c r="A100" s="7" t="s">
        <v>96</v>
      </c>
      <c r="B100" s="7" t="s">
        <v>172</v>
      </c>
      <c r="C100" s="7" t="s">
        <v>147</v>
      </c>
      <c r="D100" s="7">
        <v>10</v>
      </c>
      <c r="E100" s="7">
        <v>340</v>
      </c>
      <c r="F100" s="7">
        <v>67</v>
      </c>
      <c r="G100" s="7">
        <v>13</v>
      </c>
      <c r="H100" s="7">
        <v>108</v>
      </c>
      <c r="I100" s="7" t="s">
        <v>176</v>
      </c>
      <c r="J100" s="7">
        <v>45</v>
      </c>
      <c r="K100" s="7">
        <v>3</v>
      </c>
      <c r="L100" s="7">
        <v>11</v>
      </c>
      <c r="M100" s="7">
        <v>163</v>
      </c>
      <c r="N100" s="7">
        <v>6</v>
      </c>
      <c r="O100" s="7">
        <v>41.7</v>
      </c>
      <c r="P100" s="7">
        <v>38</v>
      </c>
      <c r="Q100" s="7">
        <v>7</v>
      </c>
      <c r="R100" s="7">
        <v>7.8</v>
      </c>
      <c r="S100" s="7">
        <v>5.4718271999999999</v>
      </c>
    </row>
    <row r="101" spans="1:19" x14ac:dyDescent="0.3">
      <c r="A101" s="7" t="s">
        <v>96</v>
      </c>
      <c r="B101" s="7" t="s">
        <v>172</v>
      </c>
      <c r="C101" s="7" t="s">
        <v>147</v>
      </c>
      <c r="D101" s="7">
        <v>12</v>
      </c>
      <c r="E101" s="7">
        <v>308</v>
      </c>
      <c r="F101" s="7">
        <v>63</v>
      </c>
      <c r="G101" s="7">
        <v>11</v>
      </c>
      <c r="H101" s="7">
        <v>143</v>
      </c>
      <c r="I101" s="7" t="s">
        <v>179</v>
      </c>
      <c r="J101" s="7">
        <v>49</v>
      </c>
      <c r="K101" s="7">
        <v>7</v>
      </c>
      <c r="L101" s="7">
        <v>11</v>
      </c>
      <c r="M101" s="7">
        <v>110</v>
      </c>
      <c r="N101" s="7">
        <v>5</v>
      </c>
      <c r="O101" s="7">
        <v>30</v>
      </c>
      <c r="P101" s="7">
        <v>37</v>
      </c>
      <c r="Q101" s="7">
        <v>6</v>
      </c>
      <c r="R101" s="7">
        <v>7.2</v>
      </c>
      <c r="S101" s="7">
        <v>4.3427200000000008</v>
      </c>
    </row>
    <row r="102" spans="1:19" x14ac:dyDescent="0.3">
      <c r="A102" s="7" t="s">
        <v>96</v>
      </c>
      <c r="B102" s="7" t="s">
        <v>99</v>
      </c>
      <c r="C102" s="7" t="s">
        <v>146</v>
      </c>
      <c r="D102" s="7">
        <v>6</v>
      </c>
      <c r="E102" s="7">
        <v>315</v>
      </c>
      <c r="F102" s="7">
        <v>62</v>
      </c>
      <c r="G102" s="7">
        <v>10</v>
      </c>
      <c r="H102" s="7">
        <v>100</v>
      </c>
      <c r="I102" s="7" t="s">
        <v>173</v>
      </c>
      <c r="J102" s="7">
        <v>3</v>
      </c>
      <c r="K102" s="7">
        <v>13</v>
      </c>
      <c r="L102" s="7">
        <v>11</v>
      </c>
      <c r="M102" s="7">
        <v>140</v>
      </c>
      <c r="N102" s="7">
        <v>5</v>
      </c>
      <c r="O102" s="7">
        <v>40</v>
      </c>
      <c r="P102" s="7">
        <v>38</v>
      </c>
      <c r="Q102" s="7">
        <v>7</v>
      </c>
      <c r="R102" s="7">
        <v>7.8</v>
      </c>
      <c r="S102" s="7">
        <v>5.3595520000000008</v>
      </c>
    </row>
    <row r="103" spans="1:19" x14ac:dyDescent="0.3">
      <c r="A103" s="7" t="s">
        <v>96</v>
      </c>
      <c r="B103" s="7" t="s">
        <v>99</v>
      </c>
      <c r="C103" s="7" t="s">
        <v>146</v>
      </c>
      <c r="D103" s="7">
        <v>9</v>
      </c>
      <c r="E103" s="7">
        <v>330</v>
      </c>
      <c r="F103" s="7">
        <v>64</v>
      </c>
      <c r="G103" s="7">
        <v>13</v>
      </c>
      <c r="H103" s="7">
        <v>125</v>
      </c>
      <c r="I103" s="7" t="s">
        <v>174</v>
      </c>
      <c r="J103" s="7">
        <v>42</v>
      </c>
      <c r="K103" s="7">
        <v>52</v>
      </c>
      <c r="L103" s="7">
        <v>11</v>
      </c>
      <c r="M103" s="7">
        <v>192</v>
      </c>
      <c r="N103" s="7">
        <v>6</v>
      </c>
      <c r="O103" s="7">
        <v>41</v>
      </c>
      <c r="P103" s="7">
        <v>39</v>
      </c>
      <c r="Q103" s="7">
        <v>7</v>
      </c>
      <c r="R103" s="7">
        <v>7.4</v>
      </c>
      <c r="S103" s="7">
        <v>7.3211904000000008</v>
      </c>
    </row>
    <row r="104" spans="1:19" x14ac:dyDescent="0.3">
      <c r="A104" s="7" t="s">
        <v>182</v>
      </c>
      <c r="B104" s="7" t="s">
        <v>97</v>
      </c>
      <c r="C104" s="7" t="s">
        <v>144</v>
      </c>
      <c r="D104" s="7">
        <v>1</v>
      </c>
      <c r="E104" s="7">
        <v>333</v>
      </c>
      <c r="F104" s="7">
        <v>64</v>
      </c>
      <c r="G104" s="7">
        <v>15</v>
      </c>
      <c r="H104" s="7">
        <v>142</v>
      </c>
      <c r="I104" s="7" t="s">
        <v>176</v>
      </c>
      <c r="J104" s="7">
        <v>45</v>
      </c>
      <c r="K104" s="7">
        <v>3</v>
      </c>
      <c r="L104" s="7">
        <v>11</v>
      </c>
      <c r="M104" s="7">
        <v>192</v>
      </c>
      <c r="N104" s="7">
        <v>6</v>
      </c>
      <c r="O104" s="7">
        <v>36.1</v>
      </c>
      <c r="P104" s="7">
        <v>37</v>
      </c>
      <c r="Q104" s="7">
        <v>7</v>
      </c>
      <c r="R104" s="7">
        <v>7.8</v>
      </c>
      <c r="S104" s="7">
        <v>6.7968864</v>
      </c>
    </row>
    <row r="105" spans="1:19" x14ac:dyDescent="0.3">
      <c r="A105" s="7" t="s">
        <v>182</v>
      </c>
      <c r="B105" s="7" t="s">
        <v>97</v>
      </c>
      <c r="C105" s="7" t="s">
        <v>144</v>
      </c>
      <c r="D105" s="7">
        <v>2</v>
      </c>
      <c r="E105" s="7">
        <v>350</v>
      </c>
      <c r="F105" s="7">
        <v>65</v>
      </c>
      <c r="G105" s="7">
        <v>11</v>
      </c>
      <c r="H105" s="7">
        <v>83</v>
      </c>
      <c r="I105" s="7" t="s">
        <v>178</v>
      </c>
      <c r="J105" s="7">
        <v>46</v>
      </c>
      <c r="K105" s="7">
        <v>4</v>
      </c>
      <c r="L105" s="7">
        <v>11</v>
      </c>
      <c r="M105" s="7">
        <v>172</v>
      </c>
      <c r="N105" s="7">
        <v>7</v>
      </c>
      <c r="O105" s="7">
        <v>40.299999999999997</v>
      </c>
      <c r="P105" s="7">
        <v>37</v>
      </c>
      <c r="Q105" s="7">
        <v>7</v>
      </c>
      <c r="R105" s="7">
        <v>8.1999999999999993</v>
      </c>
      <c r="S105" s="7">
        <v>7.0066080000000008</v>
      </c>
    </row>
    <row r="106" spans="1:19" x14ac:dyDescent="0.3">
      <c r="A106" s="7" t="s">
        <v>182</v>
      </c>
      <c r="B106" s="7" t="s">
        <v>97</v>
      </c>
      <c r="C106" s="7" t="s">
        <v>144</v>
      </c>
      <c r="D106" s="7">
        <v>4</v>
      </c>
      <c r="E106" s="7">
        <v>335</v>
      </c>
      <c r="F106" s="7">
        <v>64</v>
      </c>
      <c r="G106" s="7">
        <v>12</v>
      </c>
      <c r="H106" s="7">
        <v>117</v>
      </c>
      <c r="I106" s="7" t="s">
        <v>173</v>
      </c>
      <c r="J106" s="7">
        <v>47</v>
      </c>
      <c r="K106" s="7">
        <v>5</v>
      </c>
      <c r="L106" s="7">
        <v>11</v>
      </c>
      <c r="M106" s="7">
        <v>163</v>
      </c>
      <c r="N106" s="7">
        <v>6</v>
      </c>
      <c r="O106" s="7">
        <v>37.700000000000003</v>
      </c>
      <c r="P106" s="7">
        <v>38</v>
      </c>
      <c r="Q106" s="7">
        <v>7</v>
      </c>
      <c r="R106" s="7">
        <v>7.8</v>
      </c>
      <c r="S106" s="7">
        <v>7.7673254400000014</v>
      </c>
    </row>
    <row r="107" spans="1:19" x14ac:dyDescent="0.3">
      <c r="A107" s="7" t="s">
        <v>182</v>
      </c>
      <c r="B107" s="7" t="s">
        <v>97</v>
      </c>
      <c r="C107" s="7" t="s">
        <v>144</v>
      </c>
      <c r="D107" s="7">
        <v>6</v>
      </c>
      <c r="E107" s="7">
        <v>300</v>
      </c>
      <c r="F107" s="7">
        <v>59</v>
      </c>
      <c r="G107" s="7">
        <v>13</v>
      </c>
      <c r="H107" s="7">
        <v>110</v>
      </c>
      <c r="I107" s="7" t="s">
        <v>175</v>
      </c>
      <c r="J107" s="7">
        <v>43</v>
      </c>
      <c r="K107" s="7">
        <v>1</v>
      </c>
      <c r="L107" s="7">
        <v>11</v>
      </c>
      <c r="M107" s="7">
        <v>160</v>
      </c>
      <c r="N107" s="7">
        <v>9</v>
      </c>
      <c r="O107" s="7">
        <v>20.5</v>
      </c>
      <c r="P107" s="7">
        <v>37</v>
      </c>
      <c r="Q107" s="7">
        <v>5</v>
      </c>
      <c r="R107" s="7">
        <v>7.4</v>
      </c>
      <c r="S107" s="7">
        <v>8.9503459200000002</v>
      </c>
    </row>
    <row r="108" spans="1:19" x14ac:dyDescent="0.3">
      <c r="A108" s="7" t="s">
        <v>182</v>
      </c>
      <c r="B108" s="7" t="s">
        <v>97</v>
      </c>
      <c r="C108" s="7" t="s">
        <v>144</v>
      </c>
      <c r="D108" s="7">
        <v>9</v>
      </c>
      <c r="E108" s="7">
        <v>350</v>
      </c>
      <c r="F108" s="7">
        <v>62</v>
      </c>
      <c r="G108" s="7">
        <v>15</v>
      </c>
      <c r="H108" s="7">
        <v>145</v>
      </c>
      <c r="I108" s="7" t="s">
        <v>174</v>
      </c>
      <c r="J108" s="7">
        <v>42</v>
      </c>
      <c r="K108" s="7">
        <v>52</v>
      </c>
      <c r="L108" s="7">
        <v>11</v>
      </c>
      <c r="M108" s="7">
        <v>200</v>
      </c>
      <c r="N108" s="7">
        <v>5</v>
      </c>
      <c r="O108" s="7">
        <v>43</v>
      </c>
      <c r="P108" s="7">
        <v>39</v>
      </c>
      <c r="Q108" s="7">
        <v>7</v>
      </c>
      <c r="R108" s="7">
        <v>7.6</v>
      </c>
      <c r="S108" s="7">
        <v>4.72668</v>
      </c>
    </row>
    <row r="109" spans="1:19" x14ac:dyDescent="0.3">
      <c r="A109" s="7" t="s">
        <v>182</v>
      </c>
      <c r="B109" s="7" t="s">
        <v>97</v>
      </c>
      <c r="C109" s="7" t="s">
        <v>144</v>
      </c>
      <c r="D109" s="7">
        <v>10</v>
      </c>
      <c r="E109" s="7">
        <v>330</v>
      </c>
      <c r="F109" s="7">
        <v>59</v>
      </c>
      <c r="G109" s="7">
        <v>12</v>
      </c>
      <c r="H109" s="7">
        <v>115</v>
      </c>
      <c r="I109" s="7" t="s">
        <v>176</v>
      </c>
      <c r="J109" s="7">
        <v>45</v>
      </c>
      <c r="K109" s="7">
        <v>3</v>
      </c>
      <c r="L109" s="7">
        <v>11</v>
      </c>
      <c r="M109" s="7">
        <v>173</v>
      </c>
      <c r="N109" s="7">
        <v>3</v>
      </c>
      <c r="O109" s="7">
        <v>32.5</v>
      </c>
      <c r="P109" s="7">
        <v>39</v>
      </c>
      <c r="Q109" s="7">
        <v>6</v>
      </c>
      <c r="R109" s="7">
        <v>7.8</v>
      </c>
      <c r="S109" s="7">
        <v>2.7737270399999998</v>
      </c>
    </row>
    <row r="110" spans="1:19" x14ac:dyDescent="0.3">
      <c r="A110" s="7" t="s">
        <v>182</v>
      </c>
      <c r="B110" s="7" t="s">
        <v>97</v>
      </c>
      <c r="C110" s="7" t="s">
        <v>144</v>
      </c>
      <c r="D110" s="7">
        <v>12</v>
      </c>
      <c r="E110" s="7">
        <v>335</v>
      </c>
      <c r="F110" s="7">
        <v>61</v>
      </c>
      <c r="G110" s="7">
        <v>12</v>
      </c>
      <c r="H110" s="7">
        <v>75</v>
      </c>
      <c r="I110" s="7" t="s">
        <v>179</v>
      </c>
      <c r="J110" s="7">
        <v>41</v>
      </c>
      <c r="K110" s="7">
        <v>51</v>
      </c>
      <c r="L110" s="7">
        <v>11</v>
      </c>
      <c r="M110" s="7">
        <v>120</v>
      </c>
      <c r="N110" s="7">
        <v>7</v>
      </c>
      <c r="O110" s="7">
        <v>45.3</v>
      </c>
      <c r="P110" s="7">
        <v>40</v>
      </c>
      <c r="Q110" s="7">
        <v>7</v>
      </c>
      <c r="R110" s="7">
        <v>8.4</v>
      </c>
      <c r="S110" s="7">
        <v>6.8509056000000008</v>
      </c>
    </row>
    <row r="111" spans="1:19" x14ac:dyDescent="0.3">
      <c r="A111" s="7" t="s">
        <v>182</v>
      </c>
      <c r="B111" s="7" t="s">
        <v>97</v>
      </c>
      <c r="C111" s="7" t="s">
        <v>144</v>
      </c>
      <c r="D111" s="7">
        <v>13</v>
      </c>
      <c r="E111" s="7">
        <v>340</v>
      </c>
      <c r="F111" s="7">
        <v>63</v>
      </c>
      <c r="G111" s="7">
        <v>11</v>
      </c>
      <c r="H111" s="7">
        <v>117</v>
      </c>
      <c r="I111" s="7" t="s">
        <v>173</v>
      </c>
      <c r="J111" s="7">
        <v>47</v>
      </c>
      <c r="K111" s="7">
        <v>5</v>
      </c>
      <c r="L111" s="7">
        <v>11</v>
      </c>
      <c r="M111" s="7">
        <v>183</v>
      </c>
      <c r="N111" s="7">
        <v>6</v>
      </c>
      <c r="O111" s="7">
        <v>43.2</v>
      </c>
      <c r="P111" s="7">
        <v>38</v>
      </c>
      <c r="Q111" s="7">
        <v>7</v>
      </c>
      <c r="R111" s="7">
        <v>7.2</v>
      </c>
      <c r="S111" s="7">
        <v>5.8988966400000002</v>
      </c>
    </row>
    <row r="112" spans="1:19" x14ac:dyDescent="0.3">
      <c r="A112" s="7" t="s">
        <v>182</v>
      </c>
      <c r="B112" s="7" t="s">
        <v>172</v>
      </c>
      <c r="C112" s="7" t="s">
        <v>146</v>
      </c>
      <c r="D112" s="7">
        <v>1</v>
      </c>
      <c r="E112" s="7">
        <v>320</v>
      </c>
      <c r="F112" s="7">
        <v>65</v>
      </c>
      <c r="G112" s="7">
        <v>12</v>
      </c>
      <c r="H112" s="7">
        <v>76</v>
      </c>
      <c r="I112" s="7" t="s">
        <v>176</v>
      </c>
      <c r="J112" s="7">
        <v>45</v>
      </c>
      <c r="K112" s="7">
        <v>3</v>
      </c>
      <c r="L112" s="7">
        <v>11</v>
      </c>
      <c r="M112" s="7">
        <v>80</v>
      </c>
      <c r="N112" s="7">
        <v>7</v>
      </c>
      <c r="O112" s="7">
        <v>34.9</v>
      </c>
      <c r="P112" s="7">
        <v>39</v>
      </c>
      <c r="Q112" s="7">
        <v>6</v>
      </c>
      <c r="R112" s="7">
        <v>8.4</v>
      </c>
      <c r="S112" s="7">
        <v>5.9315200000000008</v>
      </c>
    </row>
    <row r="113" spans="1:19" x14ac:dyDescent="0.3">
      <c r="A113" s="7" t="s">
        <v>182</v>
      </c>
      <c r="B113" s="7" t="s">
        <v>172</v>
      </c>
      <c r="C113" s="7" t="s">
        <v>146</v>
      </c>
      <c r="D113" s="7">
        <v>2</v>
      </c>
      <c r="E113" s="7">
        <v>340</v>
      </c>
      <c r="F113" s="7">
        <v>63</v>
      </c>
      <c r="G113" s="7">
        <v>15</v>
      </c>
      <c r="H113" s="7">
        <v>124</v>
      </c>
      <c r="I113" s="7" t="s">
        <v>176</v>
      </c>
      <c r="J113" s="7">
        <v>45</v>
      </c>
      <c r="K113" s="7">
        <v>3</v>
      </c>
      <c r="L113" s="7">
        <v>11</v>
      </c>
      <c r="M113" s="7">
        <v>186</v>
      </c>
      <c r="N113" s="7">
        <v>6</v>
      </c>
      <c r="O113" s="7">
        <v>40.200000000000003</v>
      </c>
      <c r="P113" s="7">
        <v>38</v>
      </c>
      <c r="Q113" s="7">
        <v>7</v>
      </c>
      <c r="R113" s="7">
        <v>8.4</v>
      </c>
      <c r="S113" s="7">
        <v>6.9208128000000002</v>
      </c>
    </row>
    <row r="114" spans="1:19" x14ac:dyDescent="0.3">
      <c r="A114" s="7" t="s">
        <v>182</v>
      </c>
      <c r="B114" s="7" t="s">
        <v>172</v>
      </c>
      <c r="C114" s="7" t="s">
        <v>146</v>
      </c>
      <c r="D114" s="7">
        <v>3</v>
      </c>
      <c r="E114" s="7">
        <v>335</v>
      </c>
      <c r="F114" s="7">
        <v>64</v>
      </c>
      <c r="G114" s="7">
        <v>13</v>
      </c>
      <c r="H114" s="7">
        <v>106</v>
      </c>
      <c r="I114" s="7" t="s">
        <v>178</v>
      </c>
      <c r="J114" s="7">
        <v>46</v>
      </c>
      <c r="K114" s="7">
        <v>4</v>
      </c>
      <c r="L114" s="7">
        <v>11</v>
      </c>
      <c r="M114" s="7">
        <v>150</v>
      </c>
      <c r="N114" s="7">
        <v>5</v>
      </c>
      <c r="O114" s="7">
        <v>41</v>
      </c>
      <c r="P114" s="7">
        <v>38</v>
      </c>
      <c r="Q114" s="7">
        <v>7</v>
      </c>
      <c r="R114" s="7">
        <v>8.1999999999999993</v>
      </c>
      <c r="S114" s="7">
        <v>5.5422640000000003</v>
      </c>
    </row>
    <row r="115" spans="1:19" x14ac:dyDescent="0.3">
      <c r="A115" s="7" t="s">
        <v>182</v>
      </c>
      <c r="B115" s="7" t="s">
        <v>172</v>
      </c>
      <c r="C115" s="7" t="s">
        <v>146</v>
      </c>
      <c r="D115" s="7">
        <v>4</v>
      </c>
      <c r="E115" s="7">
        <v>325</v>
      </c>
      <c r="F115" s="7">
        <v>66</v>
      </c>
      <c r="G115" s="7">
        <v>11</v>
      </c>
      <c r="H115" s="7">
        <v>135</v>
      </c>
      <c r="I115" s="7" t="s">
        <v>178</v>
      </c>
      <c r="J115" s="7">
        <v>46</v>
      </c>
      <c r="K115" s="7">
        <v>4</v>
      </c>
      <c r="L115" s="7">
        <v>11</v>
      </c>
      <c r="M115" s="7">
        <v>204</v>
      </c>
      <c r="N115" s="7">
        <v>5</v>
      </c>
      <c r="O115" s="7">
        <v>43</v>
      </c>
      <c r="P115" s="7">
        <v>39</v>
      </c>
      <c r="Q115" s="7">
        <v>7</v>
      </c>
      <c r="R115" s="7">
        <v>8</v>
      </c>
      <c r="S115" s="7">
        <v>5.3026200000000001</v>
      </c>
    </row>
    <row r="116" spans="1:19" x14ac:dyDescent="0.3">
      <c r="A116" s="7" t="s">
        <v>182</v>
      </c>
      <c r="B116" s="7" t="s">
        <v>172</v>
      </c>
      <c r="C116" s="7" t="s">
        <v>146</v>
      </c>
      <c r="D116" s="7">
        <v>5</v>
      </c>
      <c r="E116" s="7">
        <v>336</v>
      </c>
      <c r="F116" s="7">
        <v>64</v>
      </c>
      <c r="G116" s="7">
        <v>11</v>
      </c>
      <c r="H116" s="7">
        <v>170</v>
      </c>
      <c r="I116" s="7" t="s">
        <v>178</v>
      </c>
      <c r="J116" s="7">
        <v>46</v>
      </c>
      <c r="K116" s="7">
        <v>4</v>
      </c>
      <c r="L116" s="7">
        <v>11</v>
      </c>
      <c r="M116" s="7">
        <v>216</v>
      </c>
      <c r="N116" s="7">
        <v>5</v>
      </c>
      <c r="O116" s="7">
        <v>41.8</v>
      </c>
      <c r="P116" s="7">
        <v>37</v>
      </c>
      <c r="Q116" s="7">
        <v>7</v>
      </c>
      <c r="R116" s="7">
        <v>7.4</v>
      </c>
      <c r="S116" s="7">
        <v>6.1009919999999997</v>
      </c>
    </row>
    <row r="117" spans="1:19" x14ac:dyDescent="0.3">
      <c r="A117" s="7" t="s">
        <v>182</v>
      </c>
      <c r="B117" s="7" t="s">
        <v>172</v>
      </c>
      <c r="C117" s="7" t="s">
        <v>146</v>
      </c>
      <c r="D117" s="7">
        <v>6</v>
      </c>
      <c r="E117" s="7">
        <v>315</v>
      </c>
      <c r="F117" s="7">
        <v>57</v>
      </c>
      <c r="G117" s="7">
        <v>13</v>
      </c>
      <c r="H117" s="7">
        <v>120</v>
      </c>
      <c r="I117" s="7" t="s">
        <v>176</v>
      </c>
      <c r="J117" s="7">
        <v>45</v>
      </c>
      <c r="K117" s="7">
        <v>3</v>
      </c>
      <c r="L117" s="7">
        <v>11</v>
      </c>
      <c r="M117" s="7">
        <v>155</v>
      </c>
      <c r="N117" s="7">
        <v>6</v>
      </c>
      <c r="O117" s="7">
        <v>28.9</v>
      </c>
      <c r="P117" s="7">
        <v>37</v>
      </c>
      <c r="Q117" s="7">
        <v>6</v>
      </c>
      <c r="R117" s="7">
        <v>7</v>
      </c>
      <c r="S117" s="7">
        <v>5.8722047999999996</v>
      </c>
    </row>
    <row r="118" spans="1:19" x14ac:dyDescent="0.3">
      <c r="A118" s="7" t="s">
        <v>182</v>
      </c>
      <c r="B118" s="7" t="s">
        <v>172</v>
      </c>
      <c r="C118" s="7" t="s">
        <v>146</v>
      </c>
      <c r="D118" s="7">
        <v>7</v>
      </c>
      <c r="E118" s="7">
        <v>315</v>
      </c>
      <c r="F118" s="7">
        <v>57</v>
      </c>
      <c r="G118" s="7">
        <v>12</v>
      </c>
      <c r="H118" s="7">
        <v>142</v>
      </c>
      <c r="I118" s="7" t="s">
        <v>176</v>
      </c>
      <c r="J118" s="7">
        <v>45</v>
      </c>
      <c r="K118" s="7">
        <v>3</v>
      </c>
      <c r="L118" s="7">
        <v>11</v>
      </c>
      <c r="M118" s="7">
        <v>194</v>
      </c>
      <c r="N118" s="7">
        <v>5</v>
      </c>
      <c r="O118" s="7">
        <v>32.700000000000003</v>
      </c>
      <c r="P118" s="7">
        <v>37</v>
      </c>
      <c r="Q118" s="7">
        <v>6</v>
      </c>
      <c r="R118" s="7">
        <v>7.6</v>
      </c>
      <c r="S118" s="7">
        <v>4.2368000000000023</v>
      </c>
    </row>
    <row r="119" spans="1:19" x14ac:dyDescent="0.3">
      <c r="A119" s="7" t="s">
        <v>182</v>
      </c>
      <c r="B119" s="7" t="s">
        <v>172</v>
      </c>
      <c r="C119" s="7" t="s">
        <v>146</v>
      </c>
      <c r="D119" s="7">
        <v>9</v>
      </c>
      <c r="E119" s="7">
        <v>345</v>
      </c>
      <c r="F119" s="7">
        <v>66</v>
      </c>
      <c r="G119" s="7">
        <v>14</v>
      </c>
      <c r="H119" s="7">
        <v>93</v>
      </c>
      <c r="I119" s="7" t="s">
        <v>175</v>
      </c>
      <c r="J119" s="7">
        <v>43</v>
      </c>
      <c r="K119" s="7">
        <v>52</v>
      </c>
      <c r="L119" s="7">
        <v>10</v>
      </c>
      <c r="M119" s="7">
        <v>192</v>
      </c>
      <c r="N119" s="7">
        <v>6</v>
      </c>
      <c r="O119" s="7">
        <v>46</v>
      </c>
      <c r="P119" s="7">
        <v>39</v>
      </c>
      <c r="Q119" s="7">
        <v>7</v>
      </c>
      <c r="R119" s="7">
        <v>8</v>
      </c>
      <c r="S119" s="7">
        <v>7.1623104000000017</v>
      </c>
    </row>
    <row r="120" spans="1:19" x14ac:dyDescent="0.3">
      <c r="A120" s="7" t="s">
        <v>182</v>
      </c>
      <c r="B120" s="7" t="s">
        <v>109</v>
      </c>
      <c r="C120" s="7" t="s">
        <v>147</v>
      </c>
      <c r="D120" s="7">
        <v>3</v>
      </c>
      <c r="E120" s="7">
        <v>353</v>
      </c>
      <c r="F120" s="7">
        <v>69</v>
      </c>
      <c r="G120" s="7">
        <v>14</v>
      </c>
      <c r="H120" s="7">
        <v>210</v>
      </c>
      <c r="I120" s="7" t="s">
        <v>177</v>
      </c>
      <c r="J120" s="7">
        <v>44</v>
      </c>
      <c r="K120" s="7">
        <v>2</v>
      </c>
      <c r="L120" s="7">
        <v>12</v>
      </c>
      <c r="M120" s="7">
        <v>235</v>
      </c>
      <c r="N120" s="7">
        <v>6</v>
      </c>
      <c r="O120" s="7">
        <v>38.799999999999997</v>
      </c>
      <c r="P120" s="7">
        <v>37</v>
      </c>
      <c r="Q120" s="7">
        <v>7</v>
      </c>
      <c r="R120" s="7">
        <v>8.4</v>
      </c>
      <c r="S120" s="7">
        <v>6.5776320000000004</v>
      </c>
    </row>
    <row r="121" spans="1:19" x14ac:dyDescent="0.3">
      <c r="A121" s="7" t="s">
        <v>182</v>
      </c>
      <c r="B121" s="7" t="s">
        <v>109</v>
      </c>
      <c r="C121" s="7" t="s">
        <v>147</v>
      </c>
      <c r="D121" s="7">
        <v>4</v>
      </c>
      <c r="E121" s="7">
        <v>336</v>
      </c>
      <c r="F121" s="7">
        <v>64</v>
      </c>
      <c r="G121" s="7">
        <v>12</v>
      </c>
      <c r="H121" s="7">
        <v>144</v>
      </c>
      <c r="I121" s="7" t="s">
        <v>179</v>
      </c>
      <c r="J121" s="7">
        <v>41</v>
      </c>
      <c r="K121" s="7">
        <v>51</v>
      </c>
      <c r="L121" s="7">
        <v>11</v>
      </c>
      <c r="M121" s="7">
        <v>210</v>
      </c>
      <c r="N121" s="7">
        <v>6</v>
      </c>
      <c r="O121" s="7">
        <v>43</v>
      </c>
      <c r="P121" s="7">
        <v>40</v>
      </c>
      <c r="Q121" s="7">
        <v>7</v>
      </c>
      <c r="R121" s="7">
        <v>8</v>
      </c>
      <c r="S121" s="7">
        <v>5.4718272000000008</v>
      </c>
    </row>
    <row r="122" spans="1:19" x14ac:dyDescent="0.3">
      <c r="A122" s="7" t="s">
        <v>182</v>
      </c>
      <c r="B122" s="7" t="s">
        <v>109</v>
      </c>
      <c r="C122" s="7" t="s">
        <v>147</v>
      </c>
      <c r="D122" s="7">
        <v>5</v>
      </c>
      <c r="E122" s="7">
        <v>303</v>
      </c>
      <c r="F122" s="7">
        <v>56</v>
      </c>
      <c r="G122" s="7">
        <v>12</v>
      </c>
      <c r="H122" s="7">
        <v>106</v>
      </c>
      <c r="I122" s="7" t="s">
        <v>179</v>
      </c>
      <c r="J122" s="7">
        <v>41</v>
      </c>
      <c r="K122" s="7">
        <v>51</v>
      </c>
      <c r="L122" s="7">
        <v>11</v>
      </c>
      <c r="M122" s="7">
        <v>160</v>
      </c>
      <c r="N122" s="7">
        <v>7</v>
      </c>
      <c r="O122" s="7">
        <v>36.4</v>
      </c>
      <c r="P122" s="7">
        <v>40</v>
      </c>
      <c r="Q122" s="7">
        <v>6</v>
      </c>
      <c r="R122" s="7">
        <v>8.1999999999999993</v>
      </c>
      <c r="S122" s="7">
        <v>6.2280960000000007</v>
      </c>
    </row>
    <row r="123" spans="1:19" x14ac:dyDescent="0.3">
      <c r="A123" s="7" t="s">
        <v>182</v>
      </c>
      <c r="B123" s="7" t="s">
        <v>109</v>
      </c>
      <c r="C123" s="7" t="s">
        <v>147</v>
      </c>
      <c r="D123" s="7">
        <v>6</v>
      </c>
      <c r="E123" s="7">
        <v>330</v>
      </c>
      <c r="F123" s="7">
        <v>64</v>
      </c>
      <c r="G123" s="7">
        <v>13</v>
      </c>
      <c r="H123" s="7">
        <v>106</v>
      </c>
      <c r="I123" s="7" t="s">
        <v>176</v>
      </c>
      <c r="J123" s="7">
        <v>45</v>
      </c>
      <c r="K123" s="7">
        <v>3</v>
      </c>
      <c r="L123" s="7">
        <v>11</v>
      </c>
      <c r="M123" s="7">
        <v>160</v>
      </c>
      <c r="N123" s="7">
        <v>4</v>
      </c>
      <c r="O123" s="7">
        <v>37.200000000000003</v>
      </c>
      <c r="P123" s="7">
        <v>37</v>
      </c>
      <c r="Q123" s="7">
        <v>7</v>
      </c>
      <c r="R123" s="7">
        <v>7.6</v>
      </c>
      <c r="S123" s="7">
        <v>4.1817216000000004</v>
      </c>
    </row>
    <row r="124" spans="1:19" x14ac:dyDescent="0.3">
      <c r="A124" s="7" t="s">
        <v>182</v>
      </c>
      <c r="B124" s="7" t="s">
        <v>109</v>
      </c>
      <c r="C124" s="7" t="s">
        <v>147</v>
      </c>
      <c r="D124" s="7">
        <v>8</v>
      </c>
      <c r="E124" s="7">
        <v>350</v>
      </c>
      <c r="F124" s="7">
        <v>64</v>
      </c>
      <c r="G124" s="7">
        <v>11</v>
      </c>
      <c r="H124" s="7">
        <v>138</v>
      </c>
      <c r="I124" s="7" t="s">
        <v>173</v>
      </c>
      <c r="J124" s="7">
        <v>47</v>
      </c>
      <c r="K124" s="7">
        <v>5</v>
      </c>
      <c r="L124" s="7">
        <v>12</v>
      </c>
      <c r="M124" s="7">
        <v>206</v>
      </c>
      <c r="N124" s="7">
        <v>7</v>
      </c>
      <c r="O124" s="7">
        <v>41.2</v>
      </c>
      <c r="P124" s="7">
        <v>38</v>
      </c>
      <c r="Q124" s="7">
        <v>7</v>
      </c>
      <c r="R124" s="7">
        <v>7.8</v>
      </c>
      <c r="S124" s="7">
        <v>7.2475760000000014</v>
      </c>
    </row>
    <row r="125" spans="1:19" x14ac:dyDescent="0.3">
      <c r="A125" s="7" t="s">
        <v>182</v>
      </c>
      <c r="B125" s="7" t="s">
        <v>109</v>
      </c>
      <c r="C125" s="7" t="s">
        <v>147</v>
      </c>
      <c r="D125" s="7">
        <v>9</v>
      </c>
      <c r="E125" s="7">
        <v>336</v>
      </c>
      <c r="F125" s="7">
        <v>66</v>
      </c>
      <c r="G125" s="7">
        <v>14</v>
      </c>
      <c r="H125" s="7">
        <v>145</v>
      </c>
      <c r="I125" s="7" t="s">
        <v>175</v>
      </c>
      <c r="J125" s="7">
        <v>43</v>
      </c>
      <c r="K125" s="7">
        <v>1</v>
      </c>
      <c r="L125" s="7">
        <v>11</v>
      </c>
      <c r="M125" s="7">
        <v>216</v>
      </c>
      <c r="N125" s="7">
        <v>7</v>
      </c>
      <c r="O125" s="7">
        <v>48.1</v>
      </c>
      <c r="P125" s="7">
        <v>39</v>
      </c>
      <c r="Q125" s="7">
        <v>7</v>
      </c>
      <c r="R125" s="7">
        <v>8.1999999999999993</v>
      </c>
      <c r="S125" s="7">
        <v>7.5626880000000014</v>
      </c>
    </row>
    <row r="126" spans="1:19" x14ac:dyDescent="0.3">
      <c r="A126" s="7" t="s">
        <v>182</v>
      </c>
      <c r="B126" s="7" t="s">
        <v>109</v>
      </c>
      <c r="C126" s="7" t="s">
        <v>147</v>
      </c>
      <c r="D126" s="7">
        <v>10</v>
      </c>
      <c r="E126" s="7">
        <v>310</v>
      </c>
      <c r="F126" s="7">
        <v>59</v>
      </c>
      <c r="G126" s="7">
        <v>14</v>
      </c>
      <c r="H126" s="7">
        <v>100</v>
      </c>
      <c r="I126" s="7" t="s">
        <v>176</v>
      </c>
      <c r="J126" s="7">
        <v>45</v>
      </c>
      <c r="K126" s="7">
        <v>3</v>
      </c>
      <c r="L126" s="7">
        <v>11</v>
      </c>
      <c r="M126" s="7">
        <v>146</v>
      </c>
      <c r="N126" s="7">
        <v>5</v>
      </c>
      <c r="O126" s="7">
        <v>29.2</v>
      </c>
      <c r="P126" s="7">
        <v>39</v>
      </c>
      <c r="Q126" s="7">
        <v>6</v>
      </c>
      <c r="R126" s="7">
        <v>8.1999999999999993</v>
      </c>
      <c r="S126" s="7">
        <v>3.813120000000001</v>
      </c>
    </row>
    <row r="127" spans="1:19" x14ac:dyDescent="0.3">
      <c r="A127" s="7" t="s">
        <v>182</v>
      </c>
      <c r="B127" s="7" t="s">
        <v>109</v>
      </c>
      <c r="C127" s="7" t="s">
        <v>147</v>
      </c>
      <c r="D127" s="7">
        <v>11</v>
      </c>
      <c r="E127" s="7">
        <v>348</v>
      </c>
      <c r="F127" s="7">
        <v>69</v>
      </c>
      <c r="G127" s="7">
        <v>14</v>
      </c>
      <c r="H127" s="7">
        <v>100</v>
      </c>
      <c r="I127" s="7" t="s">
        <v>176</v>
      </c>
      <c r="J127" s="7">
        <v>45</v>
      </c>
      <c r="K127" s="7">
        <v>3</v>
      </c>
      <c r="L127" s="7">
        <v>11</v>
      </c>
      <c r="M127" s="7">
        <v>146</v>
      </c>
      <c r="N127" s="7">
        <v>6</v>
      </c>
      <c r="O127" s="7">
        <v>36.5</v>
      </c>
      <c r="P127" s="7">
        <v>37</v>
      </c>
      <c r="Q127" s="7">
        <v>7</v>
      </c>
      <c r="R127" s="7">
        <v>7.8</v>
      </c>
      <c r="S127" s="7">
        <v>7.3211904000000008</v>
      </c>
    </row>
    <row r="128" spans="1:19" x14ac:dyDescent="0.3">
      <c r="A128" s="7" t="s">
        <v>182</v>
      </c>
      <c r="B128" s="7" t="s">
        <v>109</v>
      </c>
      <c r="C128" s="7" t="s">
        <v>147</v>
      </c>
      <c r="D128" s="7">
        <v>13</v>
      </c>
      <c r="E128" s="7">
        <v>345</v>
      </c>
      <c r="F128" s="7">
        <v>67</v>
      </c>
      <c r="G128" s="7">
        <v>13</v>
      </c>
      <c r="H128" s="7">
        <v>100</v>
      </c>
      <c r="I128" s="7" t="s">
        <v>176</v>
      </c>
      <c r="J128" s="7">
        <v>45</v>
      </c>
      <c r="K128" s="7">
        <v>3</v>
      </c>
      <c r="L128" s="7">
        <v>11</v>
      </c>
      <c r="M128" s="7">
        <v>175</v>
      </c>
      <c r="N128" s="7">
        <v>5</v>
      </c>
      <c r="O128" s="7">
        <v>29.2</v>
      </c>
      <c r="P128" s="7">
        <v>37</v>
      </c>
      <c r="Q128" s="7">
        <v>7</v>
      </c>
      <c r="R128" s="7">
        <v>7.6</v>
      </c>
      <c r="S128" s="7">
        <v>4.7769920000000008</v>
      </c>
    </row>
    <row r="129" spans="1:19" x14ac:dyDescent="0.3">
      <c r="A129" s="7" t="s">
        <v>182</v>
      </c>
      <c r="B129" s="7" t="s">
        <v>97</v>
      </c>
      <c r="C129" s="7" t="s">
        <v>146</v>
      </c>
      <c r="D129" s="7">
        <v>2</v>
      </c>
      <c r="E129" s="7">
        <v>330</v>
      </c>
      <c r="F129" s="7">
        <v>66</v>
      </c>
      <c r="G129" s="7">
        <v>12</v>
      </c>
      <c r="H129" s="7">
        <v>130</v>
      </c>
      <c r="I129" s="7" t="s">
        <v>178</v>
      </c>
      <c r="J129" s="7">
        <v>46</v>
      </c>
      <c r="K129" s="7">
        <v>4</v>
      </c>
      <c r="L129" s="7">
        <v>11</v>
      </c>
      <c r="M129" s="7">
        <v>180</v>
      </c>
      <c r="N129" s="7">
        <v>6</v>
      </c>
      <c r="O129" s="7">
        <v>40.4</v>
      </c>
      <c r="P129" s="7">
        <v>38</v>
      </c>
      <c r="Q129" s="7">
        <v>7</v>
      </c>
      <c r="R129" s="7">
        <v>8</v>
      </c>
      <c r="S129" s="7">
        <v>6.2852927999999997</v>
      </c>
    </row>
    <row r="130" spans="1:19" x14ac:dyDescent="0.3">
      <c r="A130" s="7" t="s">
        <v>182</v>
      </c>
      <c r="B130" s="7" t="s">
        <v>97</v>
      </c>
      <c r="C130" s="7" t="s">
        <v>146</v>
      </c>
      <c r="D130" s="7">
        <v>3</v>
      </c>
      <c r="E130" s="7">
        <v>323</v>
      </c>
      <c r="F130" s="7">
        <v>69</v>
      </c>
      <c r="G130" s="7">
        <v>13</v>
      </c>
      <c r="H130" s="7">
        <v>82</v>
      </c>
      <c r="I130" s="7" t="s">
        <v>175</v>
      </c>
      <c r="J130" s="7">
        <v>43</v>
      </c>
      <c r="K130" s="7">
        <v>1</v>
      </c>
      <c r="L130" s="7">
        <v>11</v>
      </c>
      <c r="M130" s="7">
        <v>130</v>
      </c>
      <c r="N130" s="7">
        <v>7</v>
      </c>
      <c r="O130" s="7">
        <v>51</v>
      </c>
      <c r="P130" s="7">
        <v>39</v>
      </c>
      <c r="Q130" s="7">
        <v>8</v>
      </c>
      <c r="R130" s="7">
        <v>7.6</v>
      </c>
      <c r="S130" s="7">
        <v>7.7832664000000014</v>
      </c>
    </row>
    <row r="131" spans="1:19" x14ac:dyDescent="0.3">
      <c r="A131" s="7" t="s">
        <v>182</v>
      </c>
      <c r="B131" s="7" t="s">
        <v>97</v>
      </c>
      <c r="C131" s="7" t="s">
        <v>146</v>
      </c>
      <c r="D131" s="7">
        <v>4</v>
      </c>
      <c r="E131" s="7">
        <v>332</v>
      </c>
      <c r="F131" s="7">
        <v>64</v>
      </c>
      <c r="G131" s="7">
        <v>11</v>
      </c>
      <c r="H131" s="7">
        <v>156</v>
      </c>
      <c r="I131" s="7" t="s">
        <v>174</v>
      </c>
      <c r="J131" s="7">
        <v>42</v>
      </c>
      <c r="K131" s="7">
        <v>52</v>
      </c>
      <c r="L131" s="7">
        <v>11</v>
      </c>
      <c r="M131" s="7">
        <v>220</v>
      </c>
      <c r="N131" s="7">
        <v>8</v>
      </c>
      <c r="O131" s="7">
        <v>45</v>
      </c>
      <c r="P131" s="7">
        <v>40</v>
      </c>
      <c r="Q131" s="7">
        <v>7</v>
      </c>
      <c r="R131" s="7">
        <v>7.8</v>
      </c>
      <c r="S131" s="7">
        <v>8.0668672000000008</v>
      </c>
    </row>
    <row r="132" spans="1:19" x14ac:dyDescent="0.3">
      <c r="A132" s="7" t="s">
        <v>182</v>
      </c>
      <c r="B132" s="7" t="s">
        <v>97</v>
      </c>
      <c r="C132" s="7" t="s">
        <v>146</v>
      </c>
      <c r="D132" s="7">
        <v>9</v>
      </c>
      <c r="E132" s="7">
        <v>343</v>
      </c>
      <c r="F132" s="7">
        <v>69</v>
      </c>
      <c r="G132" s="7">
        <v>15</v>
      </c>
      <c r="H132" s="7">
        <v>150</v>
      </c>
      <c r="I132" s="7" t="s">
        <v>173</v>
      </c>
      <c r="J132" s="7">
        <v>47</v>
      </c>
      <c r="K132" s="7">
        <v>5</v>
      </c>
      <c r="L132" s="7">
        <v>11</v>
      </c>
      <c r="M132" s="7">
        <v>193</v>
      </c>
      <c r="N132" s="7">
        <v>6</v>
      </c>
      <c r="O132" s="7">
        <v>40.200000000000003</v>
      </c>
      <c r="P132" s="7">
        <v>37</v>
      </c>
      <c r="Q132" s="7">
        <v>7</v>
      </c>
      <c r="R132" s="7">
        <v>7.4</v>
      </c>
      <c r="S132" s="7">
        <v>6.5776320000000004</v>
      </c>
    </row>
    <row r="133" spans="1:19" x14ac:dyDescent="0.3">
      <c r="A133" s="7" t="s">
        <v>182</v>
      </c>
      <c r="B133" s="7" t="s">
        <v>99</v>
      </c>
      <c r="C133" s="7" t="s">
        <v>144</v>
      </c>
      <c r="D133" s="7">
        <v>2</v>
      </c>
      <c r="E133" s="7">
        <v>350</v>
      </c>
      <c r="F133" s="7">
        <v>65</v>
      </c>
      <c r="G133" s="7">
        <v>15</v>
      </c>
      <c r="H133" s="7">
        <v>124</v>
      </c>
      <c r="I133" s="7" t="s">
        <v>176</v>
      </c>
      <c r="J133" s="7">
        <v>45</v>
      </c>
      <c r="K133" s="7">
        <v>3</v>
      </c>
      <c r="L133" s="7">
        <v>11</v>
      </c>
      <c r="M133" s="7">
        <v>203</v>
      </c>
      <c r="N133" s="7">
        <v>6</v>
      </c>
      <c r="O133" s="7">
        <v>43</v>
      </c>
      <c r="P133" s="7">
        <v>39</v>
      </c>
      <c r="Q133" s="7">
        <v>7</v>
      </c>
      <c r="R133" s="7">
        <v>7.8</v>
      </c>
      <c r="S133" s="7">
        <v>5.6367446400000008</v>
      </c>
    </row>
    <row r="134" spans="1:19" x14ac:dyDescent="0.3">
      <c r="A134" s="7" t="s">
        <v>182</v>
      </c>
      <c r="B134" s="7" t="s">
        <v>99</v>
      </c>
      <c r="C134" s="7" t="s">
        <v>144</v>
      </c>
      <c r="D134" s="7">
        <v>4</v>
      </c>
      <c r="E134" s="7">
        <v>344</v>
      </c>
      <c r="F134" s="7">
        <v>65</v>
      </c>
      <c r="G134" s="7">
        <v>13</v>
      </c>
      <c r="H134" s="7">
        <v>86</v>
      </c>
      <c r="I134" s="7" t="s">
        <v>177</v>
      </c>
      <c r="J134" s="7">
        <v>44</v>
      </c>
      <c r="K134" s="7">
        <v>2</v>
      </c>
      <c r="L134" s="7">
        <v>11</v>
      </c>
      <c r="M134" s="7">
        <v>145</v>
      </c>
      <c r="N134" s="7">
        <v>6</v>
      </c>
      <c r="O134" s="7">
        <v>44</v>
      </c>
      <c r="P134" s="7">
        <v>38</v>
      </c>
      <c r="Q134" s="7">
        <v>7</v>
      </c>
      <c r="R134" s="7">
        <v>8.4</v>
      </c>
      <c r="S134" s="7">
        <v>5.8054752000000009</v>
      </c>
    </row>
    <row r="135" spans="1:19" x14ac:dyDescent="0.3">
      <c r="A135" s="7" t="s">
        <v>182</v>
      </c>
      <c r="B135" s="7" t="s">
        <v>99</v>
      </c>
      <c r="C135" s="7" t="s">
        <v>144</v>
      </c>
      <c r="D135" s="7">
        <v>5</v>
      </c>
      <c r="E135" s="7">
        <v>342</v>
      </c>
      <c r="F135" s="7">
        <v>69</v>
      </c>
      <c r="G135" s="7">
        <v>15</v>
      </c>
      <c r="H135" s="7">
        <v>164</v>
      </c>
      <c r="I135" s="7" t="s">
        <v>178</v>
      </c>
      <c r="J135" s="7">
        <v>46</v>
      </c>
      <c r="K135" s="7">
        <v>4</v>
      </c>
      <c r="L135" s="7">
        <v>11</v>
      </c>
      <c r="M135" s="7">
        <v>172</v>
      </c>
      <c r="N135" s="7">
        <v>6</v>
      </c>
      <c r="O135" s="7">
        <v>28.8</v>
      </c>
      <c r="P135" s="7">
        <v>38</v>
      </c>
      <c r="Q135" s="7">
        <v>6</v>
      </c>
      <c r="R135" s="7">
        <v>7.8</v>
      </c>
      <c r="S135" s="7">
        <v>5.2764047999999999</v>
      </c>
    </row>
    <row r="136" spans="1:19" x14ac:dyDescent="0.3">
      <c r="A136" s="7" t="s">
        <v>182</v>
      </c>
      <c r="B136" s="7" t="s">
        <v>99</v>
      </c>
      <c r="C136" s="7" t="s">
        <v>144</v>
      </c>
      <c r="D136" s="7">
        <v>6</v>
      </c>
      <c r="E136" s="7">
        <v>310</v>
      </c>
      <c r="F136" s="7">
        <v>56</v>
      </c>
      <c r="G136" s="7">
        <v>16</v>
      </c>
      <c r="H136" s="7">
        <v>100</v>
      </c>
      <c r="I136" s="7" t="s">
        <v>175</v>
      </c>
      <c r="J136" s="7">
        <v>43</v>
      </c>
      <c r="K136" s="7">
        <v>1</v>
      </c>
      <c r="L136" s="7">
        <v>11</v>
      </c>
      <c r="M136" s="7">
        <v>125</v>
      </c>
      <c r="N136" s="7">
        <v>7</v>
      </c>
      <c r="O136" s="7">
        <v>28.6</v>
      </c>
      <c r="P136" s="7">
        <v>37</v>
      </c>
      <c r="Q136" s="7">
        <v>6</v>
      </c>
      <c r="R136" s="7">
        <v>7.6</v>
      </c>
      <c r="S136" s="7">
        <v>6.1539520000000012</v>
      </c>
    </row>
    <row r="137" spans="1:19" x14ac:dyDescent="0.3">
      <c r="A137" s="7" t="s">
        <v>182</v>
      </c>
      <c r="B137" s="7" t="s">
        <v>99</v>
      </c>
      <c r="C137" s="7" t="s">
        <v>144</v>
      </c>
      <c r="D137" s="7">
        <v>7</v>
      </c>
      <c r="E137" s="7">
        <v>330</v>
      </c>
      <c r="F137" s="7">
        <v>67</v>
      </c>
      <c r="G137" s="7">
        <v>13</v>
      </c>
      <c r="H137" s="7">
        <v>150</v>
      </c>
      <c r="I137" s="7" t="s">
        <v>175</v>
      </c>
      <c r="J137" s="7">
        <v>43</v>
      </c>
      <c r="K137" s="7">
        <v>52</v>
      </c>
      <c r="L137" s="7">
        <v>11</v>
      </c>
      <c r="M137" s="7">
        <v>223</v>
      </c>
      <c r="N137" s="7">
        <v>7</v>
      </c>
      <c r="O137" s="7">
        <v>45</v>
      </c>
      <c r="P137" s="7">
        <v>39</v>
      </c>
      <c r="Q137" s="7">
        <v>7</v>
      </c>
      <c r="R137" s="7">
        <v>7.6</v>
      </c>
      <c r="S137" s="7">
        <v>7.3536019199999991</v>
      </c>
    </row>
    <row r="138" spans="1:19" x14ac:dyDescent="0.3">
      <c r="A138" s="7" t="s">
        <v>182</v>
      </c>
      <c r="B138" s="7" t="s">
        <v>99</v>
      </c>
      <c r="C138" s="7" t="s">
        <v>144</v>
      </c>
      <c r="D138" s="7">
        <v>9</v>
      </c>
      <c r="E138" s="7">
        <v>330</v>
      </c>
      <c r="F138" s="7">
        <v>64</v>
      </c>
      <c r="G138" s="7">
        <v>13</v>
      </c>
      <c r="H138" s="7">
        <v>136</v>
      </c>
      <c r="I138" s="7" t="s">
        <v>173</v>
      </c>
      <c r="J138" s="7">
        <v>47</v>
      </c>
      <c r="K138" s="7">
        <v>5</v>
      </c>
      <c r="L138" s="7">
        <v>12</v>
      </c>
      <c r="M138" s="7">
        <v>190</v>
      </c>
      <c r="N138" s="7">
        <v>6</v>
      </c>
      <c r="O138" s="7">
        <v>35.200000000000003</v>
      </c>
      <c r="P138" s="7">
        <v>37</v>
      </c>
      <c r="Q138" s="7">
        <v>7</v>
      </c>
      <c r="R138" s="7">
        <v>7.4</v>
      </c>
      <c r="S138" s="7">
        <v>6.3583776000000007</v>
      </c>
    </row>
    <row r="139" spans="1:19" x14ac:dyDescent="0.3">
      <c r="A139" s="7" t="s">
        <v>182</v>
      </c>
      <c r="B139" s="7" t="s">
        <v>99</v>
      </c>
      <c r="C139" s="7" t="s">
        <v>144</v>
      </c>
      <c r="D139" s="7">
        <v>12</v>
      </c>
      <c r="E139" s="7">
        <v>321</v>
      </c>
      <c r="F139" s="7">
        <v>59</v>
      </c>
      <c r="G139" s="7">
        <v>14</v>
      </c>
      <c r="H139" s="7">
        <v>95</v>
      </c>
      <c r="I139" s="7" t="s">
        <v>173</v>
      </c>
      <c r="J139" s="7">
        <v>47</v>
      </c>
      <c r="K139" s="7">
        <v>5</v>
      </c>
      <c r="L139" s="7">
        <v>11</v>
      </c>
      <c r="M139" s="7">
        <v>132</v>
      </c>
      <c r="N139" s="7">
        <v>7</v>
      </c>
      <c r="O139" s="7">
        <v>30.9</v>
      </c>
      <c r="P139" s="7">
        <v>38</v>
      </c>
      <c r="Q139" s="7">
        <v>6</v>
      </c>
      <c r="R139" s="7">
        <v>7.6</v>
      </c>
      <c r="S139" s="7">
        <v>7.6739039999999994</v>
      </c>
    </row>
    <row r="140" spans="1:19" x14ac:dyDescent="0.3">
      <c r="A140" s="7" t="s">
        <v>182</v>
      </c>
      <c r="B140" s="7" t="s">
        <v>99</v>
      </c>
      <c r="C140" s="7" t="s">
        <v>144</v>
      </c>
      <c r="D140" s="7">
        <v>13</v>
      </c>
      <c r="E140" s="7">
        <v>358</v>
      </c>
      <c r="F140" s="7">
        <v>73</v>
      </c>
      <c r="G140" s="7">
        <v>15</v>
      </c>
      <c r="H140" s="7">
        <v>126</v>
      </c>
      <c r="I140" s="7" t="s">
        <v>177</v>
      </c>
      <c r="J140" s="7">
        <v>44</v>
      </c>
      <c r="K140" s="7">
        <v>2</v>
      </c>
      <c r="L140" s="7">
        <v>11</v>
      </c>
      <c r="M140" s="7">
        <v>207</v>
      </c>
      <c r="N140" s="7">
        <v>5</v>
      </c>
      <c r="O140" s="7">
        <v>52.2</v>
      </c>
      <c r="P140" s="7">
        <v>38</v>
      </c>
      <c r="Q140" s="7">
        <v>8</v>
      </c>
      <c r="R140" s="7">
        <v>7.6</v>
      </c>
      <c r="S140" s="7">
        <v>5.8256000000000014</v>
      </c>
    </row>
    <row r="141" spans="1:19" x14ac:dyDescent="0.3">
      <c r="A141" s="7" t="s">
        <v>182</v>
      </c>
      <c r="B141" s="7" t="s">
        <v>99</v>
      </c>
      <c r="C141" s="7" t="s">
        <v>144</v>
      </c>
      <c r="D141" s="7">
        <v>14</v>
      </c>
      <c r="E141" s="7">
        <v>320</v>
      </c>
      <c r="F141" s="7">
        <v>67</v>
      </c>
      <c r="G141" s="7">
        <v>14</v>
      </c>
      <c r="H141" s="7">
        <v>117</v>
      </c>
      <c r="I141" s="7" t="s">
        <v>173</v>
      </c>
      <c r="J141" s="7">
        <v>47</v>
      </c>
      <c r="K141" s="7">
        <v>5</v>
      </c>
      <c r="L141" s="7">
        <v>11</v>
      </c>
      <c r="M141" s="7">
        <v>140</v>
      </c>
      <c r="N141" s="7">
        <v>5</v>
      </c>
      <c r="O141" s="7">
        <v>30.5</v>
      </c>
      <c r="P141" s="7">
        <v>38</v>
      </c>
      <c r="Q141" s="7">
        <v>6</v>
      </c>
      <c r="R141" s="7">
        <v>7.4</v>
      </c>
      <c r="S141" s="7">
        <v>5.0555616000000008</v>
      </c>
    </row>
    <row r="142" spans="1:19" x14ac:dyDescent="0.3">
      <c r="A142" s="7" t="s">
        <v>182</v>
      </c>
      <c r="B142" s="7" t="s">
        <v>109</v>
      </c>
      <c r="C142" s="7" t="s">
        <v>146</v>
      </c>
      <c r="D142" s="7">
        <v>1</v>
      </c>
      <c r="E142" s="7">
        <v>328</v>
      </c>
      <c r="F142" s="7">
        <v>61</v>
      </c>
      <c r="G142" s="7">
        <v>14</v>
      </c>
      <c r="H142" s="7">
        <v>80</v>
      </c>
      <c r="I142" s="7" t="s">
        <v>177</v>
      </c>
      <c r="J142" s="7">
        <v>44</v>
      </c>
      <c r="K142" s="7">
        <v>2</v>
      </c>
      <c r="L142" s="7">
        <v>11</v>
      </c>
      <c r="M142" s="7">
        <v>123</v>
      </c>
      <c r="N142" s="7">
        <v>4</v>
      </c>
      <c r="O142" s="7">
        <v>41.2</v>
      </c>
      <c r="P142" s="7">
        <v>39</v>
      </c>
      <c r="Q142" s="7">
        <v>7</v>
      </c>
      <c r="R142" s="7">
        <v>7.8</v>
      </c>
      <c r="S142" s="7">
        <v>4.0037760000000002</v>
      </c>
    </row>
    <row r="143" spans="1:19" x14ac:dyDescent="0.3">
      <c r="A143" s="7" t="s">
        <v>182</v>
      </c>
      <c r="B143" s="7" t="s">
        <v>109</v>
      </c>
      <c r="C143" s="7" t="s">
        <v>146</v>
      </c>
      <c r="D143" s="7">
        <v>3</v>
      </c>
      <c r="E143" s="7">
        <v>280</v>
      </c>
      <c r="F143" s="7">
        <v>64</v>
      </c>
      <c r="G143" s="7">
        <v>14</v>
      </c>
      <c r="H143" s="7">
        <v>88</v>
      </c>
      <c r="I143" s="7" t="s">
        <v>173</v>
      </c>
      <c r="J143" s="7">
        <v>47</v>
      </c>
      <c r="K143" s="7">
        <v>5</v>
      </c>
      <c r="L143" s="7">
        <v>11</v>
      </c>
      <c r="M143" s="7">
        <v>160</v>
      </c>
      <c r="N143" s="7">
        <v>5</v>
      </c>
      <c r="O143" s="7">
        <v>34.200000000000003</v>
      </c>
      <c r="P143" s="7">
        <v>38</v>
      </c>
      <c r="Q143" s="7">
        <v>6</v>
      </c>
      <c r="R143" s="7">
        <v>7.6</v>
      </c>
      <c r="S143" s="7">
        <v>4.8193600000000014</v>
      </c>
    </row>
    <row r="144" spans="1:19" x14ac:dyDescent="0.3">
      <c r="A144" s="7" t="s">
        <v>182</v>
      </c>
      <c r="B144" s="7" t="s">
        <v>109</v>
      </c>
      <c r="C144" s="7" t="s">
        <v>146</v>
      </c>
      <c r="D144" s="7">
        <v>4</v>
      </c>
      <c r="E144" s="7">
        <v>350</v>
      </c>
      <c r="F144" s="7">
        <v>70</v>
      </c>
      <c r="G144" s="7">
        <v>15</v>
      </c>
      <c r="H144" s="7">
        <v>103</v>
      </c>
      <c r="I144" s="7" t="s">
        <v>173</v>
      </c>
      <c r="J144" s="7">
        <v>47</v>
      </c>
      <c r="K144" s="7">
        <v>5</v>
      </c>
      <c r="L144" s="7">
        <v>11</v>
      </c>
      <c r="M144" s="7">
        <v>185</v>
      </c>
      <c r="N144" s="7">
        <v>6</v>
      </c>
      <c r="O144" s="7">
        <v>49.3</v>
      </c>
      <c r="P144" s="7">
        <v>40</v>
      </c>
      <c r="Q144" s="7">
        <v>8</v>
      </c>
      <c r="R144" s="7">
        <v>7.5</v>
      </c>
      <c r="S144" s="7">
        <v>7.6262400000000001</v>
      </c>
    </row>
    <row r="145" spans="1:19" x14ac:dyDescent="0.3">
      <c r="A145" s="7" t="s">
        <v>182</v>
      </c>
      <c r="B145" s="7" t="s">
        <v>109</v>
      </c>
      <c r="C145" s="7" t="s">
        <v>146</v>
      </c>
      <c r="D145" s="7">
        <v>5</v>
      </c>
      <c r="E145" s="7">
        <v>332</v>
      </c>
      <c r="F145" s="7">
        <v>68</v>
      </c>
      <c r="G145" s="7">
        <v>10</v>
      </c>
      <c r="H145" s="7">
        <v>189</v>
      </c>
      <c r="I145" s="7" t="s">
        <v>177</v>
      </c>
      <c r="J145" s="7">
        <v>44</v>
      </c>
      <c r="K145" s="7">
        <v>2</v>
      </c>
      <c r="L145" s="7">
        <v>11</v>
      </c>
      <c r="M145" s="7">
        <v>245</v>
      </c>
      <c r="N145" s="7">
        <v>5</v>
      </c>
      <c r="O145" s="7">
        <v>51.5</v>
      </c>
      <c r="P145" s="7">
        <v>39</v>
      </c>
      <c r="Q145" s="7">
        <v>7</v>
      </c>
      <c r="R145" s="7">
        <v>8.4</v>
      </c>
      <c r="S145" s="7">
        <v>5.9738879999999996</v>
      </c>
    </row>
    <row r="146" spans="1:19" x14ac:dyDescent="0.3">
      <c r="A146" s="7" t="s">
        <v>182</v>
      </c>
      <c r="B146" s="7" t="s">
        <v>109</v>
      </c>
      <c r="C146" s="7" t="s">
        <v>146</v>
      </c>
      <c r="D146" s="7">
        <v>6</v>
      </c>
      <c r="E146" s="7">
        <v>344</v>
      </c>
      <c r="F146" s="7">
        <v>70</v>
      </c>
      <c r="G146" s="7">
        <v>15</v>
      </c>
      <c r="H146" s="7">
        <v>153</v>
      </c>
      <c r="I146" s="7" t="s">
        <v>177</v>
      </c>
      <c r="J146" s="7">
        <v>44</v>
      </c>
      <c r="K146" s="7">
        <v>2</v>
      </c>
      <c r="L146" s="7">
        <v>11</v>
      </c>
      <c r="M146" s="7">
        <v>210</v>
      </c>
      <c r="N146" s="7">
        <v>5</v>
      </c>
      <c r="O146" s="7">
        <v>52</v>
      </c>
      <c r="P146" s="7">
        <v>38</v>
      </c>
      <c r="Q146" s="7">
        <v>8</v>
      </c>
      <c r="R146" s="7">
        <v>8</v>
      </c>
      <c r="S146" s="7">
        <v>6.4876000000000014</v>
      </c>
    </row>
    <row r="147" spans="1:19" x14ac:dyDescent="0.3">
      <c r="A147" s="7" t="s">
        <v>182</v>
      </c>
      <c r="B147" s="7" t="s">
        <v>109</v>
      </c>
      <c r="C147" s="7" t="s">
        <v>146</v>
      </c>
      <c r="D147" s="7">
        <v>7</v>
      </c>
      <c r="E147" s="7">
        <v>320</v>
      </c>
      <c r="F147" s="7">
        <v>61</v>
      </c>
      <c r="G147" s="7">
        <v>12</v>
      </c>
      <c r="H147" s="7">
        <v>143</v>
      </c>
      <c r="I147" s="7" t="s">
        <v>178</v>
      </c>
      <c r="J147" s="7">
        <v>46</v>
      </c>
      <c r="K147" s="7">
        <v>4</v>
      </c>
      <c r="L147" s="7">
        <v>11</v>
      </c>
      <c r="M147" s="7">
        <v>175</v>
      </c>
      <c r="N147" s="7">
        <v>6</v>
      </c>
      <c r="O147" s="7">
        <v>40.5</v>
      </c>
      <c r="P147" s="7">
        <v>38</v>
      </c>
      <c r="Q147" s="7">
        <v>8</v>
      </c>
      <c r="R147" s="7">
        <v>8</v>
      </c>
      <c r="S147" s="7">
        <v>8.1028800000000007</v>
      </c>
    </row>
    <row r="148" spans="1:19" x14ac:dyDescent="0.3">
      <c r="A148" s="7" t="s">
        <v>182</v>
      </c>
      <c r="B148" s="7" t="s">
        <v>109</v>
      </c>
      <c r="C148" s="7" t="s">
        <v>146</v>
      </c>
      <c r="D148" s="7">
        <v>8</v>
      </c>
      <c r="E148" s="7">
        <v>340</v>
      </c>
      <c r="F148" s="7">
        <v>61</v>
      </c>
      <c r="G148" s="7">
        <v>14</v>
      </c>
      <c r="H148" s="7">
        <v>90</v>
      </c>
      <c r="I148" s="7" t="s">
        <v>175</v>
      </c>
      <c r="J148" s="7">
        <v>43</v>
      </c>
      <c r="K148" s="7">
        <v>1</v>
      </c>
      <c r="L148" s="7">
        <v>11</v>
      </c>
      <c r="M148" s="7">
        <v>160</v>
      </c>
      <c r="N148" s="7">
        <v>7</v>
      </c>
      <c r="O148" s="7">
        <v>41.5</v>
      </c>
      <c r="P148" s="7">
        <v>39</v>
      </c>
      <c r="Q148" s="7">
        <v>7</v>
      </c>
      <c r="R148" s="7">
        <v>8.1999999999999993</v>
      </c>
      <c r="S148" s="7">
        <v>7.720244000000001</v>
      </c>
    </row>
    <row r="149" spans="1:19" x14ac:dyDescent="0.3">
      <c r="A149" s="7" t="s">
        <v>182</v>
      </c>
      <c r="B149" s="7" t="s">
        <v>109</v>
      </c>
      <c r="C149" s="7" t="s">
        <v>146</v>
      </c>
      <c r="D149" s="7">
        <v>9</v>
      </c>
      <c r="E149" s="7">
        <v>340</v>
      </c>
      <c r="F149" s="7">
        <v>64</v>
      </c>
      <c r="G149" s="7">
        <v>13</v>
      </c>
      <c r="H149" s="7">
        <v>130</v>
      </c>
      <c r="I149" s="7" t="s">
        <v>174</v>
      </c>
      <c r="J149" s="7">
        <v>42</v>
      </c>
      <c r="K149" s="7">
        <v>52</v>
      </c>
      <c r="L149" s="7">
        <v>10</v>
      </c>
      <c r="M149" s="7">
        <v>170</v>
      </c>
      <c r="N149" s="7">
        <v>7</v>
      </c>
      <c r="O149" s="7">
        <v>44</v>
      </c>
      <c r="P149" s="7">
        <v>39</v>
      </c>
      <c r="Q149" s="7">
        <v>7</v>
      </c>
      <c r="R149" s="7">
        <v>8</v>
      </c>
      <c r="S149" s="7">
        <v>7.5385912000000017</v>
      </c>
    </row>
    <row r="150" spans="1:19" x14ac:dyDescent="0.3">
      <c r="A150" s="7" t="s">
        <v>182</v>
      </c>
      <c r="B150" s="7" t="s">
        <v>109</v>
      </c>
      <c r="C150" s="7" t="s">
        <v>146</v>
      </c>
      <c r="D150" s="7">
        <v>10</v>
      </c>
      <c r="E150" s="7">
        <v>300</v>
      </c>
      <c r="F150" s="7">
        <v>54</v>
      </c>
      <c r="G150" s="7">
        <v>12</v>
      </c>
      <c r="H150" s="7">
        <v>83</v>
      </c>
      <c r="I150" s="7" t="s">
        <v>174</v>
      </c>
      <c r="J150" s="7">
        <v>42</v>
      </c>
      <c r="K150" s="7">
        <v>52</v>
      </c>
      <c r="L150" s="7">
        <v>11</v>
      </c>
      <c r="M150" s="7">
        <v>104</v>
      </c>
      <c r="N150" s="7">
        <v>5</v>
      </c>
      <c r="O150" s="7">
        <v>35</v>
      </c>
      <c r="P150" s="7">
        <v>39</v>
      </c>
      <c r="Q150" s="7">
        <v>6</v>
      </c>
      <c r="R150" s="7">
        <v>7.6</v>
      </c>
      <c r="S150" s="7">
        <v>4.448640000000001</v>
      </c>
    </row>
    <row r="151" spans="1:19" x14ac:dyDescent="0.3">
      <c r="A151" s="7" t="s">
        <v>182</v>
      </c>
      <c r="B151" s="7" t="s">
        <v>109</v>
      </c>
      <c r="C151" s="7" t="s">
        <v>146</v>
      </c>
      <c r="D151" s="7">
        <v>11</v>
      </c>
      <c r="E151" s="7">
        <v>315</v>
      </c>
      <c r="F151" s="7">
        <v>53</v>
      </c>
      <c r="G151" s="7">
        <v>12</v>
      </c>
      <c r="H151" s="7">
        <v>133</v>
      </c>
      <c r="I151" s="7" t="s">
        <v>176</v>
      </c>
      <c r="J151" s="7">
        <v>45</v>
      </c>
      <c r="K151" s="7">
        <v>3</v>
      </c>
      <c r="L151" s="7">
        <v>11</v>
      </c>
      <c r="M151" s="7">
        <v>170</v>
      </c>
      <c r="N151" s="7">
        <v>4</v>
      </c>
      <c r="O151" s="7">
        <v>24</v>
      </c>
      <c r="P151" s="7">
        <v>37</v>
      </c>
      <c r="Q151" s="7">
        <v>6</v>
      </c>
      <c r="R151" s="7">
        <v>7.4</v>
      </c>
      <c r="S151" s="7">
        <v>3.7961728000000008</v>
      </c>
    </row>
    <row r="152" spans="1:19" x14ac:dyDescent="0.3">
      <c r="A152" s="7" t="s">
        <v>182</v>
      </c>
      <c r="B152" s="7" t="s">
        <v>109</v>
      </c>
      <c r="C152" s="7" t="s">
        <v>146</v>
      </c>
      <c r="D152" s="7">
        <v>12</v>
      </c>
      <c r="E152" s="7">
        <v>325</v>
      </c>
      <c r="F152" s="7">
        <v>63</v>
      </c>
      <c r="G152" s="7">
        <v>11</v>
      </c>
      <c r="H152" s="7">
        <v>140</v>
      </c>
      <c r="I152" s="7" t="s">
        <v>173</v>
      </c>
      <c r="J152" s="7">
        <v>47</v>
      </c>
      <c r="K152" s="7">
        <v>5</v>
      </c>
      <c r="L152" s="7">
        <v>11</v>
      </c>
      <c r="M152" s="7">
        <v>204</v>
      </c>
      <c r="N152" s="7">
        <v>4</v>
      </c>
      <c r="O152" s="7">
        <v>46.5</v>
      </c>
      <c r="P152" s="7">
        <v>39</v>
      </c>
      <c r="Q152" s="7">
        <v>7</v>
      </c>
      <c r="R152" s="7">
        <v>7.8</v>
      </c>
      <c r="S152" s="7">
        <v>4.6265856000000012</v>
      </c>
    </row>
    <row r="153" spans="1:19" x14ac:dyDescent="0.3">
      <c r="A153" s="7" t="s">
        <v>182</v>
      </c>
      <c r="B153" s="7" t="s">
        <v>109</v>
      </c>
      <c r="C153" s="7" t="s">
        <v>146</v>
      </c>
      <c r="D153" s="7">
        <v>14</v>
      </c>
      <c r="E153" s="7">
        <v>322</v>
      </c>
      <c r="F153" s="7">
        <v>64</v>
      </c>
      <c r="G153" s="7">
        <v>13</v>
      </c>
      <c r="H153" s="7">
        <v>128</v>
      </c>
      <c r="I153" s="7" t="s">
        <v>177</v>
      </c>
      <c r="J153" s="7">
        <v>44</v>
      </c>
      <c r="K153" s="7">
        <v>2</v>
      </c>
      <c r="L153" s="7">
        <v>11</v>
      </c>
      <c r="M153" s="7">
        <v>180</v>
      </c>
      <c r="N153" s="7">
        <v>4</v>
      </c>
      <c r="O153" s="7">
        <v>48.9</v>
      </c>
      <c r="P153" s="7">
        <v>39</v>
      </c>
      <c r="Q153" s="7">
        <v>7</v>
      </c>
      <c r="R153" s="7">
        <v>7.6</v>
      </c>
      <c r="S153" s="7">
        <v>4.5960806399999994</v>
      </c>
    </row>
    <row r="154" spans="1:19" x14ac:dyDescent="0.3">
      <c r="A154" s="7" t="s">
        <v>182</v>
      </c>
      <c r="B154" s="7" t="s">
        <v>99</v>
      </c>
      <c r="C154" s="7" t="s">
        <v>147</v>
      </c>
      <c r="D154" s="7">
        <v>1</v>
      </c>
      <c r="E154" s="7">
        <v>350</v>
      </c>
      <c r="F154" s="7">
        <v>69</v>
      </c>
      <c r="G154" s="7">
        <v>14</v>
      </c>
      <c r="H154" s="7">
        <v>170</v>
      </c>
      <c r="I154" s="7" t="s">
        <v>174</v>
      </c>
      <c r="J154" s="7">
        <v>42</v>
      </c>
      <c r="K154" s="7">
        <v>52</v>
      </c>
      <c r="L154" s="7">
        <v>11</v>
      </c>
      <c r="M154" s="7">
        <v>230</v>
      </c>
      <c r="N154" s="7">
        <v>6</v>
      </c>
      <c r="O154" s="7">
        <v>52</v>
      </c>
      <c r="P154" s="7">
        <v>39</v>
      </c>
      <c r="Q154" s="7">
        <v>8</v>
      </c>
      <c r="R154" s="7">
        <v>8.1999999999999993</v>
      </c>
      <c r="S154" s="7">
        <v>5.9738880000000014</v>
      </c>
    </row>
    <row r="155" spans="1:19" x14ac:dyDescent="0.3">
      <c r="A155" s="7" t="s">
        <v>182</v>
      </c>
      <c r="B155" s="7" t="s">
        <v>99</v>
      </c>
      <c r="C155" s="7" t="s">
        <v>147</v>
      </c>
      <c r="D155" s="7">
        <v>2</v>
      </c>
      <c r="E155" s="7">
        <v>330</v>
      </c>
      <c r="F155" s="7">
        <v>61</v>
      </c>
      <c r="G155" s="7">
        <v>13</v>
      </c>
      <c r="H155" s="7">
        <v>116</v>
      </c>
      <c r="I155" s="7" t="s">
        <v>175</v>
      </c>
      <c r="J155" s="7">
        <v>43</v>
      </c>
      <c r="K155" s="7">
        <v>1</v>
      </c>
      <c r="L155" s="7">
        <v>10</v>
      </c>
      <c r="M155" s="7">
        <v>162</v>
      </c>
      <c r="N155" s="7">
        <v>8</v>
      </c>
      <c r="O155" s="7">
        <v>42</v>
      </c>
      <c r="P155" s="7">
        <v>39</v>
      </c>
      <c r="Q155" s="7">
        <v>7</v>
      </c>
      <c r="R155" s="7">
        <v>8</v>
      </c>
      <c r="S155" s="7">
        <v>7.7363968000000014</v>
      </c>
    </row>
    <row r="156" spans="1:19" x14ac:dyDescent="0.3">
      <c r="A156" s="7" t="s">
        <v>182</v>
      </c>
      <c r="B156" s="7" t="s">
        <v>99</v>
      </c>
      <c r="C156" s="7" t="s">
        <v>147</v>
      </c>
      <c r="D156" s="7">
        <v>3</v>
      </c>
      <c r="E156" s="7">
        <v>322</v>
      </c>
      <c r="F156" s="7">
        <v>64</v>
      </c>
      <c r="G156" s="7">
        <v>12</v>
      </c>
      <c r="H156" s="7">
        <v>145</v>
      </c>
      <c r="I156" s="7" t="s">
        <v>178</v>
      </c>
      <c r="J156" s="7">
        <v>46</v>
      </c>
      <c r="K156" s="7">
        <v>4</v>
      </c>
      <c r="L156" s="7">
        <v>11</v>
      </c>
      <c r="M156" s="7">
        <v>193</v>
      </c>
      <c r="N156" s="7">
        <v>5</v>
      </c>
      <c r="O156" s="7">
        <v>41.2</v>
      </c>
      <c r="P156" s="7">
        <v>38</v>
      </c>
      <c r="Q156" s="7">
        <v>7</v>
      </c>
      <c r="R156" s="7">
        <v>8.1999999999999993</v>
      </c>
      <c r="S156" s="7">
        <v>5.5422640000000003</v>
      </c>
    </row>
    <row r="157" spans="1:19" x14ac:dyDescent="0.3">
      <c r="A157" s="7" t="s">
        <v>182</v>
      </c>
      <c r="B157" s="7" t="s">
        <v>99</v>
      </c>
      <c r="C157" s="7" t="s">
        <v>147</v>
      </c>
      <c r="D157" s="7">
        <v>6</v>
      </c>
      <c r="E157" s="7">
        <v>355</v>
      </c>
      <c r="F157" s="7">
        <v>69</v>
      </c>
      <c r="G157" s="7">
        <v>12</v>
      </c>
      <c r="H157" s="7">
        <v>168</v>
      </c>
      <c r="I157" s="7" t="s">
        <v>178</v>
      </c>
      <c r="J157" s="7">
        <v>46</v>
      </c>
      <c r="K157" s="7">
        <v>4</v>
      </c>
      <c r="L157" s="7">
        <v>11</v>
      </c>
      <c r="M157" s="7">
        <v>215</v>
      </c>
      <c r="N157" s="7">
        <v>5</v>
      </c>
      <c r="O157" s="7">
        <v>45</v>
      </c>
      <c r="P157" s="7">
        <v>38</v>
      </c>
      <c r="Q157" s="7">
        <v>8</v>
      </c>
      <c r="R157" s="7">
        <v>7.6</v>
      </c>
      <c r="S157" s="7">
        <v>6.0374400000000001</v>
      </c>
    </row>
    <row r="158" spans="1:19" x14ac:dyDescent="0.3">
      <c r="A158" s="7" t="s">
        <v>182</v>
      </c>
      <c r="B158" s="7" t="s">
        <v>99</v>
      </c>
      <c r="C158" s="7" t="s">
        <v>147</v>
      </c>
      <c r="D158" s="7">
        <v>7</v>
      </c>
      <c r="E158" s="7">
        <v>340</v>
      </c>
      <c r="F158" s="7">
        <v>61</v>
      </c>
      <c r="G158" s="7">
        <v>12</v>
      </c>
      <c r="H158" s="7">
        <v>185</v>
      </c>
      <c r="I158" s="7" t="s">
        <v>177</v>
      </c>
      <c r="J158" s="7">
        <v>44</v>
      </c>
      <c r="K158" s="7">
        <v>2</v>
      </c>
      <c r="L158" s="7">
        <v>12</v>
      </c>
      <c r="M158" s="7">
        <v>217</v>
      </c>
      <c r="N158" s="7">
        <v>5</v>
      </c>
      <c r="O158" s="7">
        <v>31.5</v>
      </c>
      <c r="P158" s="7">
        <v>37</v>
      </c>
      <c r="Q158" s="7">
        <v>6</v>
      </c>
      <c r="R158" s="7">
        <v>7</v>
      </c>
      <c r="S158" s="7">
        <v>5.2946760000000008</v>
      </c>
    </row>
    <row r="159" spans="1:19" x14ac:dyDescent="0.3">
      <c r="A159" s="7" t="s">
        <v>182</v>
      </c>
      <c r="B159" s="7" t="s">
        <v>99</v>
      </c>
      <c r="C159" s="7" t="s">
        <v>147</v>
      </c>
      <c r="D159" s="7">
        <v>9</v>
      </c>
      <c r="E159" s="7">
        <v>354</v>
      </c>
      <c r="F159" s="7">
        <v>66</v>
      </c>
      <c r="G159" s="7">
        <v>13</v>
      </c>
      <c r="H159" s="7">
        <v>164</v>
      </c>
      <c r="I159" s="7" t="s">
        <v>178</v>
      </c>
      <c r="J159" s="7">
        <v>46</v>
      </c>
      <c r="K159" s="7">
        <v>4</v>
      </c>
      <c r="L159" s="7">
        <v>11</v>
      </c>
      <c r="M159" s="7">
        <v>212</v>
      </c>
      <c r="N159" s="7">
        <v>5</v>
      </c>
      <c r="O159" s="7">
        <v>44.6</v>
      </c>
      <c r="P159" s="7">
        <v>38</v>
      </c>
      <c r="Q159" s="7">
        <v>7</v>
      </c>
      <c r="R159" s="7">
        <v>8.4</v>
      </c>
      <c r="S159" s="7">
        <v>5.1768400000000003</v>
      </c>
    </row>
    <row r="160" spans="1:19" x14ac:dyDescent="0.3">
      <c r="A160" s="7" t="s">
        <v>182</v>
      </c>
      <c r="B160" s="7" t="s">
        <v>99</v>
      </c>
      <c r="C160" s="7" t="s">
        <v>147</v>
      </c>
      <c r="D160" s="7">
        <v>10</v>
      </c>
      <c r="E160" s="7">
        <v>300</v>
      </c>
      <c r="F160" s="7">
        <v>51</v>
      </c>
      <c r="G160" s="7">
        <v>10</v>
      </c>
      <c r="H160" s="7">
        <v>90</v>
      </c>
      <c r="I160" s="7" t="s">
        <v>176</v>
      </c>
      <c r="J160" s="7">
        <v>45</v>
      </c>
      <c r="K160" s="7">
        <v>3</v>
      </c>
      <c r="L160" s="7">
        <v>11</v>
      </c>
      <c r="M160" s="7">
        <v>123</v>
      </c>
      <c r="N160" s="7">
        <v>5</v>
      </c>
      <c r="O160" s="7">
        <v>24.6</v>
      </c>
      <c r="P160" s="7">
        <v>38</v>
      </c>
      <c r="Q160" s="7">
        <v>6</v>
      </c>
      <c r="R160" s="7">
        <v>7.6</v>
      </c>
      <c r="S160" s="7">
        <v>3.4614655999999999</v>
      </c>
    </row>
    <row r="161" spans="1:19" x14ac:dyDescent="0.3">
      <c r="A161" s="7" t="s">
        <v>182</v>
      </c>
      <c r="B161" s="7" t="s">
        <v>99</v>
      </c>
      <c r="C161" s="7" t="s">
        <v>147</v>
      </c>
      <c r="D161" s="7">
        <v>13</v>
      </c>
      <c r="E161" s="7">
        <v>300</v>
      </c>
      <c r="F161" s="7">
        <v>60</v>
      </c>
      <c r="G161" s="7">
        <v>13</v>
      </c>
      <c r="H161" s="7">
        <v>76</v>
      </c>
      <c r="I161" s="7" t="s">
        <v>173</v>
      </c>
      <c r="J161" s="7">
        <v>47</v>
      </c>
      <c r="K161" s="7">
        <v>5</v>
      </c>
      <c r="L161" s="7">
        <v>11</v>
      </c>
      <c r="M161" s="7">
        <v>143</v>
      </c>
      <c r="N161" s="7">
        <v>5</v>
      </c>
      <c r="O161" s="7">
        <v>29.8</v>
      </c>
      <c r="P161" s="7">
        <v>39</v>
      </c>
      <c r="Q161" s="7">
        <v>6</v>
      </c>
      <c r="R161" s="7">
        <v>8.4</v>
      </c>
      <c r="S161" s="7">
        <v>4.8723200000000002</v>
      </c>
    </row>
    <row r="162" spans="1:19" x14ac:dyDescent="0.3">
      <c r="A162" s="7" t="s">
        <v>182</v>
      </c>
      <c r="B162" s="7" t="s">
        <v>109</v>
      </c>
      <c r="C162" s="7" t="s">
        <v>144</v>
      </c>
      <c r="D162" s="7">
        <v>3</v>
      </c>
      <c r="E162" s="7">
        <v>320</v>
      </c>
      <c r="F162" s="7">
        <v>64</v>
      </c>
      <c r="G162" s="7">
        <v>13</v>
      </c>
      <c r="H162" s="7">
        <v>105</v>
      </c>
      <c r="I162" s="7" t="s">
        <v>180</v>
      </c>
      <c r="J162" s="7">
        <v>48</v>
      </c>
      <c r="K162" s="7">
        <v>6</v>
      </c>
      <c r="L162" s="7">
        <v>11</v>
      </c>
      <c r="M162" s="7">
        <v>195</v>
      </c>
      <c r="N162" s="7">
        <v>5</v>
      </c>
      <c r="O162" s="7">
        <v>43.5</v>
      </c>
      <c r="P162" s="7">
        <v>39</v>
      </c>
      <c r="Q162" s="7">
        <v>7</v>
      </c>
      <c r="R162" s="7">
        <v>8.4</v>
      </c>
      <c r="S162" s="7">
        <v>5.0047200000000007</v>
      </c>
    </row>
    <row r="163" spans="1:19" x14ac:dyDescent="0.3">
      <c r="A163" s="7" t="s">
        <v>182</v>
      </c>
      <c r="B163" s="7" t="s">
        <v>109</v>
      </c>
      <c r="C163" s="7" t="s">
        <v>144</v>
      </c>
      <c r="D163" s="7">
        <v>4</v>
      </c>
      <c r="E163" s="7">
        <v>305</v>
      </c>
      <c r="F163" s="7">
        <v>61</v>
      </c>
      <c r="G163" s="7">
        <v>14</v>
      </c>
      <c r="H163" s="7">
        <v>145</v>
      </c>
      <c r="I163" s="7" t="s">
        <v>176</v>
      </c>
      <c r="J163" s="7">
        <v>45</v>
      </c>
      <c r="K163" s="7">
        <v>3</v>
      </c>
      <c r="L163" s="7">
        <v>11</v>
      </c>
      <c r="M163" s="7">
        <v>186</v>
      </c>
      <c r="N163" s="7">
        <v>6</v>
      </c>
      <c r="O163" s="7">
        <v>29.4</v>
      </c>
      <c r="P163" s="7">
        <v>38</v>
      </c>
      <c r="Q163" s="7">
        <v>6</v>
      </c>
      <c r="R163" s="7">
        <v>7.8</v>
      </c>
      <c r="S163" s="7">
        <v>6.1518336000000016</v>
      </c>
    </row>
    <row r="164" spans="1:19" x14ac:dyDescent="0.3">
      <c r="A164" s="7" t="s">
        <v>182</v>
      </c>
      <c r="B164" s="7" t="s">
        <v>109</v>
      </c>
      <c r="C164" s="7" t="s">
        <v>144</v>
      </c>
      <c r="D164" s="7">
        <v>6</v>
      </c>
      <c r="E164" s="7">
        <v>340</v>
      </c>
      <c r="F164" s="7">
        <v>64</v>
      </c>
      <c r="G164" s="7">
        <v>15</v>
      </c>
      <c r="H164" s="7">
        <v>150</v>
      </c>
      <c r="I164" s="7" t="s">
        <v>175</v>
      </c>
      <c r="J164" s="7">
        <v>43</v>
      </c>
      <c r="K164" s="7">
        <v>1</v>
      </c>
      <c r="L164" s="7">
        <v>11</v>
      </c>
      <c r="M164" s="7">
        <v>203</v>
      </c>
      <c r="N164" s="7">
        <v>7</v>
      </c>
      <c r="O164" s="7">
        <v>38.5</v>
      </c>
      <c r="P164" s="7">
        <v>38</v>
      </c>
      <c r="Q164" s="7">
        <v>7</v>
      </c>
      <c r="R164" s="7">
        <v>8</v>
      </c>
      <c r="S164" s="7">
        <v>8.1854976000000015</v>
      </c>
    </row>
    <row r="165" spans="1:19" x14ac:dyDescent="0.3">
      <c r="A165" s="7" t="s">
        <v>182</v>
      </c>
      <c r="B165" s="7" t="s">
        <v>109</v>
      </c>
      <c r="C165" s="7" t="s">
        <v>144</v>
      </c>
      <c r="D165" s="7">
        <v>7</v>
      </c>
      <c r="E165" s="7">
        <v>350</v>
      </c>
      <c r="F165" s="7">
        <v>72</v>
      </c>
      <c r="G165" s="7">
        <v>13</v>
      </c>
      <c r="H165" s="7">
        <v>140</v>
      </c>
      <c r="I165" s="7" t="s">
        <v>177</v>
      </c>
      <c r="J165" s="7">
        <v>44</v>
      </c>
      <c r="K165" s="7">
        <v>2</v>
      </c>
      <c r="L165" s="7">
        <v>11</v>
      </c>
      <c r="M165" s="7">
        <v>215</v>
      </c>
      <c r="N165" s="7">
        <v>5</v>
      </c>
      <c r="O165" s="7">
        <v>48</v>
      </c>
      <c r="P165" s="7">
        <v>38</v>
      </c>
      <c r="Q165" s="7">
        <v>7</v>
      </c>
      <c r="R165" s="7">
        <v>8</v>
      </c>
      <c r="S165" s="7">
        <v>5.1159360000000014</v>
      </c>
    </row>
    <row r="166" spans="1:19" x14ac:dyDescent="0.3">
      <c r="A166" s="7" t="s">
        <v>182</v>
      </c>
      <c r="B166" s="7" t="s">
        <v>109</v>
      </c>
      <c r="C166" s="7" t="s">
        <v>144</v>
      </c>
      <c r="D166" s="7">
        <v>8</v>
      </c>
      <c r="E166" s="7">
        <v>320</v>
      </c>
      <c r="F166" s="7">
        <v>71</v>
      </c>
      <c r="G166" s="7">
        <v>14</v>
      </c>
      <c r="H166" s="7">
        <v>100</v>
      </c>
      <c r="I166" s="7" t="s">
        <v>174</v>
      </c>
      <c r="J166" s="7">
        <v>42</v>
      </c>
      <c r="K166" s="7">
        <v>52</v>
      </c>
      <c r="L166" s="7">
        <v>12</v>
      </c>
      <c r="M166" s="7">
        <v>200</v>
      </c>
      <c r="N166" s="7">
        <v>5</v>
      </c>
      <c r="O166" s="7">
        <v>31.4</v>
      </c>
      <c r="P166" s="7">
        <v>40</v>
      </c>
      <c r="Q166" s="7">
        <v>7</v>
      </c>
      <c r="R166" s="7">
        <v>8.1999999999999993</v>
      </c>
      <c r="S166" s="7">
        <v>5.0550319999999997</v>
      </c>
    </row>
    <row r="167" spans="1:19" x14ac:dyDescent="0.3">
      <c r="A167" s="7" t="s">
        <v>182</v>
      </c>
      <c r="B167" s="7" t="s">
        <v>109</v>
      </c>
      <c r="C167" s="7" t="s">
        <v>144</v>
      </c>
      <c r="D167" s="7">
        <v>9</v>
      </c>
      <c r="E167" s="7">
        <v>352</v>
      </c>
      <c r="F167" s="7">
        <v>64</v>
      </c>
      <c r="G167" s="7">
        <v>14</v>
      </c>
      <c r="H167" s="7">
        <v>100</v>
      </c>
      <c r="I167" s="7" t="s">
        <v>174</v>
      </c>
      <c r="J167" s="7">
        <v>42</v>
      </c>
      <c r="K167" s="7">
        <v>52</v>
      </c>
      <c r="L167" s="7">
        <v>11</v>
      </c>
      <c r="M167" s="7">
        <v>174</v>
      </c>
      <c r="N167" s="7">
        <v>8</v>
      </c>
      <c r="O167" s="7">
        <v>42</v>
      </c>
      <c r="P167" s="7">
        <v>39</v>
      </c>
      <c r="Q167" s="7">
        <v>7</v>
      </c>
      <c r="R167" s="7">
        <v>8.1999999999999993</v>
      </c>
      <c r="S167" s="7">
        <v>8.2109183999999988</v>
      </c>
    </row>
    <row r="168" spans="1:19" x14ac:dyDescent="0.3">
      <c r="A168" s="7" t="s">
        <v>182</v>
      </c>
      <c r="B168" s="7" t="s">
        <v>109</v>
      </c>
      <c r="C168" s="7" t="s">
        <v>144</v>
      </c>
      <c r="D168" s="7">
        <v>10</v>
      </c>
      <c r="E168" s="7">
        <v>320</v>
      </c>
      <c r="F168" s="7">
        <v>66</v>
      </c>
      <c r="G168" s="7">
        <v>13</v>
      </c>
      <c r="H168" s="7">
        <v>75</v>
      </c>
      <c r="I168" s="7" t="s">
        <v>173</v>
      </c>
      <c r="J168" s="7">
        <v>47</v>
      </c>
      <c r="K168" s="7">
        <v>5</v>
      </c>
      <c r="L168" s="7">
        <v>11</v>
      </c>
      <c r="M168" s="7">
        <v>145</v>
      </c>
      <c r="N168" s="7">
        <v>6</v>
      </c>
      <c r="O168" s="7">
        <v>35.5</v>
      </c>
      <c r="P168" s="7">
        <v>37</v>
      </c>
      <c r="Q168" s="7">
        <v>7</v>
      </c>
      <c r="R168" s="7">
        <v>8</v>
      </c>
      <c r="S168" s="7">
        <v>6.5712768000000006</v>
      </c>
    </row>
    <row r="169" spans="1:19" x14ac:dyDescent="0.3">
      <c r="A169" s="7" t="s">
        <v>182</v>
      </c>
      <c r="B169" s="7" t="s">
        <v>109</v>
      </c>
      <c r="C169" s="7" t="s">
        <v>144</v>
      </c>
      <c r="D169" s="7">
        <v>11</v>
      </c>
      <c r="E169" s="7">
        <v>315</v>
      </c>
      <c r="F169" s="7">
        <v>64</v>
      </c>
      <c r="G169" s="7">
        <v>14</v>
      </c>
      <c r="H169" s="7">
        <v>55</v>
      </c>
      <c r="I169" s="7" t="s">
        <v>173</v>
      </c>
      <c r="J169" s="7">
        <v>47</v>
      </c>
      <c r="K169" s="7">
        <v>5</v>
      </c>
      <c r="L169" s="7">
        <v>12</v>
      </c>
      <c r="M169" s="7">
        <v>130</v>
      </c>
      <c r="N169" s="7">
        <v>4</v>
      </c>
      <c r="O169" s="7">
        <v>34</v>
      </c>
      <c r="P169" s="7">
        <v>37</v>
      </c>
      <c r="Q169" s="7">
        <v>6</v>
      </c>
      <c r="R169" s="7">
        <v>7.2</v>
      </c>
      <c r="S169" s="7">
        <v>4.7293280000000006</v>
      </c>
    </row>
    <row r="170" spans="1:19" x14ac:dyDescent="0.3">
      <c r="A170" s="7" t="s">
        <v>182</v>
      </c>
      <c r="B170" s="7" t="s">
        <v>109</v>
      </c>
      <c r="C170" s="7" t="s">
        <v>144</v>
      </c>
      <c r="D170" s="7">
        <v>14</v>
      </c>
      <c r="E170" s="7">
        <v>324</v>
      </c>
      <c r="F170" s="7">
        <v>66</v>
      </c>
      <c r="G170" s="7">
        <v>12</v>
      </c>
      <c r="H170" s="7">
        <v>130</v>
      </c>
      <c r="I170" s="7" t="s">
        <v>178</v>
      </c>
      <c r="J170" s="7">
        <v>46</v>
      </c>
      <c r="K170" s="7">
        <v>4</v>
      </c>
      <c r="L170" s="7">
        <v>11</v>
      </c>
      <c r="M170" s="7">
        <v>194</v>
      </c>
      <c r="N170" s="7">
        <v>6</v>
      </c>
      <c r="O170" s="7">
        <v>42.4</v>
      </c>
      <c r="P170" s="7">
        <v>39</v>
      </c>
      <c r="Q170" s="7">
        <v>8</v>
      </c>
      <c r="R170" s="7">
        <v>8.4</v>
      </c>
      <c r="S170" s="7">
        <v>6.7530355200000001</v>
      </c>
    </row>
    <row r="171" spans="1:19" x14ac:dyDescent="0.3">
      <c r="A171" s="7" t="s">
        <v>182</v>
      </c>
      <c r="B171" s="7" t="s">
        <v>97</v>
      </c>
      <c r="C171" s="7" t="s">
        <v>147</v>
      </c>
      <c r="D171" s="7">
        <v>4</v>
      </c>
      <c r="E171" s="7">
        <v>342</v>
      </c>
      <c r="F171" s="7">
        <v>65</v>
      </c>
      <c r="G171" s="7">
        <v>13</v>
      </c>
      <c r="H171" s="7">
        <v>135</v>
      </c>
      <c r="I171" s="7" t="s">
        <v>177</v>
      </c>
      <c r="J171" s="7">
        <v>44</v>
      </c>
      <c r="K171" s="7">
        <v>2</v>
      </c>
      <c r="L171" s="7">
        <v>12</v>
      </c>
      <c r="M171" s="7">
        <v>204</v>
      </c>
      <c r="N171" s="7">
        <v>4</v>
      </c>
      <c r="O171" s="7">
        <v>40.700000000000003</v>
      </c>
      <c r="P171" s="7">
        <v>37</v>
      </c>
      <c r="Q171" s="7">
        <v>7</v>
      </c>
      <c r="R171" s="7">
        <v>7.4</v>
      </c>
      <c r="S171" s="7">
        <v>4.3768262400000006</v>
      </c>
    </row>
    <row r="172" spans="1:19" x14ac:dyDescent="0.3">
      <c r="A172" s="7" t="s">
        <v>182</v>
      </c>
      <c r="B172" s="7" t="s">
        <v>97</v>
      </c>
      <c r="C172" s="7" t="s">
        <v>147</v>
      </c>
      <c r="D172" s="7">
        <v>6</v>
      </c>
      <c r="E172" s="7">
        <v>342</v>
      </c>
      <c r="F172" s="7">
        <v>63</v>
      </c>
      <c r="G172" s="7">
        <v>14</v>
      </c>
      <c r="H172" s="7">
        <v>162</v>
      </c>
      <c r="I172" s="7" t="s">
        <v>175</v>
      </c>
      <c r="J172" s="7">
        <v>43</v>
      </c>
      <c r="K172" s="7">
        <v>1</v>
      </c>
      <c r="L172" s="7">
        <v>12</v>
      </c>
      <c r="M172" s="7">
        <v>186</v>
      </c>
      <c r="N172" s="7">
        <v>4</v>
      </c>
      <c r="O172" s="7">
        <v>38.200000000000003</v>
      </c>
      <c r="P172" s="7">
        <v>39</v>
      </c>
      <c r="Q172" s="7">
        <v>7</v>
      </c>
      <c r="R172" s="7">
        <v>7.6</v>
      </c>
      <c r="S172" s="7">
        <v>4.4804160000000008</v>
      </c>
    </row>
    <row r="173" spans="1:19" x14ac:dyDescent="0.3">
      <c r="A173" s="7" t="s">
        <v>182</v>
      </c>
      <c r="B173" s="7" t="s">
        <v>97</v>
      </c>
      <c r="C173" s="7" t="s">
        <v>147</v>
      </c>
      <c r="D173" s="7">
        <v>8</v>
      </c>
      <c r="E173" s="7">
        <v>363</v>
      </c>
      <c r="F173" s="7">
        <v>71</v>
      </c>
      <c r="G173" s="7">
        <v>15</v>
      </c>
      <c r="H173" s="7">
        <v>130</v>
      </c>
      <c r="I173" s="7" t="s">
        <v>175</v>
      </c>
      <c r="J173" s="7">
        <v>43</v>
      </c>
      <c r="K173" s="7">
        <v>1</v>
      </c>
      <c r="L173" s="7">
        <v>11</v>
      </c>
      <c r="M173" s="7">
        <v>210</v>
      </c>
      <c r="N173" s="7">
        <v>7</v>
      </c>
      <c r="O173" s="7">
        <v>51</v>
      </c>
      <c r="P173" s="7">
        <v>39</v>
      </c>
      <c r="Q173" s="7">
        <v>8</v>
      </c>
      <c r="R173" s="7">
        <v>7.6</v>
      </c>
      <c r="S173" s="7">
        <v>7.7591696000000008</v>
      </c>
    </row>
    <row r="174" spans="1:19" x14ac:dyDescent="0.3">
      <c r="A174" s="7" t="s">
        <v>182</v>
      </c>
      <c r="B174" s="7" t="s">
        <v>97</v>
      </c>
      <c r="C174" s="7" t="s">
        <v>147</v>
      </c>
      <c r="D174" s="7">
        <v>9</v>
      </c>
      <c r="E174" s="7">
        <v>340</v>
      </c>
      <c r="F174" s="7">
        <v>65</v>
      </c>
      <c r="G174" s="7">
        <v>13</v>
      </c>
      <c r="H174" s="7">
        <v>126</v>
      </c>
      <c r="I174" s="7" t="s">
        <v>175</v>
      </c>
      <c r="J174" s="7">
        <v>43</v>
      </c>
      <c r="K174" s="7">
        <v>1</v>
      </c>
      <c r="L174" s="7">
        <v>12</v>
      </c>
      <c r="M174" s="7">
        <v>165</v>
      </c>
      <c r="N174" s="7">
        <v>6</v>
      </c>
      <c r="O174" s="7">
        <v>34.5</v>
      </c>
      <c r="P174" s="7">
        <v>37</v>
      </c>
      <c r="Q174" s="7">
        <v>6</v>
      </c>
      <c r="R174" s="7">
        <v>7.6</v>
      </c>
      <c r="S174" s="7">
        <v>5.8626719999999999</v>
      </c>
    </row>
    <row r="175" spans="1:19" x14ac:dyDescent="0.3">
      <c r="A175" s="7" t="s">
        <v>182</v>
      </c>
      <c r="B175" s="7" t="s">
        <v>97</v>
      </c>
      <c r="C175" s="7" t="s">
        <v>147</v>
      </c>
      <c r="D175" s="7">
        <v>10</v>
      </c>
      <c r="E175" s="7">
        <v>290</v>
      </c>
      <c r="F175" s="7">
        <v>53</v>
      </c>
      <c r="G175" s="7">
        <v>11</v>
      </c>
      <c r="H175" s="7">
        <v>75</v>
      </c>
      <c r="I175" s="7" t="s">
        <v>179</v>
      </c>
      <c r="J175" s="7">
        <v>41</v>
      </c>
      <c r="K175" s="7">
        <v>51</v>
      </c>
      <c r="L175" s="7">
        <v>11</v>
      </c>
      <c r="M175" s="7">
        <v>174</v>
      </c>
      <c r="N175" s="7">
        <v>7</v>
      </c>
      <c r="O175" s="7">
        <v>35</v>
      </c>
      <c r="P175" s="7">
        <v>39</v>
      </c>
      <c r="Q175" s="7">
        <v>6</v>
      </c>
      <c r="R175" s="7">
        <v>7.8</v>
      </c>
      <c r="S175" s="7">
        <v>5.42178</v>
      </c>
    </row>
    <row r="176" spans="1:19" x14ac:dyDescent="0.3">
      <c r="A176" s="7" t="s">
        <v>182</v>
      </c>
      <c r="B176" s="7" t="s">
        <v>97</v>
      </c>
      <c r="C176" s="7" t="s">
        <v>147</v>
      </c>
      <c r="D176" s="7">
        <v>11</v>
      </c>
      <c r="E176" s="7">
        <v>340</v>
      </c>
      <c r="F176" s="7">
        <v>65</v>
      </c>
      <c r="G176" s="7">
        <v>13</v>
      </c>
      <c r="H176" s="7">
        <v>137</v>
      </c>
      <c r="I176" s="7" t="s">
        <v>173</v>
      </c>
      <c r="J176" s="7">
        <v>47</v>
      </c>
      <c r="K176" s="7">
        <v>5</v>
      </c>
      <c r="L176" s="7">
        <v>11</v>
      </c>
      <c r="M176" s="7">
        <v>204</v>
      </c>
      <c r="N176" s="7">
        <v>6</v>
      </c>
      <c r="O176" s="7">
        <v>40.299999999999997</v>
      </c>
      <c r="P176" s="7">
        <v>38</v>
      </c>
      <c r="Q176" s="7">
        <v>7</v>
      </c>
      <c r="R176" s="7">
        <v>7.6</v>
      </c>
      <c r="S176" s="7">
        <v>6.1772544000000007</v>
      </c>
    </row>
    <row r="177" spans="1:19" x14ac:dyDescent="0.3">
      <c r="A177" s="7" t="s">
        <v>182</v>
      </c>
      <c r="B177" s="7" t="s">
        <v>97</v>
      </c>
      <c r="C177" s="7" t="s">
        <v>147</v>
      </c>
      <c r="D177" s="7">
        <v>12</v>
      </c>
      <c r="E177" s="7">
        <v>336</v>
      </c>
      <c r="F177" s="7">
        <v>57</v>
      </c>
      <c r="G177" s="7">
        <v>13</v>
      </c>
      <c r="H177" s="7">
        <v>120</v>
      </c>
      <c r="I177" s="7" t="s">
        <v>175</v>
      </c>
      <c r="J177" s="7">
        <v>43</v>
      </c>
      <c r="K177" s="7">
        <v>52</v>
      </c>
      <c r="L177" s="7">
        <v>10</v>
      </c>
      <c r="M177" s="7">
        <v>165</v>
      </c>
      <c r="N177" s="7">
        <v>6</v>
      </c>
      <c r="O177" s="7">
        <v>36</v>
      </c>
      <c r="P177" s="7">
        <v>39</v>
      </c>
      <c r="Q177" s="7">
        <v>6</v>
      </c>
      <c r="R177" s="7">
        <v>8</v>
      </c>
      <c r="S177" s="7">
        <v>6.1311792000000009</v>
      </c>
    </row>
    <row r="178" spans="1:19" x14ac:dyDescent="0.3">
      <c r="A178" s="7" t="s">
        <v>182</v>
      </c>
      <c r="B178" s="7" t="s">
        <v>97</v>
      </c>
      <c r="C178" s="7" t="s">
        <v>147</v>
      </c>
      <c r="D178" s="7">
        <v>14</v>
      </c>
      <c r="E178" s="7">
        <v>332</v>
      </c>
      <c r="F178" s="7">
        <v>65</v>
      </c>
      <c r="G178" s="7">
        <v>12</v>
      </c>
      <c r="H178" s="7">
        <v>170</v>
      </c>
      <c r="I178" s="7" t="s">
        <v>175</v>
      </c>
      <c r="J178" s="7">
        <v>43</v>
      </c>
      <c r="K178" s="7">
        <v>1</v>
      </c>
      <c r="L178" s="7">
        <v>11</v>
      </c>
      <c r="M178" s="7">
        <v>135</v>
      </c>
      <c r="N178" s="7">
        <v>7</v>
      </c>
      <c r="O178" s="7">
        <v>46.6</v>
      </c>
      <c r="P178" s="7">
        <v>39</v>
      </c>
      <c r="Q178" s="7">
        <v>7</v>
      </c>
      <c r="R178" s="7">
        <v>7.8</v>
      </c>
      <c r="S178" s="7">
        <v>8.78161536</v>
      </c>
    </row>
    <row r="179" spans="1:19" x14ac:dyDescent="0.3">
      <c r="A179" s="7" t="s">
        <v>182</v>
      </c>
      <c r="B179" s="7" t="s">
        <v>172</v>
      </c>
      <c r="C179" s="7" t="s">
        <v>144</v>
      </c>
      <c r="D179" s="7">
        <v>1</v>
      </c>
      <c r="E179" s="7">
        <v>347</v>
      </c>
      <c r="F179" s="7">
        <v>65</v>
      </c>
      <c r="G179" s="7">
        <v>12</v>
      </c>
      <c r="H179" s="7">
        <v>107</v>
      </c>
      <c r="I179" s="7" t="s">
        <v>176</v>
      </c>
      <c r="J179" s="7">
        <v>45</v>
      </c>
      <c r="K179" s="7">
        <v>3</v>
      </c>
      <c r="L179" s="7">
        <v>11</v>
      </c>
      <c r="M179" s="7">
        <v>196</v>
      </c>
      <c r="N179" s="7">
        <v>6</v>
      </c>
      <c r="O179" s="7">
        <v>36.4</v>
      </c>
      <c r="P179" s="7">
        <v>38</v>
      </c>
      <c r="Q179" s="7">
        <v>7</v>
      </c>
      <c r="R179" s="7">
        <v>7.8</v>
      </c>
      <c r="S179" s="7">
        <v>7.1241792000000013</v>
      </c>
    </row>
    <row r="180" spans="1:19" x14ac:dyDescent="0.3">
      <c r="A180" s="7" t="s">
        <v>182</v>
      </c>
      <c r="B180" s="7" t="s">
        <v>172</v>
      </c>
      <c r="C180" s="7" t="s">
        <v>144</v>
      </c>
      <c r="D180" s="7">
        <v>2</v>
      </c>
      <c r="E180" s="7">
        <v>315</v>
      </c>
      <c r="F180" s="7">
        <v>59</v>
      </c>
      <c r="G180" s="7">
        <v>12</v>
      </c>
      <c r="H180" s="7">
        <v>118</v>
      </c>
      <c r="I180" s="7" t="s">
        <v>178</v>
      </c>
      <c r="J180" s="7">
        <v>46</v>
      </c>
      <c r="K180" s="7">
        <v>4</v>
      </c>
      <c r="L180" s="7">
        <v>12</v>
      </c>
      <c r="M180" s="7">
        <v>182</v>
      </c>
      <c r="N180" s="7">
        <v>4</v>
      </c>
      <c r="O180" s="7">
        <v>35.799999999999997</v>
      </c>
      <c r="P180" s="7">
        <v>37</v>
      </c>
      <c r="Q180" s="7">
        <v>7</v>
      </c>
      <c r="R180" s="7">
        <v>7.6</v>
      </c>
      <c r="S180" s="7">
        <v>4.0215705599999998</v>
      </c>
    </row>
    <row r="181" spans="1:19" x14ac:dyDescent="0.3">
      <c r="A181" s="7" t="s">
        <v>182</v>
      </c>
      <c r="B181" s="7" t="s">
        <v>172</v>
      </c>
      <c r="C181" s="7" t="s">
        <v>144</v>
      </c>
      <c r="D181" s="7">
        <v>3</v>
      </c>
      <c r="E181" s="7">
        <v>300</v>
      </c>
      <c r="F181" s="7">
        <v>55</v>
      </c>
      <c r="G181" s="7">
        <v>9</v>
      </c>
      <c r="H181" s="7">
        <v>97</v>
      </c>
      <c r="I181" s="7" t="s">
        <v>174</v>
      </c>
      <c r="J181" s="7">
        <v>42</v>
      </c>
      <c r="K181" s="7">
        <v>52</v>
      </c>
      <c r="L181" s="7">
        <v>11</v>
      </c>
      <c r="M181" s="7">
        <v>155</v>
      </c>
      <c r="N181" s="7">
        <v>6</v>
      </c>
      <c r="O181" s="7">
        <v>36</v>
      </c>
      <c r="P181" s="7">
        <v>39</v>
      </c>
      <c r="Q181" s="7">
        <v>6</v>
      </c>
      <c r="R181" s="7">
        <v>8</v>
      </c>
      <c r="S181" s="7">
        <v>4.7733907200000001</v>
      </c>
    </row>
    <row r="182" spans="1:19" x14ac:dyDescent="0.3">
      <c r="A182" s="7" t="s">
        <v>182</v>
      </c>
      <c r="B182" s="7" t="s">
        <v>172</v>
      </c>
      <c r="C182" s="7" t="s">
        <v>144</v>
      </c>
      <c r="D182" s="7">
        <v>4</v>
      </c>
      <c r="E182" s="7">
        <v>320</v>
      </c>
      <c r="F182" s="7">
        <v>62</v>
      </c>
      <c r="G182" s="7">
        <v>12</v>
      </c>
      <c r="H182" s="7">
        <v>142</v>
      </c>
      <c r="I182" s="7" t="s">
        <v>177</v>
      </c>
      <c r="J182" s="7">
        <v>44</v>
      </c>
      <c r="K182" s="7">
        <v>2</v>
      </c>
      <c r="L182" s="7">
        <v>11</v>
      </c>
      <c r="M182" s="7">
        <v>180</v>
      </c>
      <c r="N182" s="7">
        <v>5</v>
      </c>
      <c r="O182" s="7">
        <v>41</v>
      </c>
      <c r="P182" s="7">
        <v>39</v>
      </c>
      <c r="Q182" s="7">
        <v>7</v>
      </c>
      <c r="R182" s="7">
        <v>8</v>
      </c>
      <c r="S182" s="7">
        <v>5.5290240000000006</v>
      </c>
    </row>
    <row r="183" spans="1:19" x14ac:dyDescent="0.3">
      <c r="A183" s="7" t="s">
        <v>182</v>
      </c>
      <c r="B183" s="7" t="s">
        <v>172</v>
      </c>
      <c r="C183" s="7" t="s">
        <v>144</v>
      </c>
      <c r="D183" s="7">
        <v>6</v>
      </c>
      <c r="E183" s="7">
        <v>360</v>
      </c>
      <c r="F183" s="7">
        <v>67</v>
      </c>
      <c r="G183" s="7">
        <v>15</v>
      </c>
      <c r="H183" s="7">
        <v>110</v>
      </c>
      <c r="I183" s="7" t="s">
        <v>173</v>
      </c>
      <c r="J183" s="7">
        <v>47</v>
      </c>
      <c r="K183" s="7">
        <v>5</v>
      </c>
      <c r="L183" s="7">
        <v>12</v>
      </c>
      <c r="M183" s="7">
        <v>195</v>
      </c>
      <c r="N183" s="7">
        <v>6</v>
      </c>
      <c r="O183" s="7">
        <v>50.9</v>
      </c>
      <c r="P183" s="7">
        <v>39</v>
      </c>
      <c r="Q183" s="7">
        <v>7</v>
      </c>
      <c r="R183" s="7">
        <v>7.4</v>
      </c>
      <c r="S183" s="7">
        <v>7.1623104000000017</v>
      </c>
    </row>
    <row r="184" spans="1:19" x14ac:dyDescent="0.3">
      <c r="A184" s="7" t="s">
        <v>182</v>
      </c>
      <c r="B184" s="7" t="s">
        <v>172</v>
      </c>
      <c r="C184" s="7" t="s">
        <v>144</v>
      </c>
      <c r="D184" s="7">
        <v>8</v>
      </c>
      <c r="E184" s="7">
        <v>320</v>
      </c>
      <c r="F184" s="7">
        <v>67</v>
      </c>
      <c r="G184" s="7">
        <v>14</v>
      </c>
      <c r="H184" s="7">
        <v>96</v>
      </c>
      <c r="I184" s="7" t="s">
        <v>177</v>
      </c>
      <c r="J184" s="7">
        <v>44</v>
      </c>
      <c r="K184" s="7">
        <v>2</v>
      </c>
      <c r="L184" s="7">
        <v>11</v>
      </c>
      <c r="M184" s="7">
        <v>175</v>
      </c>
      <c r="N184" s="7">
        <v>5</v>
      </c>
      <c r="O184" s="7">
        <v>41</v>
      </c>
      <c r="P184" s="7">
        <v>37</v>
      </c>
      <c r="Q184" s="7">
        <v>7</v>
      </c>
      <c r="R184" s="7">
        <v>8</v>
      </c>
      <c r="S184" s="7">
        <v>5.8976255999999996</v>
      </c>
    </row>
    <row r="185" spans="1:19" x14ac:dyDescent="0.3">
      <c r="A185" s="7" t="s">
        <v>182</v>
      </c>
      <c r="B185" s="7" t="s">
        <v>172</v>
      </c>
      <c r="C185" s="7" t="s">
        <v>144</v>
      </c>
      <c r="D185" s="7">
        <v>9</v>
      </c>
      <c r="E185" s="7">
        <v>315</v>
      </c>
      <c r="F185" s="7">
        <v>67</v>
      </c>
      <c r="G185" s="7">
        <v>13</v>
      </c>
      <c r="H185" s="7">
        <v>110</v>
      </c>
      <c r="I185" s="7" t="s">
        <v>178</v>
      </c>
      <c r="J185" s="7">
        <v>46</v>
      </c>
      <c r="K185" s="7">
        <v>4</v>
      </c>
      <c r="L185" s="7">
        <v>11</v>
      </c>
      <c r="M185" s="7">
        <v>186</v>
      </c>
      <c r="N185" s="7">
        <v>4</v>
      </c>
      <c r="O185" s="7">
        <v>42</v>
      </c>
      <c r="P185" s="7">
        <v>38</v>
      </c>
      <c r="Q185" s="7">
        <v>7</v>
      </c>
      <c r="R185" s="7">
        <v>8.1999999999999993</v>
      </c>
      <c r="S185" s="7">
        <v>4.0440256000000003</v>
      </c>
    </row>
    <row r="186" spans="1:19" x14ac:dyDescent="0.3">
      <c r="A186" s="7" t="s">
        <v>182</v>
      </c>
      <c r="B186" s="7" t="s">
        <v>172</v>
      </c>
      <c r="C186" s="7" t="s">
        <v>147</v>
      </c>
      <c r="D186" s="7">
        <v>1</v>
      </c>
      <c r="E186" s="7">
        <v>336</v>
      </c>
      <c r="F186" s="7">
        <v>64</v>
      </c>
      <c r="G186" s="7">
        <v>12</v>
      </c>
      <c r="H186" s="7">
        <v>106</v>
      </c>
      <c r="I186" s="7" t="s">
        <v>179</v>
      </c>
      <c r="J186" s="7">
        <v>41</v>
      </c>
      <c r="K186" s="7">
        <v>51</v>
      </c>
      <c r="L186" s="7">
        <v>11</v>
      </c>
      <c r="M186" s="7">
        <v>210</v>
      </c>
      <c r="N186" s="7">
        <v>6</v>
      </c>
      <c r="O186" s="7">
        <v>44</v>
      </c>
      <c r="P186" s="7">
        <v>40</v>
      </c>
      <c r="Q186" s="7">
        <v>7</v>
      </c>
      <c r="R186" s="7">
        <v>8</v>
      </c>
      <c r="S186" s="7">
        <v>4.0037760000000002</v>
      </c>
    </row>
    <row r="187" spans="1:19" x14ac:dyDescent="0.3">
      <c r="A187" s="7" t="s">
        <v>182</v>
      </c>
      <c r="B187" s="7" t="s">
        <v>172</v>
      </c>
      <c r="C187" s="7" t="s">
        <v>147</v>
      </c>
      <c r="D187" s="7">
        <v>3</v>
      </c>
      <c r="E187" s="7">
        <v>344</v>
      </c>
      <c r="F187" s="7">
        <v>67</v>
      </c>
      <c r="G187" s="7">
        <v>15</v>
      </c>
      <c r="H187" s="7">
        <v>92</v>
      </c>
      <c r="I187" s="7" t="s">
        <v>177</v>
      </c>
      <c r="J187" s="7">
        <v>44</v>
      </c>
      <c r="K187" s="7">
        <v>2</v>
      </c>
      <c r="L187" s="7">
        <v>11</v>
      </c>
      <c r="M187" s="7">
        <v>180</v>
      </c>
      <c r="N187" s="7">
        <v>4</v>
      </c>
      <c r="O187" s="7">
        <v>46.9</v>
      </c>
      <c r="P187" s="7">
        <v>38</v>
      </c>
      <c r="Q187" s="7">
        <v>7</v>
      </c>
      <c r="R187" s="7">
        <v>7.6</v>
      </c>
      <c r="S187" s="7">
        <v>4.9418035200000006</v>
      </c>
    </row>
    <row r="188" spans="1:19" x14ac:dyDescent="0.3">
      <c r="A188" s="7" t="s">
        <v>182</v>
      </c>
      <c r="B188" s="7" t="s">
        <v>172</v>
      </c>
      <c r="C188" s="7" t="s">
        <v>147</v>
      </c>
      <c r="D188" s="7">
        <v>4</v>
      </c>
      <c r="E188" s="7">
        <v>340</v>
      </c>
      <c r="F188" s="7">
        <v>68</v>
      </c>
      <c r="G188" s="7">
        <v>14</v>
      </c>
      <c r="H188" s="7">
        <v>150</v>
      </c>
      <c r="I188" s="7" t="s">
        <v>178</v>
      </c>
      <c r="J188" s="7">
        <v>46</v>
      </c>
      <c r="K188" s="7">
        <v>4</v>
      </c>
      <c r="L188" s="7">
        <v>12</v>
      </c>
      <c r="M188" s="7">
        <v>200</v>
      </c>
      <c r="N188" s="7">
        <v>5</v>
      </c>
      <c r="O188" s="7">
        <v>44.3</v>
      </c>
      <c r="P188" s="7">
        <v>38</v>
      </c>
      <c r="Q188" s="7">
        <v>7</v>
      </c>
      <c r="R188" s="7">
        <v>7.8</v>
      </c>
      <c r="S188" s="7">
        <v>4.7769920000000008</v>
      </c>
    </row>
    <row r="189" spans="1:19" x14ac:dyDescent="0.3">
      <c r="A189" s="7" t="s">
        <v>182</v>
      </c>
      <c r="B189" s="7" t="s">
        <v>172</v>
      </c>
      <c r="C189" s="7" t="s">
        <v>147</v>
      </c>
      <c r="D189" s="7">
        <v>5</v>
      </c>
      <c r="E189" s="7">
        <v>352</v>
      </c>
      <c r="F189" s="7">
        <v>71</v>
      </c>
      <c r="G189" s="7">
        <v>15</v>
      </c>
      <c r="H189" s="7">
        <v>115</v>
      </c>
      <c r="I189" s="7" t="s">
        <v>175</v>
      </c>
      <c r="J189" s="7">
        <v>43</v>
      </c>
      <c r="K189" s="7">
        <v>52</v>
      </c>
      <c r="L189" s="7">
        <v>10</v>
      </c>
      <c r="M189" s="7">
        <v>220</v>
      </c>
      <c r="N189" s="7">
        <v>6</v>
      </c>
      <c r="O189" s="7">
        <v>52</v>
      </c>
      <c r="P189" s="7">
        <v>39</v>
      </c>
      <c r="Q189" s="7">
        <v>8</v>
      </c>
      <c r="R189" s="7">
        <v>8.1999999999999993</v>
      </c>
      <c r="S189" s="7">
        <v>6.1502448000000012</v>
      </c>
    </row>
    <row r="190" spans="1:19" x14ac:dyDescent="0.3">
      <c r="A190" s="7" t="s">
        <v>182</v>
      </c>
      <c r="B190" s="7" t="s">
        <v>172</v>
      </c>
      <c r="C190" s="7" t="s">
        <v>147</v>
      </c>
      <c r="D190" s="7">
        <v>6</v>
      </c>
      <c r="E190" s="7">
        <v>348</v>
      </c>
      <c r="F190" s="7">
        <v>61</v>
      </c>
      <c r="G190" s="7">
        <v>11</v>
      </c>
      <c r="H190" s="7">
        <v>140</v>
      </c>
      <c r="I190" s="7" t="s">
        <v>177</v>
      </c>
      <c r="J190" s="7">
        <v>44</v>
      </c>
      <c r="K190" s="7">
        <v>2</v>
      </c>
      <c r="L190" s="7">
        <v>11</v>
      </c>
      <c r="M190" s="7">
        <v>104</v>
      </c>
      <c r="N190" s="7">
        <v>4</v>
      </c>
      <c r="O190" s="7">
        <v>42.2</v>
      </c>
      <c r="P190" s="7">
        <v>37</v>
      </c>
      <c r="Q190" s="7">
        <v>7</v>
      </c>
      <c r="R190" s="7">
        <v>8</v>
      </c>
      <c r="S190" s="7">
        <v>4.7229728000000009</v>
      </c>
    </row>
    <row r="191" spans="1:19" x14ac:dyDescent="0.3">
      <c r="A191" s="7" t="s">
        <v>182</v>
      </c>
      <c r="B191" s="7" t="s">
        <v>172</v>
      </c>
      <c r="C191" s="7" t="s">
        <v>147</v>
      </c>
      <c r="D191" s="7">
        <v>7</v>
      </c>
      <c r="E191" s="7">
        <v>323</v>
      </c>
      <c r="F191" s="7">
        <v>59</v>
      </c>
      <c r="G191" s="7">
        <v>12</v>
      </c>
      <c r="H191" s="7">
        <v>92</v>
      </c>
      <c r="I191" s="7" t="s">
        <v>173</v>
      </c>
      <c r="J191" s="7">
        <v>47</v>
      </c>
      <c r="K191" s="7">
        <v>5</v>
      </c>
      <c r="L191" s="7">
        <v>12</v>
      </c>
      <c r="M191" s="7">
        <v>140</v>
      </c>
      <c r="N191" s="7">
        <v>6</v>
      </c>
      <c r="O191" s="7">
        <v>30</v>
      </c>
      <c r="P191" s="7">
        <v>37</v>
      </c>
      <c r="Q191" s="7">
        <v>7</v>
      </c>
      <c r="R191" s="7">
        <v>8</v>
      </c>
      <c r="S191" s="7">
        <v>6.5776320000000004</v>
      </c>
    </row>
    <row r="192" spans="1:19" x14ac:dyDescent="0.3">
      <c r="A192" s="7" t="s">
        <v>182</v>
      </c>
      <c r="B192" s="7" t="s">
        <v>172</v>
      </c>
      <c r="C192" s="7" t="s">
        <v>147</v>
      </c>
      <c r="D192" s="7">
        <v>8</v>
      </c>
      <c r="E192" s="7">
        <v>353</v>
      </c>
      <c r="F192" s="7">
        <v>69</v>
      </c>
      <c r="G192" s="7">
        <v>12</v>
      </c>
      <c r="H192" s="7">
        <v>170</v>
      </c>
      <c r="I192" s="7" t="s">
        <v>175</v>
      </c>
      <c r="J192" s="7">
        <v>43</v>
      </c>
      <c r="K192" s="7">
        <v>1</v>
      </c>
      <c r="L192" s="7">
        <v>11</v>
      </c>
      <c r="M192" s="7">
        <v>218</v>
      </c>
      <c r="N192" s="7">
        <v>6</v>
      </c>
      <c r="O192" s="7">
        <v>46.3</v>
      </c>
      <c r="P192" s="7">
        <v>39</v>
      </c>
      <c r="Q192" s="7">
        <v>7</v>
      </c>
      <c r="R192" s="7">
        <v>8</v>
      </c>
      <c r="S192" s="7">
        <v>7.2284044800000009</v>
      </c>
    </row>
    <row r="193" spans="1:19" x14ac:dyDescent="0.3">
      <c r="A193" s="7" t="s">
        <v>182</v>
      </c>
      <c r="B193" s="7" t="s">
        <v>172</v>
      </c>
      <c r="C193" s="7" t="s">
        <v>147</v>
      </c>
      <c r="D193" s="7">
        <v>9</v>
      </c>
      <c r="E193" s="7">
        <v>336</v>
      </c>
      <c r="F193" s="7">
        <v>64</v>
      </c>
      <c r="G193" s="7">
        <v>12</v>
      </c>
      <c r="H193" s="7">
        <v>154</v>
      </c>
      <c r="I193" s="7" t="s">
        <v>180</v>
      </c>
      <c r="J193" s="7">
        <v>40</v>
      </c>
      <c r="K193" s="7">
        <v>50</v>
      </c>
      <c r="L193" s="7">
        <v>11</v>
      </c>
      <c r="M193" s="7">
        <v>193</v>
      </c>
      <c r="N193" s="7">
        <v>7</v>
      </c>
      <c r="O193" s="7">
        <v>49</v>
      </c>
      <c r="P193" s="7">
        <v>40</v>
      </c>
      <c r="Q193" s="7">
        <v>8</v>
      </c>
      <c r="R193" s="7">
        <v>8</v>
      </c>
      <c r="S193" s="7">
        <v>5.6052864000000007</v>
      </c>
    </row>
    <row r="194" spans="1:19" x14ac:dyDescent="0.3">
      <c r="A194" s="7" t="s">
        <v>182</v>
      </c>
      <c r="B194" s="7" t="s">
        <v>172</v>
      </c>
      <c r="C194" s="7" t="s">
        <v>147</v>
      </c>
      <c r="D194" s="7">
        <v>10</v>
      </c>
      <c r="E194" s="7">
        <v>335</v>
      </c>
      <c r="F194" s="7">
        <v>64</v>
      </c>
      <c r="G194" s="7">
        <v>12</v>
      </c>
      <c r="H194" s="7">
        <v>100</v>
      </c>
      <c r="I194" s="7" t="s">
        <v>179</v>
      </c>
      <c r="J194" s="7">
        <v>41</v>
      </c>
      <c r="K194" s="7">
        <v>51</v>
      </c>
      <c r="L194" s="7">
        <v>11</v>
      </c>
      <c r="M194" s="7">
        <v>142</v>
      </c>
      <c r="N194" s="7">
        <v>8</v>
      </c>
      <c r="O194" s="7">
        <v>45</v>
      </c>
      <c r="P194" s="7">
        <v>40</v>
      </c>
      <c r="Q194" s="7">
        <v>7</v>
      </c>
      <c r="R194" s="7">
        <v>8</v>
      </c>
      <c r="S194" s="7">
        <v>6.7619328000000012</v>
      </c>
    </row>
    <row r="195" spans="1:19" x14ac:dyDescent="0.3">
      <c r="A195" s="7" t="s">
        <v>182</v>
      </c>
      <c r="B195" s="7" t="s">
        <v>172</v>
      </c>
      <c r="C195" s="7" t="s">
        <v>147</v>
      </c>
      <c r="D195" s="7">
        <v>11</v>
      </c>
      <c r="E195" s="7">
        <v>315</v>
      </c>
      <c r="F195" s="7">
        <v>64</v>
      </c>
      <c r="G195" s="7">
        <v>12</v>
      </c>
      <c r="H195" s="7">
        <v>93</v>
      </c>
      <c r="I195" s="7" t="s">
        <v>177</v>
      </c>
      <c r="J195" s="7">
        <v>44</v>
      </c>
      <c r="K195" s="7">
        <v>2</v>
      </c>
      <c r="L195" s="7">
        <v>12</v>
      </c>
      <c r="M195" s="7">
        <v>158</v>
      </c>
      <c r="N195" s="7">
        <v>6</v>
      </c>
      <c r="O195" s="7">
        <v>30.6</v>
      </c>
      <c r="P195" s="7">
        <v>37</v>
      </c>
      <c r="Q195" s="7">
        <v>7</v>
      </c>
      <c r="R195" s="7">
        <v>8</v>
      </c>
      <c r="S195" s="7">
        <v>5.2112639999999999</v>
      </c>
    </row>
    <row r="196" spans="1:19" x14ac:dyDescent="0.3">
      <c r="A196" s="7" t="s">
        <v>182</v>
      </c>
      <c r="B196" s="7" t="s">
        <v>172</v>
      </c>
      <c r="C196" s="7" t="s">
        <v>147</v>
      </c>
      <c r="D196" s="7">
        <v>14</v>
      </c>
      <c r="E196" s="7">
        <v>290</v>
      </c>
      <c r="F196" s="7">
        <v>57</v>
      </c>
      <c r="G196" s="7">
        <v>12</v>
      </c>
      <c r="H196" s="7">
        <v>86</v>
      </c>
      <c r="I196" s="7" t="s">
        <v>176</v>
      </c>
      <c r="J196" s="7">
        <v>45</v>
      </c>
      <c r="K196" s="7">
        <v>3</v>
      </c>
      <c r="L196" s="7">
        <v>11</v>
      </c>
      <c r="M196" s="7">
        <v>160</v>
      </c>
      <c r="N196" s="7">
        <v>6</v>
      </c>
      <c r="O196" s="7">
        <v>23.3</v>
      </c>
      <c r="P196" s="7">
        <v>37</v>
      </c>
      <c r="Q196" s="7">
        <v>6</v>
      </c>
      <c r="R196" s="7">
        <v>7.6</v>
      </c>
      <c r="S196" s="7">
        <v>5.7323904000000008</v>
      </c>
    </row>
    <row r="197" spans="1:19" x14ac:dyDescent="0.3">
      <c r="A197" s="7" t="s">
        <v>182</v>
      </c>
      <c r="B197" s="7" t="s">
        <v>99</v>
      </c>
      <c r="C197" s="7" t="s">
        <v>146</v>
      </c>
      <c r="D197" s="7">
        <v>1</v>
      </c>
      <c r="E197" s="7">
        <v>344</v>
      </c>
      <c r="F197" s="7">
        <v>62</v>
      </c>
      <c r="G197" s="7">
        <v>14</v>
      </c>
      <c r="H197" s="7">
        <v>90</v>
      </c>
      <c r="I197" s="7" t="s">
        <v>177</v>
      </c>
      <c r="J197" s="7">
        <v>44</v>
      </c>
      <c r="K197" s="7">
        <v>2</v>
      </c>
      <c r="L197" s="7">
        <v>11</v>
      </c>
      <c r="M197" s="7">
        <v>170</v>
      </c>
      <c r="N197" s="7">
        <v>6</v>
      </c>
      <c r="O197" s="7">
        <v>40.6</v>
      </c>
      <c r="P197" s="7">
        <v>39</v>
      </c>
      <c r="Q197" s="7">
        <v>7</v>
      </c>
      <c r="R197" s="7">
        <v>7.8</v>
      </c>
      <c r="S197" s="7">
        <v>7.2207782400000013</v>
      </c>
    </row>
    <row r="198" spans="1:19" x14ac:dyDescent="0.3">
      <c r="A198" s="7" t="s">
        <v>182</v>
      </c>
      <c r="B198" s="7" t="s">
        <v>99</v>
      </c>
      <c r="C198" s="7" t="s">
        <v>146</v>
      </c>
      <c r="D198" s="7">
        <v>2</v>
      </c>
      <c r="E198" s="7">
        <v>345</v>
      </c>
      <c r="F198" s="7">
        <v>66</v>
      </c>
      <c r="G198" s="7">
        <v>12</v>
      </c>
      <c r="H198" s="7">
        <v>165</v>
      </c>
      <c r="I198" s="7" t="s">
        <v>174</v>
      </c>
      <c r="J198" s="7">
        <v>42</v>
      </c>
      <c r="K198" s="7">
        <v>52</v>
      </c>
      <c r="L198" s="7">
        <v>10</v>
      </c>
      <c r="M198" s="7">
        <v>230</v>
      </c>
      <c r="N198" s="7">
        <v>6</v>
      </c>
      <c r="O198" s="7">
        <v>44.7</v>
      </c>
      <c r="P198" s="7">
        <v>39</v>
      </c>
      <c r="Q198" s="7">
        <v>7</v>
      </c>
      <c r="R198" s="7">
        <v>7.6</v>
      </c>
      <c r="S198" s="7">
        <v>5.8467840000000004</v>
      </c>
    </row>
    <row r="199" spans="1:19" x14ac:dyDescent="0.3">
      <c r="A199" s="7" t="s">
        <v>182</v>
      </c>
      <c r="B199" s="7" t="s">
        <v>99</v>
      </c>
      <c r="C199" s="7" t="s">
        <v>146</v>
      </c>
      <c r="D199" s="7">
        <v>3</v>
      </c>
      <c r="E199" s="7">
        <v>340</v>
      </c>
      <c r="F199" s="7">
        <v>64</v>
      </c>
      <c r="G199" s="7">
        <v>14</v>
      </c>
      <c r="H199" s="7">
        <v>133</v>
      </c>
      <c r="I199" s="7" t="s">
        <v>177</v>
      </c>
      <c r="J199" s="7">
        <v>44</v>
      </c>
      <c r="K199" s="7">
        <v>2</v>
      </c>
      <c r="L199" s="7">
        <v>12</v>
      </c>
      <c r="M199" s="7">
        <v>204</v>
      </c>
      <c r="N199" s="7">
        <v>6</v>
      </c>
      <c r="O199" s="7">
        <v>37</v>
      </c>
      <c r="P199" s="7">
        <v>38</v>
      </c>
      <c r="Q199" s="7">
        <v>7</v>
      </c>
      <c r="R199" s="7">
        <v>7.4</v>
      </c>
      <c r="S199" s="7">
        <v>5.8722047999999996</v>
      </c>
    </row>
    <row r="200" spans="1:19" x14ac:dyDescent="0.3">
      <c r="A200" s="7" t="s">
        <v>182</v>
      </c>
      <c r="B200" s="7" t="s">
        <v>99</v>
      </c>
      <c r="C200" s="7" t="s">
        <v>146</v>
      </c>
      <c r="D200" s="7">
        <v>4</v>
      </c>
      <c r="E200" s="7">
        <v>327</v>
      </c>
      <c r="F200" s="7">
        <v>73</v>
      </c>
      <c r="G200" s="7">
        <v>12</v>
      </c>
      <c r="H200" s="7">
        <v>135</v>
      </c>
      <c r="I200" s="7" t="s">
        <v>173</v>
      </c>
      <c r="J200" s="7">
        <v>47</v>
      </c>
      <c r="K200" s="7">
        <v>5</v>
      </c>
      <c r="L200" s="7">
        <v>11</v>
      </c>
      <c r="M200" s="7">
        <v>206</v>
      </c>
      <c r="N200" s="7">
        <v>6</v>
      </c>
      <c r="O200" s="7">
        <v>46.5</v>
      </c>
      <c r="P200" s="7">
        <v>40</v>
      </c>
      <c r="Q200" s="7">
        <v>7</v>
      </c>
      <c r="R200" s="7">
        <v>8</v>
      </c>
      <c r="S200" s="7">
        <v>6.1391231999999993</v>
      </c>
    </row>
    <row r="201" spans="1:19" x14ac:dyDescent="0.3">
      <c r="A201" s="7" t="s">
        <v>182</v>
      </c>
      <c r="B201" s="7" t="s">
        <v>99</v>
      </c>
      <c r="C201" s="7" t="s">
        <v>146</v>
      </c>
      <c r="D201" s="7">
        <v>5</v>
      </c>
      <c r="E201" s="7">
        <v>342</v>
      </c>
      <c r="F201" s="7">
        <v>65</v>
      </c>
      <c r="G201" s="7">
        <v>10</v>
      </c>
      <c r="H201" s="7">
        <v>135</v>
      </c>
      <c r="I201" s="7" t="s">
        <v>173</v>
      </c>
      <c r="J201" s="7">
        <v>47</v>
      </c>
      <c r="K201" s="7">
        <v>5</v>
      </c>
      <c r="L201" s="7">
        <v>11</v>
      </c>
      <c r="M201" s="7">
        <v>205</v>
      </c>
      <c r="N201" s="7">
        <v>6</v>
      </c>
      <c r="O201" s="7">
        <v>40.200000000000003</v>
      </c>
      <c r="P201" s="7">
        <v>39</v>
      </c>
      <c r="Q201" s="7">
        <v>7</v>
      </c>
      <c r="R201" s="7">
        <v>7.8</v>
      </c>
      <c r="S201" s="7">
        <v>6.0485616000000011</v>
      </c>
    </row>
    <row r="202" spans="1:19" x14ac:dyDescent="0.3">
      <c r="A202" s="7" t="s">
        <v>182</v>
      </c>
      <c r="B202" s="7" t="s">
        <v>99</v>
      </c>
      <c r="C202" s="7" t="s">
        <v>146</v>
      </c>
      <c r="D202" s="7">
        <v>7</v>
      </c>
      <c r="E202" s="7">
        <v>345</v>
      </c>
      <c r="F202" s="7">
        <v>66</v>
      </c>
      <c r="G202" s="7">
        <v>16</v>
      </c>
      <c r="H202" s="7">
        <v>133</v>
      </c>
      <c r="I202" s="7" t="s">
        <v>175</v>
      </c>
      <c r="J202" s="7">
        <v>43</v>
      </c>
      <c r="K202" s="7">
        <v>1</v>
      </c>
      <c r="L202" s="7">
        <v>11</v>
      </c>
      <c r="M202" s="7">
        <v>210</v>
      </c>
      <c r="N202" s="7">
        <v>7</v>
      </c>
      <c r="O202" s="7">
        <v>40.700000000000003</v>
      </c>
      <c r="P202" s="7">
        <v>38</v>
      </c>
      <c r="Q202" s="7">
        <v>7</v>
      </c>
      <c r="R202" s="7">
        <v>8.4</v>
      </c>
      <c r="S202" s="7">
        <v>7.8748342400000011</v>
      </c>
    </row>
    <row r="203" spans="1:19" x14ac:dyDescent="0.3">
      <c r="A203" s="7" t="s">
        <v>182</v>
      </c>
      <c r="B203" s="7" t="s">
        <v>99</v>
      </c>
      <c r="C203" s="7" t="s">
        <v>146</v>
      </c>
      <c r="D203" s="7">
        <v>8</v>
      </c>
      <c r="E203" s="7">
        <v>335</v>
      </c>
      <c r="F203" s="7">
        <v>66</v>
      </c>
      <c r="G203" s="7">
        <v>13</v>
      </c>
      <c r="H203" s="7">
        <v>104</v>
      </c>
      <c r="I203" s="7" t="s">
        <v>174</v>
      </c>
      <c r="J203" s="7">
        <v>42</v>
      </c>
      <c r="K203" s="7">
        <v>52</v>
      </c>
      <c r="L203" s="7">
        <v>10</v>
      </c>
      <c r="M203" s="7">
        <v>190</v>
      </c>
      <c r="N203" s="7">
        <v>7</v>
      </c>
      <c r="O203" s="7">
        <v>47.5</v>
      </c>
      <c r="P203" s="7">
        <v>37</v>
      </c>
      <c r="Q203" s="7">
        <v>7</v>
      </c>
      <c r="R203" s="7">
        <v>7.6</v>
      </c>
      <c r="S203" s="7">
        <v>7.4603692800000001</v>
      </c>
    </row>
    <row r="204" spans="1:19" x14ac:dyDescent="0.3">
      <c r="A204" s="7" t="s">
        <v>182</v>
      </c>
      <c r="B204" s="7" t="s">
        <v>99</v>
      </c>
      <c r="C204" s="7" t="s">
        <v>146</v>
      </c>
      <c r="D204" s="7">
        <v>12</v>
      </c>
      <c r="E204" s="7">
        <v>326</v>
      </c>
      <c r="F204" s="7">
        <v>66</v>
      </c>
      <c r="G204" s="7">
        <v>11</v>
      </c>
      <c r="H204" s="7">
        <v>147</v>
      </c>
      <c r="I204" s="7" t="s">
        <v>176</v>
      </c>
      <c r="J204" s="7">
        <v>45</v>
      </c>
      <c r="K204" s="7">
        <v>3</v>
      </c>
      <c r="L204" s="7">
        <v>12</v>
      </c>
      <c r="M204" s="7">
        <v>190</v>
      </c>
      <c r="N204" s="7">
        <v>6</v>
      </c>
      <c r="O204" s="7">
        <v>36.6</v>
      </c>
      <c r="P204" s="7">
        <v>38</v>
      </c>
      <c r="Q204" s="7">
        <v>7</v>
      </c>
      <c r="R204" s="7">
        <v>6.8</v>
      </c>
      <c r="S204" s="7">
        <v>5.9840563200000014</v>
      </c>
    </row>
    <row r="205" spans="1:19" x14ac:dyDescent="0.3">
      <c r="A205" s="7" t="s">
        <v>182</v>
      </c>
      <c r="B205" s="7" t="s">
        <v>99</v>
      </c>
      <c r="C205" s="7" t="s">
        <v>146</v>
      </c>
      <c r="D205" s="7">
        <v>13</v>
      </c>
      <c r="E205" s="7">
        <v>290</v>
      </c>
      <c r="F205" s="7">
        <v>55</v>
      </c>
      <c r="G205" s="7">
        <v>9</v>
      </c>
      <c r="H205" s="7">
        <v>110</v>
      </c>
      <c r="I205" s="7" t="s">
        <v>173</v>
      </c>
      <c r="J205" s="7">
        <v>47</v>
      </c>
      <c r="K205" s="7">
        <v>5</v>
      </c>
      <c r="L205" s="7">
        <v>11</v>
      </c>
      <c r="M205" s="7">
        <v>170</v>
      </c>
      <c r="N205" s="7">
        <v>4</v>
      </c>
      <c r="O205" s="7">
        <v>34</v>
      </c>
      <c r="P205" s="7">
        <v>30</v>
      </c>
      <c r="Q205" s="7">
        <v>6</v>
      </c>
      <c r="R205" s="7">
        <v>7</v>
      </c>
      <c r="S205" s="7">
        <v>3.4699392000000011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49E1-C423-4E86-BE98-253C27A04040}">
  <dimension ref="A1:H9"/>
  <sheetViews>
    <sheetView workbookViewId="0">
      <selection activeCell="H15" sqref="H15"/>
    </sheetView>
  </sheetViews>
  <sheetFormatPr baseColWidth="10" defaultRowHeight="14.4" x14ac:dyDescent="0.3"/>
  <cols>
    <col min="1" max="7" width="11.5546875" style="3"/>
    <col min="8" max="8" width="14.77734375" style="3" customWidth="1"/>
    <col min="9" max="16384" width="11.5546875" style="3"/>
  </cols>
  <sheetData>
    <row r="1" spans="1:8" x14ac:dyDescent="0.3">
      <c r="A1" s="2" t="s">
        <v>161</v>
      </c>
      <c r="B1" s="2" t="s">
        <v>162</v>
      </c>
      <c r="C1" s="2" t="s">
        <v>189</v>
      </c>
      <c r="D1" s="2" t="s">
        <v>190</v>
      </c>
      <c r="E1" s="2" t="s">
        <v>191</v>
      </c>
      <c r="F1" s="2" t="s">
        <v>192</v>
      </c>
      <c r="G1" s="2" t="s">
        <v>193</v>
      </c>
      <c r="H1" s="2" t="s">
        <v>194</v>
      </c>
    </row>
    <row r="2" spans="1:8" x14ac:dyDescent="0.3">
      <c r="A2" s="7" t="s">
        <v>96</v>
      </c>
      <c r="B2" s="7" t="s">
        <v>109</v>
      </c>
      <c r="C2" s="7">
        <v>0.97375576472138325</v>
      </c>
      <c r="D2" s="7">
        <v>59.452380952380949</v>
      </c>
      <c r="E2" s="7">
        <v>45.116666666666667</v>
      </c>
      <c r="F2" s="7">
        <v>38.733333333333327</v>
      </c>
      <c r="G2" s="7">
        <v>7.4</v>
      </c>
      <c r="H2" s="7">
        <v>43.932614251679752</v>
      </c>
    </row>
    <row r="3" spans="1:8" x14ac:dyDescent="0.3">
      <c r="A3" s="7" t="s">
        <v>96</v>
      </c>
      <c r="B3" s="7" t="s">
        <v>172</v>
      </c>
      <c r="C3" s="7">
        <v>1.3194166209087901</v>
      </c>
      <c r="D3" s="7">
        <v>49.85</v>
      </c>
      <c r="E3" s="7">
        <v>41.85</v>
      </c>
      <c r="F3" s="7">
        <v>38.590909090909093</v>
      </c>
      <c r="G3" s="7">
        <v>7.0454545454545459</v>
      </c>
      <c r="H3" s="7">
        <v>55.21758558503285</v>
      </c>
    </row>
    <row r="4" spans="1:8" x14ac:dyDescent="0.3">
      <c r="A4" s="7" t="s">
        <v>96</v>
      </c>
      <c r="B4" s="7" t="s">
        <v>97</v>
      </c>
      <c r="C4" s="7">
        <v>1.5371483442253879</v>
      </c>
      <c r="D4" s="7">
        <v>44.5</v>
      </c>
      <c r="E4" s="7">
        <v>39.74285714285714</v>
      </c>
      <c r="F4" s="7">
        <v>38.357142857142847</v>
      </c>
      <c r="G4" s="7">
        <v>6.9642857142857144</v>
      </c>
      <c r="H4" s="7">
        <v>61.090667051929003</v>
      </c>
    </row>
    <row r="5" spans="1:8" x14ac:dyDescent="0.3">
      <c r="A5" s="7" t="s">
        <v>96</v>
      </c>
      <c r="B5" s="7" t="s">
        <v>99</v>
      </c>
      <c r="C5" s="7">
        <v>1.30838626852754</v>
      </c>
      <c r="D5" s="7">
        <v>48.307692307692307</v>
      </c>
      <c r="E5" s="7">
        <v>43.577272727272728</v>
      </c>
      <c r="F5" s="7">
        <v>38.136363636363633</v>
      </c>
      <c r="G5" s="7">
        <v>7.5</v>
      </c>
      <c r="H5" s="7">
        <v>57.015905256243293</v>
      </c>
    </row>
    <row r="6" spans="1:8" x14ac:dyDescent="0.3">
      <c r="A6" s="7" t="s">
        <v>182</v>
      </c>
      <c r="B6" s="7" t="s">
        <v>109</v>
      </c>
      <c r="C6" s="7">
        <v>1.140652456746605</v>
      </c>
      <c r="D6" s="7">
        <v>52.61904761904762</v>
      </c>
      <c r="E6" s="7">
        <v>39.763333333333343</v>
      </c>
      <c r="F6" s="7">
        <v>38.43333333333333</v>
      </c>
      <c r="G6" s="7">
        <v>6.9</v>
      </c>
      <c r="H6" s="7">
        <v>45.356143855100846</v>
      </c>
    </row>
    <row r="7" spans="1:8" x14ac:dyDescent="0.3">
      <c r="A7" s="7" t="s">
        <v>182</v>
      </c>
      <c r="B7" s="7" t="s">
        <v>172</v>
      </c>
      <c r="C7" s="7">
        <v>1.146719264299378</v>
      </c>
      <c r="D7" s="7">
        <v>54.054054054054063</v>
      </c>
      <c r="E7" s="7">
        <v>40.200000000000003</v>
      </c>
      <c r="F7" s="7">
        <v>38.192307692307693</v>
      </c>
      <c r="G7" s="7">
        <v>6.884615384615385</v>
      </c>
      <c r="H7" s="7">
        <v>46.098114424835003</v>
      </c>
    </row>
    <row r="8" spans="1:8" x14ac:dyDescent="0.3">
      <c r="A8" s="7" t="s">
        <v>182</v>
      </c>
      <c r="B8" s="7" t="s">
        <v>97</v>
      </c>
      <c r="C8" s="7">
        <v>1.253970841678709</v>
      </c>
      <c r="D8" s="7">
        <v>52.071428571428569</v>
      </c>
      <c r="E8" s="7">
        <v>39.875</v>
      </c>
      <c r="F8" s="7">
        <v>38.299999999999997</v>
      </c>
      <c r="G8" s="7">
        <v>6.8</v>
      </c>
      <c r="H8" s="7">
        <v>50.002087311938539</v>
      </c>
    </row>
    <row r="9" spans="1:8" x14ac:dyDescent="0.3">
      <c r="A9" s="7" t="s">
        <v>182</v>
      </c>
      <c r="B9" s="7" t="s">
        <v>99</v>
      </c>
      <c r="C9" s="7">
        <v>1.103798922954464</v>
      </c>
      <c r="D9" s="7">
        <v>53.023809523809533</v>
      </c>
      <c r="E9" s="7">
        <v>39.103846153846163</v>
      </c>
      <c r="F9" s="7">
        <v>37.92307692307692</v>
      </c>
      <c r="G9" s="7">
        <v>6.8076923076923084</v>
      </c>
      <c r="H9" s="7">
        <v>43.162783267992438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207E-17B5-4CF0-86A0-565F5F316D96}">
  <dimension ref="A1:H9"/>
  <sheetViews>
    <sheetView workbookViewId="0">
      <selection activeCell="G16" sqref="G16"/>
    </sheetView>
  </sheetViews>
  <sheetFormatPr baseColWidth="10" defaultRowHeight="14.4" x14ac:dyDescent="0.3"/>
  <cols>
    <col min="1" max="16384" width="11.5546875" style="3"/>
  </cols>
  <sheetData>
    <row r="1" spans="1:8" x14ac:dyDescent="0.3">
      <c r="A1" s="2" t="s">
        <v>161</v>
      </c>
      <c r="B1" s="2" t="s">
        <v>162</v>
      </c>
      <c r="C1" s="2" t="s">
        <v>195</v>
      </c>
      <c r="D1" s="2" t="s">
        <v>196</v>
      </c>
      <c r="E1" s="2" t="s">
        <v>197</v>
      </c>
      <c r="F1" s="2" t="s">
        <v>130</v>
      </c>
      <c r="G1" s="2" t="s">
        <v>131</v>
      </c>
      <c r="H1" s="2" t="s">
        <v>198</v>
      </c>
    </row>
    <row r="2" spans="1:8" x14ac:dyDescent="0.3">
      <c r="A2" s="7" t="s">
        <v>96</v>
      </c>
      <c r="B2" s="7" t="s">
        <v>97</v>
      </c>
      <c r="C2" s="7">
        <v>44.5</v>
      </c>
      <c r="D2" s="7">
        <v>1.54</v>
      </c>
      <c r="E2" s="7">
        <v>39.700000000000003</v>
      </c>
      <c r="F2" s="7">
        <v>38.4</v>
      </c>
      <c r="G2" s="7">
        <v>7</v>
      </c>
      <c r="H2" s="7">
        <v>61.1</v>
      </c>
    </row>
    <row r="3" spans="1:8" x14ac:dyDescent="0.3">
      <c r="A3" s="7" t="s">
        <v>96</v>
      </c>
      <c r="B3" s="7" t="s">
        <v>99</v>
      </c>
      <c r="C3" s="7">
        <v>48.3</v>
      </c>
      <c r="D3" s="7">
        <v>1.31</v>
      </c>
      <c r="E3" s="7">
        <v>43.6</v>
      </c>
      <c r="F3" s="7">
        <v>38.1</v>
      </c>
      <c r="G3" s="7">
        <v>7.5</v>
      </c>
      <c r="H3" s="7">
        <v>57</v>
      </c>
    </row>
    <row r="4" spans="1:8" x14ac:dyDescent="0.3">
      <c r="A4" s="7" t="s">
        <v>96</v>
      </c>
      <c r="B4" s="7" t="s">
        <v>172</v>
      </c>
      <c r="C4" s="7">
        <v>49.9</v>
      </c>
      <c r="D4" s="7">
        <v>1.32</v>
      </c>
      <c r="E4" s="7">
        <v>41.9</v>
      </c>
      <c r="F4" s="7">
        <v>38.6</v>
      </c>
      <c r="G4" s="7">
        <v>7</v>
      </c>
      <c r="H4" s="7">
        <v>55.2</v>
      </c>
    </row>
    <row r="5" spans="1:8" x14ac:dyDescent="0.3">
      <c r="A5" s="7" t="s">
        <v>96</v>
      </c>
      <c r="B5" s="7" t="s">
        <v>109</v>
      </c>
      <c r="C5" s="7">
        <v>59.5</v>
      </c>
      <c r="D5" s="7">
        <v>0.97</v>
      </c>
      <c r="E5" s="7">
        <v>45.1</v>
      </c>
      <c r="F5" s="7">
        <v>38.700000000000003</v>
      </c>
      <c r="G5" s="7">
        <v>7.4</v>
      </c>
      <c r="H5" s="7">
        <v>43.9</v>
      </c>
    </row>
    <row r="6" spans="1:8" x14ac:dyDescent="0.3">
      <c r="A6" s="7" t="s">
        <v>182</v>
      </c>
      <c r="B6" s="7" t="s">
        <v>97</v>
      </c>
      <c r="C6" s="7">
        <v>52.1</v>
      </c>
      <c r="D6" s="7">
        <v>1.25</v>
      </c>
      <c r="E6" s="7">
        <v>39.9</v>
      </c>
      <c r="F6" s="7">
        <v>38.299999999999997</v>
      </c>
      <c r="G6" s="7">
        <v>6.8</v>
      </c>
      <c r="H6" s="7">
        <v>50</v>
      </c>
    </row>
    <row r="7" spans="1:8" x14ac:dyDescent="0.3">
      <c r="A7" s="7" t="s">
        <v>182</v>
      </c>
      <c r="B7" s="7" t="s">
        <v>172</v>
      </c>
      <c r="C7" s="7">
        <v>54.1</v>
      </c>
      <c r="D7" s="7">
        <v>1.1499999999999999</v>
      </c>
      <c r="E7" s="7">
        <v>40.200000000000003</v>
      </c>
      <c r="F7" s="7">
        <v>38.200000000000003</v>
      </c>
      <c r="G7" s="7">
        <v>6.9</v>
      </c>
      <c r="H7" s="7">
        <v>46.1</v>
      </c>
    </row>
    <row r="8" spans="1:8" x14ac:dyDescent="0.3">
      <c r="A8" s="7" t="s">
        <v>182</v>
      </c>
      <c r="B8" s="7" t="s">
        <v>109</v>
      </c>
      <c r="C8" s="7">
        <v>52.6</v>
      </c>
      <c r="D8" s="7">
        <v>1.1399999999999999</v>
      </c>
      <c r="E8" s="7">
        <v>39.799999999999997</v>
      </c>
      <c r="F8" s="7">
        <v>38.4</v>
      </c>
      <c r="G8" s="7">
        <v>6.9</v>
      </c>
      <c r="H8" s="7">
        <v>45.4</v>
      </c>
    </row>
    <row r="9" spans="1:8" x14ac:dyDescent="0.3">
      <c r="A9" s="7" t="s">
        <v>182</v>
      </c>
      <c r="B9" s="7" t="s">
        <v>99</v>
      </c>
      <c r="C9" s="7">
        <v>53</v>
      </c>
      <c r="D9" s="7">
        <v>1.1000000000000001</v>
      </c>
      <c r="E9" s="7">
        <v>39.1</v>
      </c>
      <c r="F9" s="7">
        <v>37.9</v>
      </c>
      <c r="G9" s="7">
        <v>6.8</v>
      </c>
      <c r="H9" s="7">
        <v>43.2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B2D2-80BF-4CD2-82BD-E0EB78117518}">
  <dimension ref="A1:CQ65"/>
  <sheetViews>
    <sheetView workbookViewId="0">
      <selection activeCell="F12" sqref="F12"/>
    </sheetView>
  </sheetViews>
  <sheetFormatPr baseColWidth="10" defaultColWidth="21.77734375" defaultRowHeight="14.4" x14ac:dyDescent="0.3"/>
  <cols>
    <col min="1" max="16384" width="21.77734375" style="3"/>
  </cols>
  <sheetData>
    <row r="1" spans="1:95" ht="26.4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9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8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8" t="s">
        <v>64</v>
      </c>
      <c r="BN1" s="8" t="s">
        <v>65</v>
      </c>
      <c r="BO1" s="8" t="s">
        <v>66</v>
      </c>
      <c r="BP1" s="8" t="s">
        <v>67</v>
      </c>
      <c r="BQ1" s="8" t="s">
        <v>68</v>
      </c>
      <c r="BR1" s="8" t="s">
        <v>69</v>
      </c>
      <c r="BS1" s="8" t="s">
        <v>70</v>
      </c>
      <c r="BT1" s="8" t="s">
        <v>71</v>
      </c>
      <c r="BU1" s="8" t="s">
        <v>72</v>
      </c>
      <c r="BV1" s="8" t="s">
        <v>73</v>
      </c>
      <c r="BW1" s="8" t="s">
        <v>74</v>
      </c>
      <c r="BX1" s="8" t="s">
        <v>75</v>
      </c>
      <c r="BY1" s="8" t="s">
        <v>76</v>
      </c>
      <c r="BZ1" s="8" t="s">
        <v>77</v>
      </c>
      <c r="CA1" s="8" t="s">
        <v>78</v>
      </c>
      <c r="CB1" s="8" t="s">
        <v>79</v>
      </c>
      <c r="CC1" s="8" t="s">
        <v>80</v>
      </c>
      <c r="CD1" s="8" t="s">
        <v>81</v>
      </c>
      <c r="CE1" s="8" t="s">
        <v>82</v>
      </c>
      <c r="CF1" s="8" t="s">
        <v>83</v>
      </c>
      <c r="CG1" s="8" t="s">
        <v>84</v>
      </c>
      <c r="CH1" s="8" t="s">
        <v>85</v>
      </c>
      <c r="CI1" s="8" t="s">
        <v>86</v>
      </c>
      <c r="CJ1" s="8" t="s">
        <v>87</v>
      </c>
      <c r="CK1" s="8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</row>
    <row r="2" spans="1:95" x14ac:dyDescent="0.3">
      <c r="A2" s="10">
        <v>45737</v>
      </c>
      <c r="B2" s="11" t="s">
        <v>95</v>
      </c>
      <c r="C2" s="11" t="s">
        <v>96</v>
      </c>
      <c r="D2" s="11" t="s">
        <v>97</v>
      </c>
      <c r="E2" s="11">
        <v>2</v>
      </c>
      <c r="F2" s="11">
        <v>85</v>
      </c>
      <c r="G2" s="11">
        <v>23</v>
      </c>
      <c r="H2" s="11"/>
      <c r="I2" s="11">
        <v>9</v>
      </c>
      <c r="J2" s="11"/>
      <c r="K2" s="11" t="s">
        <v>98</v>
      </c>
      <c r="L2" s="11">
        <v>84</v>
      </c>
      <c r="M2" s="11">
        <v>21</v>
      </c>
      <c r="N2" s="11"/>
      <c r="O2" s="11">
        <v>8</v>
      </c>
      <c r="P2" s="11"/>
      <c r="Q2" s="11" t="s">
        <v>98</v>
      </c>
      <c r="R2" s="11">
        <v>80</v>
      </c>
      <c r="S2" s="11">
        <v>21</v>
      </c>
      <c r="T2" s="11"/>
      <c r="U2" s="11">
        <v>9</v>
      </c>
      <c r="V2" s="11"/>
      <c r="W2" s="11" t="s">
        <v>98</v>
      </c>
      <c r="X2" s="11">
        <v>96</v>
      </c>
      <c r="Y2" s="11">
        <v>22</v>
      </c>
      <c r="Z2" s="11"/>
      <c r="AA2" s="11">
        <v>9.8000000000000007</v>
      </c>
      <c r="AB2" s="11"/>
      <c r="AC2" s="11" t="s">
        <v>98</v>
      </c>
      <c r="AD2" s="11">
        <v>100</v>
      </c>
      <c r="AE2" s="11">
        <v>22</v>
      </c>
      <c r="AF2" s="11"/>
      <c r="AG2" s="11">
        <v>8.6</v>
      </c>
      <c r="AH2" s="11"/>
      <c r="AI2" s="11" t="s">
        <v>98</v>
      </c>
      <c r="AJ2" s="11">
        <v>80</v>
      </c>
      <c r="AK2" s="11">
        <v>20</v>
      </c>
      <c r="AL2" s="11"/>
      <c r="AM2" s="11">
        <v>7.2</v>
      </c>
      <c r="AN2" s="11"/>
      <c r="AO2" s="11" t="s">
        <v>98</v>
      </c>
      <c r="AP2" s="11">
        <v>90</v>
      </c>
      <c r="AQ2" s="11">
        <v>21</v>
      </c>
      <c r="AR2" s="11"/>
      <c r="AS2" s="11">
        <v>9.1999999999999993</v>
      </c>
      <c r="AT2" s="11"/>
      <c r="AU2" s="11" t="s">
        <v>98</v>
      </c>
      <c r="AV2" s="11">
        <v>70</v>
      </c>
      <c r="AW2" s="11">
        <v>22</v>
      </c>
      <c r="AX2" s="11"/>
      <c r="AY2" s="11">
        <v>7</v>
      </c>
      <c r="AZ2" s="11"/>
      <c r="BA2" s="11" t="s">
        <v>98</v>
      </c>
      <c r="BB2" s="11">
        <v>80</v>
      </c>
      <c r="BC2" s="11">
        <v>21</v>
      </c>
      <c r="BD2" s="11"/>
      <c r="BE2" s="11">
        <v>9</v>
      </c>
      <c r="BF2" s="11"/>
      <c r="BG2" s="11" t="s">
        <v>98</v>
      </c>
      <c r="BH2" s="11">
        <v>70</v>
      </c>
      <c r="BI2" s="11">
        <v>21</v>
      </c>
      <c r="BJ2" s="11"/>
      <c r="BK2" s="11">
        <v>8</v>
      </c>
      <c r="BL2" s="11"/>
      <c r="BM2" s="11" t="s">
        <v>98</v>
      </c>
      <c r="BN2" s="11">
        <v>75</v>
      </c>
      <c r="BO2" s="11">
        <v>22</v>
      </c>
      <c r="BP2" s="11"/>
      <c r="BQ2" s="11">
        <v>9.8000000000000007</v>
      </c>
      <c r="BR2" s="11"/>
      <c r="BS2" s="11" t="s">
        <v>98</v>
      </c>
      <c r="BT2" s="11">
        <v>70</v>
      </c>
      <c r="BU2" s="11">
        <v>21</v>
      </c>
      <c r="BV2" s="11"/>
      <c r="BW2" s="11">
        <v>8.1999999999999993</v>
      </c>
      <c r="BX2" s="11"/>
      <c r="BY2" s="11" t="s">
        <v>98</v>
      </c>
      <c r="BZ2" s="11">
        <v>85</v>
      </c>
      <c r="CA2" s="11">
        <v>23</v>
      </c>
      <c r="CB2" s="11"/>
      <c r="CC2" s="11">
        <v>9</v>
      </c>
      <c r="CD2" s="11"/>
      <c r="CE2" s="11" t="s">
        <v>98</v>
      </c>
      <c r="CF2" s="11">
        <v>77</v>
      </c>
      <c r="CG2" s="11">
        <v>21</v>
      </c>
      <c r="CH2" s="11"/>
      <c r="CI2" s="11">
        <v>8.4</v>
      </c>
      <c r="CJ2" s="11"/>
      <c r="CK2" s="11" t="s">
        <v>98</v>
      </c>
      <c r="CL2" s="11"/>
      <c r="CM2" s="11"/>
      <c r="CN2" s="11"/>
      <c r="CO2" s="11"/>
      <c r="CP2" s="11"/>
      <c r="CQ2" s="11"/>
    </row>
    <row r="3" spans="1:95" x14ac:dyDescent="0.3">
      <c r="A3" s="10">
        <v>45737</v>
      </c>
      <c r="B3" s="11" t="s">
        <v>95</v>
      </c>
      <c r="C3" s="11" t="s">
        <v>96</v>
      </c>
      <c r="D3" s="11" t="s">
        <v>97</v>
      </c>
      <c r="E3" s="11">
        <v>3</v>
      </c>
      <c r="F3" s="11">
        <v>90</v>
      </c>
      <c r="G3" s="11">
        <v>22</v>
      </c>
      <c r="H3" s="11"/>
      <c r="I3" s="11">
        <v>9</v>
      </c>
      <c r="J3" s="11"/>
      <c r="K3" s="11" t="s">
        <v>98</v>
      </c>
      <c r="L3" s="11">
        <v>85</v>
      </c>
      <c r="M3" s="11">
        <v>20</v>
      </c>
      <c r="N3" s="11"/>
      <c r="O3" s="11">
        <v>9</v>
      </c>
      <c r="P3" s="11"/>
      <c r="Q3" s="11" t="s">
        <v>98</v>
      </c>
      <c r="R3" s="11">
        <v>100</v>
      </c>
      <c r="S3" s="11">
        <v>26</v>
      </c>
      <c r="T3" s="11"/>
      <c r="U3" s="11">
        <v>10.199999999999999</v>
      </c>
      <c r="V3" s="11"/>
      <c r="W3" s="11" t="s">
        <v>98</v>
      </c>
      <c r="X3" s="11">
        <v>82</v>
      </c>
      <c r="Y3" s="11">
        <v>22</v>
      </c>
      <c r="Z3" s="11"/>
      <c r="AA3" s="11">
        <v>9</v>
      </c>
      <c r="AB3" s="11"/>
      <c r="AC3" s="11" t="s">
        <v>98</v>
      </c>
      <c r="AD3" s="11">
        <v>85</v>
      </c>
      <c r="AE3" s="11">
        <v>27</v>
      </c>
      <c r="AF3" s="11"/>
      <c r="AG3" s="11">
        <v>9</v>
      </c>
      <c r="AH3" s="11"/>
      <c r="AI3" s="11" t="s">
        <v>98</v>
      </c>
      <c r="AJ3" s="11">
        <v>80</v>
      </c>
      <c r="AK3" s="11">
        <v>22</v>
      </c>
      <c r="AL3" s="11"/>
      <c r="AM3" s="11">
        <v>8.8000000000000007</v>
      </c>
      <c r="AN3" s="11"/>
      <c r="AO3" s="11" t="s">
        <v>98</v>
      </c>
      <c r="AP3" s="11">
        <v>90</v>
      </c>
      <c r="AQ3" s="11">
        <v>25</v>
      </c>
      <c r="AR3" s="11"/>
      <c r="AS3" s="11">
        <v>11.8</v>
      </c>
      <c r="AT3" s="11"/>
      <c r="AU3" s="11" t="s">
        <v>98</v>
      </c>
      <c r="AV3" s="11">
        <v>87</v>
      </c>
      <c r="AW3" s="11">
        <v>20</v>
      </c>
      <c r="AX3" s="11"/>
      <c r="AY3" s="11">
        <v>8.4</v>
      </c>
      <c r="AZ3" s="11"/>
      <c r="BA3" s="11" t="s">
        <v>98</v>
      </c>
      <c r="BB3" s="11">
        <v>90</v>
      </c>
      <c r="BC3" s="11">
        <v>22</v>
      </c>
      <c r="BD3" s="11"/>
      <c r="BE3" s="11">
        <v>9.6</v>
      </c>
      <c r="BF3" s="11"/>
      <c r="BG3" s="11" t="s">
        <v>98</v>
      </c>
      <c r="BH3" s="11">
        <v>95</v>
      </c>
      <c r="BI3" s="11">
        <v>21</v>
      </c>
      <c r="BJ3" s="11"/>
      <c r="BK3" s="11">
        <v>7.4</v>
      </c>
      <c r="BL3" s="11"/>
      <c r="BM3" s="11" t="s">
        <v>98</v>
      </c>
      <c r="BN3" s="11">
        <v>75</v>
      </c>
      <c r="BO3" s="11">
        <v>19</v>
      </c>
      <c r="BP3" s="11"/>
      <c r="BQ3" s="11">
        <v>7.2</v>
      </c>
      <c r="BR3" s="11"/>
      <c r="BS3" s="11" t="s">
        <v>98</v>
      </c>
      <c r="BT3" s="11">
        <v>82</v>
      </c>
      <c r="BU3" s="11">
        <v>22</v>
      </c>
      <c r="BV3" s="11"/>
      <c r="BW3" s="11">
        <v>10</v>
      </c>
      <c r="BX3" s="11"/>
      <c r="BY3" s="11" t="s">
        <v>98</v>
      </c>
      <c r="BZ3" s="11">
        <v>95</v>
      </c>
      <c r="CA3" s="11">
        <v>22</v>
      </c>
      <c r="CB3" s="11"/>
      <c r="CC3" s="11">
        <v>10.4</v>
      </c>
      <c r="CD3" s="11"/>
      <c r="CE3" s="11" t="s">
        <v>98</v>
      </c>
      <c r="CF3" s="11">
        <v>95</v>
      </c>
      <c r="CG3" s="11">
        <v>21</v>
      </c>
      <c r="CH3" s="11"/>
      <c r="CI3" s="11">
        <v>10.6</v>
      </c>
      <c r="CJ3" s="11"/>
      <c r="CK3" s="11" t="s">
        <v>98</v>
      </c>
      <c r="CL3" s="11"/>
      <c r="CM3" s="11"/>
      <c r="CN3" s="11"/>
      <c r="CO3" s="11"/>
      <c r="CP3" s="11"/>
      <c r="CQ3" s="11"/>
    </row>
    <row r="4" spans="1:95" x14ac:dyDescent="0.3">
      <c r="A4" s="10">
        <v>45737</v>
      </c>
      <c r="B4" s="11" t="s">
        <v>95</v>
      </c>
      <c r="C4" s="11" t="s">
        <v>96</v>
      </c>
      <c r="D4" s="11" t="s">
        <v>99</v>
      </c>
      <c r="E4" s="11">
        <v>2</v>
      </c>
      <c r="F4" s="11">
        <v>70</v>
      </c>
      <c r="G4" s="11">
        <v>20</v>
      </c>
      <c r="H4" s="11"/>
      <c r="I4" s="11">
        <v>9</v>
      </c>
      <c r="J4" s="11"/>
      <c r="K4" s="11" t="s">
        <v>98</v>
      </c>
      <c r="L4" s="11">
        <v>75</v>
      </c>
      <c r="M4" s="11">
        <v>19</v>
      </c>
      <c r="N4" s="11"/>
      <c r="O4" s="11">
        <v>11</v>
      </c>
      <c r="P4" s="11"/>
      <c r="Q4" s="11" t="s">
        <v>98</v>
      </c>
      <c r="R4" s="11">
        <v>100</v>
      </c>
      <c r="S4" s="11">
        <v>22</v>
      </c>
      <c r="T4" s="11"/>
      <c r="U4" s="11">
        <v>9</v>
      </c>
      <c r="V4" s="11"/>
      <c r="W4" s="11" t="s">
        <v>98</v>
      </c>
      <c r="X4" s="11">
        <v>93</v>
      </c>
      <c r="Y4" s="11">
        <v>23</v>
      </c>
      <c r="Z4" s="11"/>
      <c r="AA4" s="11">
        <v>9</v>
      </c>
      <c r="AB4" s="11"/>
      <c r="AC4" s="11" t="s">
        <v>98</v>
      </c>
      <c r="AD4" s="11">
        <v>85</v>
      </c>
      <c r="AE4" s="11">
        <v>21</v>
      </c>
      <c r="AF4" s="11"/>
      <c r="AG4" s="11">
        <v>8</v>
      </c>
      <c r="AH4" s="11"/>
      <c r="AI4" s="11" t="s">
        <v>98</v>
      </c>
      <c r="AJ4" s="11">
        <v>70</v>
      </c>
      <c r="AK4" s="11">
        <v>17</v>
      </c>
      <c r="AL4" s="11"/>
      <c r="AM4" s="11">
        <v>8</v>
      </c>
      <c r="AN4" s="11"/>
      <c r="AO4" s="11" t="s">
        <v>98</v>
      </c>
      <c r="AP4" s="11">
        <v>70</v>
      </c>
      <c r="AQ4" s="11">
        <v>19</v>
      </c>
      <c r="AR4" s="11"/>
      <c r="AS4" s="11">
        <v>8.6</v>
      </c>
      <c r="AT4" s="11"/>
      <c r="AU4" s="11" t="s">
        <v>98</v>
      </c>
      <c r="AV4" s="11">
        <v>90</v>
      </c>
      <c r="AW4" s="11">
        <v>19</v>
      </c>
      <c r="AX4" s="11"/>
      <c r="AY4" s="11">
        <v>8.6</v>
      </c>
      <c r="AZ4" s="11"/>
      <c r="BA4" s="11" t="s">
        <v>98</v>
      </c>
      <c r="BB4" s="11">
        <v>100</v>
      </c>
      <c r="BC4" s="11">
        <v>25</v>
      </c>
      <c r="BD4" s="11"/>
      <c r="BE4" s="11">
        <v>10.6</v>
      </c>
      <c r="BF4" s="11"/>
      <c r="BG4" s="11" t="s">
        <v>98</v>
      </c>
      <c r="BH4" s="11">
        <v>80</v>
      </c>
      <c r="BI4" s="11">
        <v>23</v>
      </c>
      <c r="BJ4" s="11"/>
      <c r="BK4" s="11">
        <v>8.1999999999999993</v>
      </c>
      <c r="BL4" s="11"/>
      <c r="BM4" s="11" t="s">
        <v>98</v>
      </c>
      <c r="BN4" s="11">
        <v>70</v>
      </c>
      <c r="BO4" s="11">
        <v>18</v>
      </c>
      <c r="BP4" s="11"/>
      <c r="BQ4" s="11">
        <v>8</v>
      </c>
      <c r="BR4" s="11"/>
      <c r="BS4" s="11" t="s">
        <v>98</v>
      </c>
      <c r="BT4" s="11">
        <v>80</v>
      </c>
      <c r="BU4" s="11">
        <v>22</v>
      </c>
      <c r="BV4" s="11"/>
      <c r="BW4" s="11">
        <v>9</v>
      </c>
      <c r="BX4" s="11"/>
      <c r="BY4" s="11" t="s">
        <v>98</v>
      </c>
      <c r="BZ4" s="11">
        <v>87</v>
      </c>
      <c r="CA4" s="11">
        <v>24</v>
      </c>
      <c r="CB4" s="11"/>
      <c r="CC4" s="11">
        <v>9</v>
      </c>
      <c r="CD4" s="11"/>
      <c r="CE4" s="11" t="s">
        <v>98</v>
      </c>
      <c r="CF4" s="11">
        <v>85</v>
      </c>
      <c r="CG4" s="11">
        <v>23</v>
      </c>
      <c r="CH4" s="11"/>
      <c r="CI4" s="11">
        <v>10.199999999999999</v>
      </c>
      <c r="CJ4" s="11"/>
      <c r="CK4" s="11" t="s">
        <v>98</v>
      </c>
      <c r="CL4" s="11"/>
      <c r="CM4" s="11"/>
      <c r="CN4" s="11"/>
      <c r="CO4" s="11"/>
      <c r="CP4" s="11"/>
      <c r="CQ4" s="11"/>
    </row>
    <row r="5" spans="1:95" x14ac:dyDescent="0.3">
      <c r="A5" s="10">
        <v>45737</v>
      </c>
      <c r="B5" s="11" t="s">
        <v>95</v>
      </c>
      <c r="C5" s="11" t="s">
        <v>96</v>
      </c>
      <c r="D5" s="11" t="s">
        <v>97</v>
      </c>
      <c r="E5" s="11">
        <v>1</v>
      </c>
      <c r="F5" s="11">
        <v>90</v>
      </c>
      <c r="G5" s="11">
        <v>23</v>
      </c>
      <c r="H5" s="11"/>
      <c r="I5" s="11">
        <v>12</v>
      </c>
      <c r="J5" s="11"/>
      <c r="K5" s="11" t="s">
        <v>98</v>
      </c>
      <c r="L5" s="11">
        <v>100</v>
      </c>
      <c r="M5" s="11">
        <v>24</v>
      </c>
      <c r="N5" s="11"/>
      <c r="O5" s="11">
        <v>11</v>
      </c>
      <c r="P5" s="11"/>
      <c r="Q5" s="11" t="s">
        <v>98</v>
      </c>
      <c r="R5" s="11">
        <v>75</v>
      </c>
      <c r="S5" s="11">
        <v>19</v>
      </c>
      <c r="T5" s="11"/>
      <c r="U5" s="11">
        <v>9</v>
      </c>
      <c r="V5" s="11"/>
      <c r="W5" s="11" t="s">
        <v>98</v>
      </c>
      <c r="X5" s="11">
        <v>80</v>
      </c>
      <c r="Y5" s="11">
        <v>20</v>
      </c>
      <c r="Z5" s="11"/>
      <c r="AA5" s="11">
        <v>10</v>
      </c>
      <c r="AB5" s="11"/>
      <c r="AC5" s="11" t="s">
        <v>98</v>
      </c>
      <c r="AD5" s="11">
        <v>90</v>
      </c>
      <c r="AE5" s="11">
        <v>21</v>
      </c>
      <c r="AF5" s="11"/>
      <c r="AG5" s="11">
        <v>9.6</v>
      </c>
      <c r="AH5" s="11"/>
      <c r="AI5" s="11" t="s">
        <v>98</v>
      </c>
      <c r="AJ5" s="11">
        <v>76</v>
      </c>
      <c r="AK5" s="11">
        <v>19</v>
      </c>
      <c r="AL5" s="11"/>
      <c r="AM5" s="11">
        <v>10</v>
      </c>
      <c r="AN5" s="11"/>
      <c r="AO5" s="11" t="s">
        <v>98</v>
      </c>
      <c r="AP5" s="11">
        <v>95</v>
      </c>
      <c r="AQ5" s="11">
        <v>22</v>
      </c>
      <c r="AR5" s="11"/>
      <c r="AS5" s="11">
        <v>10.6</v>
      </c>
      <c r="AT5" s="11"/>
      <c r="AU5" s="11" t="s">
        <v>98</v>
      </c>
      <c r="AV5" s="11">
        <v>90</v>
      </c>
      <c r="AW5" s="11">
        <v>23</v>
      </c>
      <c r="AX5" s="11"/>
      <c r="AY5" s="11">
        <v>11</v>
      </c>
      <c r="AZ5" s="11"/>
      <c r="BA5" s="11" t="s">
        <v>98</v>
      </c>
      <c r="BB5" s="11">
        <v>86</v>
      </c>
      <c r="BC5" s="11">
        <v>17</v>
      </c>
      <c r="BD5" s="11"/>
      <c r="BE5" s="11">
        <v>7.8</v>
      </c>
      <c r="BF5" s="11"/>
      <c r="BG5" s="11" t="s">
        <v>98</v>
      </c>
      <c r="BH5" s="11">
        <v>93</v>
      </c>
      <c r="BI5" s="11">
        <v>23</v>
      </c>
      <c r="BJ5" s="11"/>
      <c r="BK5" s="11">
        <v>9.4</v>
      </c>
      <c r="BL5" s="11"/>
      <c r="BM5" s="11" t="s">
        <v>98</v>
      </c>
      <c r="BN5" s="11">
        <v>86</v>
      </c>
      <c r="BO5" s="11">
        <v>21</v>
      </c>
      <c r="BP5" s="11"/>
      <c r="BQ5" s="11">
        <v>10.4</v>
      </c>
      <c r="BR5" s="11"/>
      <c r="BS5" s="11" t="s">
        <v>98</v>
      </c>
      <c r="BT5" s="11">
        <v>78</v>
      </c>
      <c r="BU5" s="11">
        <v>23</v>
      </c>
      <c r="BV5" s="11"/>
      <c r="BW5" s="11">
        <v>9</v>
      </c>
      <c r="BX5" s="11"/>
      <c r="BY5" s="11" t="s">
        <v>98</v>
      </c>
      <c r="BZ5" s="11">
        <v>100</v>
      </c>
      <c r="CA5" s="11">
        <v>24</v>
      </c>
      <c r="CB5" s="11"/>
      <c r="CC5" s="11">
        <v>10</v>
      </c>
      <c r="CD5" s="11"/>
      <c r="CE5" s="11" t="s">
        <v>98</v>
      </c>
      <c r="CF5" s="11">
        <v>85</v>
      </c>
      <c r="CG5" s="11">
        <v>23</v>
      </c>
      <c r="CH5" s="11"/>
      <c r="CI5" s="11">
        <v>10</v>
      </c>
      <c r="CJ5" s="11"/>
      <c r="CK5" s="11" t="s">
        <v>98</v>
      </c>
      <c r="CL5" s="11"/>
      <c r="CM5" s="11"/>
      <c r="CN5" s="11"/>
      <c r="CO5" s="11"/>
      <c r="CP5" s="11"/>
      <c r="CQ5" s="11"/>
    </row>
    <row r="6" spans="1:95" ht="28.8" x14ac:dyDescent="0.3">
      <c r="A6" s="10">
        <v>45737</v>
      </c>
      <c r="B6" s="11" t="s">
        <v>100</v>
      </c>
      <c r="C6" s="11" t="s">
        <v>96</v>
      </c>
      <c r="D6" s="11" t="s">
        <v>101</v>
      </c>
      <c r="E6" s="11">
        <v>3</v>
      </c>
      <c r="F6" s="11">
        <v>93</v>
      </c>
      <c r="G6" s="11">
        <v>26</v>
      </c>
      <c r="H6" s="11"/>
      <c r="I6" s="12">
        <v>0.42222222222222222</v>
      </c>
      <c r="J6" s="11"/>
      <c r="K6" s="11" t="s">
        <v>102</v>
      </c>
      <c r="L6" s="11">
        <v>73</v>
      </c>
      <c r="M6" s="11">
        <v>18</v>
      </c>
      <c r="N6" s="11"/>
      <c r="O6" s="11">
        <v>7</v>
      </c>
      <c r="P6" s="11"/>
      <c r="Q6" s="11" t="s">
        <v>103</v>
      </c>
      <c r="R6" s="11">
        <v>100</v>
      </c>
      <c r="S6" s="11">
        <v>26</v>
      </c>
      <c r="T6" s="11"/>
      <c r="U6" s="11">
        <v>10</v>
      </c>
      <c r="V6" s="11"/>
      <c r="W6" s="11" t="s">
        <v>102</v>
      </c>
      <c r="X6" s="11">
        <v>70</v>
      </c>
      <c r="Y6" s="11">
        <v>16</v>
      </c>
      <c r="Z6" s="11"/>
      <c r="AA6" s="11">
        <v>7</v>
      </c>
      <c r="AB6" s="11"/>
      <c r="AC6" s="11" t="s">
        <v>102</v>
      </c>
      <c r="AD6" s="11">
        <v>73</v>
      </c>
      <c r="AE6" s="11">
        <v>21</v>
      </c>
      <c r="AF6" s="11"/>
      <c r="AG6" s="11">
        <v>8</v>
      </c>
      <c r="AH6" s="11"/>
      <c r="AI6" s="11" t="s">
        <v>102</v>
      </c>
      <c r="AJ6" s="11">
        <v>83</v>
      </c>
      <c r="AK6" s="11">
        <v>22</v>
      </c>
      <c r="AL6" s="11"/>
      <c r="AM6" s="11">
        <v>10</v>
      </c>
      <c r="AN6" s="11"/>
      <c r="AO6" s="11" t="s">
        <v>102</v>
      </c>
      <c r="AP6" s="11">
        <v>90</v>
      </c>
      <c r="AQ6" s="11">
        <v>23</v>
      </c>
      <c r="AR6" s="11"/>
      <c r="AS6" s="11">
        <v>8</v>
      </c>
      <c r="AT6" s="11"/>
      <c r="AU6" s="11" t="s">
        <v>102</v>
      </c>
      <c r="AV6" s="11">
        <v>82</v>
      </c>
      <c r="AW6" s="11">
        <v>21</v>
      </c>
      <c r="AX6" s="11"/>
      <c r="AY6" s="11">
        <v>10</v>
      </c>
      <c r="AZ6" s="11"/>
      <c r="BA6" s="11" t="s">
        <v>102</v>
      </c>
      <c r="BB6" s="11">
        <v>70</v>
      </c>
      <c r="BC6" s="11">
        <v>20</v>
      </c>
      <c r="BD6" s="11"/>
      <c r="BE6" s="11">
        <v>8</v>
      </c>
      <c r="BF6" s="11"/>
      <c r="BG6" s="11" t="s">
        <v>102</v>
      </c>
      <c r="BH6" s="11">
        <v>78</v>
      </c>
      <c r="BI6" s="11">
        <v>21</v>
      </c>
      <c r="BJ6" s="11"/>
      <c r="BK6" s="11">
        <v>10</v>
      </c>
      <c r="BL6" s="11"/>
      <c r="BM6" s="11" t="s">
        <v>102</v>
      </c>
      <c r="BN6" s="11">
        <v>72</v>
      </c>
      <c r="BO6" s="11">
        <v>19</v>
      </c>
      <c r="BP6" s="11"/>
      <c r="BQ6" s="11">
        <v>8</v>
      </c>
      <c r="BR6" s="11"/>
      <c r="BS6" s="11" t="s">
        <v>102</v>
      </c>
      <c r="BT6" s="11">
        <v>110</v>
      </c>
      <c r="BU6" s="11">
        <v>26</v>
      </c>
      <c r="BV6" s="11"/>
      <c r="BW6" s="11">
        <v>10</v>
      </c>
      <c r="BX6" s="11"/>
      <c r="BY6" s="11" t="s">
        <v>102</v>
      </c>
      <c r="BZ6" s="11">
        <v>100</v>
      </c>
      <c r="CA6" s="11">
        <v>24</v>
      </c>
      <c r="CB6" s="11"/>
      <c r="CC6" s="11">
        <v>10</v>
      </c>
      <c r="CD6" s="11"/>
      <c r="CE6" s="11" t="s">
        <v>102</v>
      </c>
      <c r="CF6" s="11">
        <v>110</v>
      </c>
      <c r="CG6" s="11">
        <v>25</v>
      </c>
      <c r="CH6" s="11"/>
      <c r="CI6" s="11">
        <v>10</v>
      </c>
      <c r="CJ6" s="11"/>
      <c r="CK6" s="11" t="s">
        <v>102</v>
      </c>
      <c r="CL6" s="11"/>
      <c r="CM6" s="11"/>
      <c r="CN6" s="11"/>
      <c r="CO6" s="11"/>
      <c r="CP6" s="11"/>
      <c r="CQ6" s="11"/>
    </row>
    <row r="7" spans="1:95" ht="28.8" x14ac:dyDescent="0.3">
      <c r="A7" s="10">
        <v>45737</v>
      </c>
      <c r="B7" s="11" t="s">
        <v>100</v>
      </c>
      <c r="C7" s="11" t="s">
        <v>96</v>
      </c>
      <c r="D7" s="11" t="s">
        <v>99</v>
      </c>
      <c r="E7" s="11">
        <v>3</v>
      </c>
      <c r="F7" s="11">
        <v>72</v>
      </c>
      <c r="G7" s="11">
        <v>21</v>
      </c>
      <c r="H7" s="11"/>
      <c r="I7" s="11">
        <v>9</v>
      </c>
      <c r="J7" s="11"/>
      <c r="K7" s="11" t="s">
        <v>102</v>
      </c>
      <c r="L7" s="11">
        <v>72</v>
      </c>
      <c r="M7" s="11">
        <v>20</v>
      </c>
      <c r="N7" s="11"/>
      <c r="O7" s="11">
        <v>8</v>
      </c>
      <c r="P7" s="11"/>
      <c r="Q7" s="11" t="s">
        <v>102</v>
      </c>
      <c r="R7" s="11">
        <v>74</v>
      </c>
      <c r="S7" s="11">
        <v>19</v>
      </c>
      <c r="T7" s="11"/>
      <c r="U7" s="11">
        <v>9</v>
      </c>
      <c r="V7" s="11"/>
      <c r="W7" s="11" t="s">
        <v>102</v>
      </c>
      <c r="X7" s="11">
        <v>90</v>
      </c>
      <c r="Y7" s="11">
        <v>24</v>
      </c>
      <c r="Z7" s="11"/>
      <c r="AA7" s="11">
        <v>10</v>
      </c>
      <c r="AB7" s="11"/>
      <c r="AC7" s="11" t="s">
        <v>102</v>
      </c>
      <c r="AD7" s="11">
        <v>94</v>
      </c>
      <c r="AE7" s="11">
        <v>30</v>
      </c>
      <c r="AF7" s="11"/>
      <c r="AG7" s="11">
        <v>10</v>
      </c>
      <c r="AH7" s="11"/>
      <c r="AI7" s="11" t="s">
        <v>102</v>
      </c>
      <c r="AJ7" s="11">
        <v>80</v>
      </c>
      <c r="AK7" s="11">
        <v>23</v>
      </c>
      <c r="AL7" s="11"/>
      <c r="AM7" s="11">
        <v>9</v>
      </c>
      <c r="AN7" s="11"/>
      <c r="AO7" s="11" t="s">
        <v>102</v>
      </c>
      <c r="AP7" s="11">
        <v>92</v>
      </c>
      <c r="AQ7" s="11">
        <v>24</v>
      </c>
      <c r="AR7" s="11"/>
      <c r="AS7" s="11">
        <v>9</v>
      </c>
      <c r="AT7" s="11"/>
      <c r="AU7" s="11" t="s">
        <v>102</v>
      </c>
      <c r="AV7" s="11">
        <v>75</v>
      </c>
      <c r="AW7" s="11">
        <v>21</v>
      </c>
      <c r="AX7" s="11"/>
      <c r="AY7" s="11">
        <v>8</v>
      </c>
      <c r="AZ7" s="11"/>
      <c r="BA7" s="11" t="s">
        <v>102</v>
      </c>
      <c r="BB7" s="11">
        <v>102</v>
      </c>
      <c r="BC7" s="11">
        <v>24</v>
      </c>
      <c r="BD7" s="11"/>
      <c r="BE7" s="12">
        <v>0.4597222222222222</v>
      </c>
      <c r="BF7" s="11"/>
      <c r="BG7" s="11" t="s">
        <v>102</v>
      </c>
      <c r="BH7" s="11">
        <v>80</v>
      </c>
      <c r="BI7" s="11">
        <v>22</v>
      </c>
      <c r="BJ7" s="11"/>
      <c r="BK7" s="11">
        <v>8</v>
      </c>
      <c r="BL7" s="11"/>
      <c r="BM7" s="11" t="s">
        <v>102</v>
      </c>
      <c r="BN7" s="11">
        <v>78</v>
      </c>
      <c r="BO7" s="11">
        <v>23</v>
      </c>
      <c r="BP7" s="11"/>
      <c r="BQ7" s="11">
        <v>6</v>
      </c>
      <c r="BR7" s="11"/>
      <c r="BS7" s="11" t="s">
        <v>102</v>
      </c>
      <c r="BT7" s="11">
        <v>70</v>
      </c>
      <c r="BU7" s="11">
        <v>20</v>
      </c>
      <c r="BV7" s="11"/>
      <c r="BW7" s="11">
        <v>8</v>
      </c>
      <c r="BX7" s="11"/>
      <c r="BY7" s="11" t="s">
        <v>102</v>
      </c>
      <c r="BZ7" s="11">
        <v>71</v>
      </c>
      <c r="CA7" s="11">
        <v>22</v>
      </c>
      <c r="CB7" s="11"/>
      <c r="CC7" s="11">
        <v>7</v>
      </c>
      <c r="CD7" s="11"/>
      <c r="CE7" s="11" t="s">
        <v>102</v>
      </c>
      <c r="CF7" s="11">
        <v>85</v>
      </c>
      <c r="CG7" s="11">
        <v>26</v>
      </c>
      <c r="CH7" s="11"/>
      <c r="CI7" s="11">
        <v>10</v>
      </c>
      <c r="CJ7" s="11"/>
      <c r="CK7" s="11" t="s">
        <v>103</v>
      </c>
      <c r="CL7" s="11"/>
      <c r="CM7" s="11"/>
      <c r="CN7" s="11"/>
      <c r="CO7" s="11"/>
      <c r="CP7" s="11"/>
      <c r="CQ7" s="11"/>
    </row>
    <row r="8" spans="1:95" ht="28.8" x14ac:dyDescent="0.3">
      <c r="A8" s="10">
        <v>45737</v>
      </c>
      <c r="B8" s="11" t="s">
        <v>100</v>
      </c>
      <c r="C8" s="11" t="s">
        <v>96</v>
      </c>
      <c r="D8" s="11" t="s">
        <v>97</v>
      </c>
      <c r="E8" s="11">
        <v>3</v>
      </c>
      <c r="F8" s="11">
        <v>100</v>
      </c>
      <c r="G8" s="11">
        <v>22</v>
      </c>
      <c r="H8" s="11"/>
      <c r="I8" s="12">
        <v>0.46388888888888885</v>
      </c>
      <c r="J8" s="11"/>
      <c r="K8" s="11" t="s">
        <v>102</v>
      </c>
      <c r="L8" s="11">
        <v>79</v>
      </c>
      <c r="M8" s="11">
        <v>20</v>
      </c>
      <c r="N8" s="11"/>
      <c r="O8" s="11">
        <v>9</v>
      </c>
      <c r="P8" s="11"/>
      <c r="Q8" s="11" t="s">
        <v>102</v>
      </c>
      <c r="R8" s="11">
        <v>96</v>
      </c>
      <c r="S8" s="11">
        <v>21</v>
      </c>
      <c r="T8" s="11"/>
      <c r="U8" s="11">
        <v>10</v>
      </c>
      <c r="V8" s="11"/>
      <c r="W8" s="11" t="s">
        <v>102</v>
      </c>
      <c r="X8" s="11">
        <v>100</v>
      </c>
      <c r="Y8" s="11">
        <v>26</v>
      </c>
      <c r="Z8" s="11"/>
      <c r="AA8" s="12">
        <v>0.42222222222222222</v>
      </c>
      <c r="AB8" s="11"/>
      <c r="AC8" s="11" t="s">
        <v>102</v>
      </c>
      <c r="AD8" s="11">
        <v>105</v>
      </c>
      <c r="AE8" s="11">
        <v>25</v>
      </c>
      <c r="AF8" s="11"/>
      <c r="AG8" s="11">
        <v>11</v>
      </c>
      <c r="AH8" s="11"/>
      <c r="AI8" s="11" t="s">
        <v>102</v>
      </c>
      <c r="AJ8" s="11">
        <v>70</v>
      </c>
      <c r="AK8" s="11">
        <v>20</v>
      </c>
      <c r="AL8" s="11"/>
      <c r="AM8" s="11">
        <v>8</v>
      </c>
      <c r="AN8" s="11"/>
      <c r="AO8" s="11" t="s">
        <v>102</v>
      </c>
      <c r="AP8" s="11">
        <v>80</v>
      </c>
      <c r="AQ8" s="11">
        <v>22</v>
      </c>
      <c r="AR8" s="11"/>
      <c r="AS8" s="11">
        <v>10</v>
      </c>
      <c r="AT8" s="11"/>
      <c r="AU8" s="11" t="s">
        <v>102</v>
      </c>
      <c r="AV8" s="11">
        <v>85</v>
      </c>
      <c r="AW8" s="11">
        <v>24</v>
      </c>
      <c r="AX8" s="11"/>
      <c r="AY8" s="11">
        <v>11</v>
      </c>
      <c r="AZ8" s="11"/>
      <c r="BA8" s="11" t="s">
        <v>102</v>
      </c>
      <c r="BB8" s="11">
        <v>80</v>
      </c>
      <c r="BC8" s="11">
        <v>25</v>
      </c>
      <c r="BD8" s="11"/>
      <c r="BE8" s="11">
        <v>10</v>
      </c>
      <c r="BF8" s="11"/>
      <c r="BG8" s="11" t="s">
        <v>102</v>
      </c>
      <c r="BH8" s="11">
        <v>75</v>
      </c>
      <c r="BI8" s="11">
        <v>19</v>
      </c>
      <c r="BJ8" s="11"/>
      <c r="BK8" s="11">
        <v>8</v>
      </c>
      <c r="BL8" s="11"/>
      <c r="BM8" s="11" t="s">
        <v>102</v>
      </c>
      <c r="BN8" s="11">
        <v>77</v>
      </c>
      <c r="BO8" s="11">
        <v>20</v>
      </c>
      <c r="BP8" s="11"/>
      <c r="BQ8" s="11">
        <v>8</v>
      </c>
      <c r="BR8" s="11"/>
      <c r="BS8" s="11" t="s">
        <v>102</v>
      </c>
      <c r="BT8" s="11">
        <v>105</v>
      </c>
      <c r="BU8" s="11">
        <v>24</v>
      </c>
      <c r="BV8" s="11"/>
      <c r="BW8" s="12">
        <v>0.50138888888888888</v>
      </c>
      <c r="BX8" s="11"/>
      <c r="BY8" s="11" t="s">
        <v>102</v>
      </c>
      <c r="BZ8" s="11">
        <v>77</v>
      </c>
      <c r="CA8" s="11">
        <v>25</v>
      </c>
      <c r="CB8" s="11"/>
      <c r="CC8" s="11">
        <v>9</v>
      </c>
      <c r="CD8" s="11"/>
      <c r="CE8" s="11" t="s">
        <v>102</v>
      </c>
      <c r="CF8" s="11">
        <v>97</v>
      </c>
      <c r="CG8" s="11">
        <v>23</v>
      </c>
      <c r="CH8" s="11"/>
      <c r="CI8" s="12">
        <v>0.42222222222222222</v>
      </c>
      <c r="CJ8" s="11"/>
      <c r="CK8" s="11" t="s">
        <v>102</v>
      </c>
      <c r="CL8" s="11"/>
      <c r="CM8" s="11"/>
      <c r="CN8" s="11"/>
      <c r="CO8" s="11"/>
      <c r="CP8" s="11"/>
      <c r="CQ8" s="11"/>
    </row>
    <row r="9" spans="1:95" ht="28.8" x14ac:dyDescent="0.3">
      <c r="A9" s="10">
        <v>45737</v>
      </c>
      <c r="B9" s="11" t="s">
        <v>100</v>
      </c>
      <c r="C9" s="11" t="s">
        <v>96</v>
      </c>
      <c r="D9" s="11" t="s">
        <v>101</v>
      </c>
      <c r="E9" s="11">
        <v>2</v>
      </c>
      <c r="F9" s="11">
        <v>88</v>
      </c>
      <c r="G9" s="11">
        <v>26</v>
      </c>
      <c r="H9" s="11"/>
      <c r="I9" s="11">
        <v>9</v>
      </c>
      <c r="J9" s="11"/>
      <c r="K9" s="11" t="s">
        <v>102</v>
      </c>
      <c r="L9" s="11">
        <v>82</v>
      </c>
      <c r="M9" s="11">
        <v>23</v>
      </c>
      <c r="N9" s="11"/>
      <c r="O9" s="11">
        <v>9</v>
      </c>
      <c r="P9" s="11"/>
      <c r="Q9" s="11" t="s">
        <v>102</v>
      </c>
      <c r="R9" s="11">
        <v>90</v>
      </c>
      <c r="S9" s="11">
        <v>26</v>
      </c>
      <c r="T9" s="11"/>
      <c r="U9" s="11">
        <v>11</v>
      </c>
      <c r="V9" s="11"/>
      <c r="W9" s="11" t="s">
        <v>102</v>
      </c>
      <c r="X9" s="11">
        <v>87</v>
      </c>
      <c r="Y9" s="11">
        <v>23</v>
      </c>
      <c r="Z9" s="11"/>
      <c r="AA9" s="11">
        <v>10</v>
      </c>
      <c r="AB9" s="11"/>
      <c r="AC9" s="11" t="s">
        <v>102</v>
      </c>
      <c r="AD9" s="11">
        <v>100</v>
      </c>
      <c r="AE9" s="11">
        <v>24</v>
      </c>
      <c r="AF9" s="11"/>
      <c r="AG9" s="11">
        <v>10</v>
      </c>
      <c r="AH9" s="11"/>
      <c r="AI9" s="11" t="s">
        <v>102</v>
      </c>
      <c r="AJ9" s="11">
        <v>80</v>
      </c>
      <c r="AK9" s="11">
        <v>25</v>
      </c>
      <c r="AL9" s="11"/>
      <c r="AM9" s="11">
        <v>9</v>
      </c>
      <c r="AN9" s="11"/>
      <c r="AO9" s="11" t="s">
        <v>102</v>
      </c>
      <c r="AP9" s="11">
        <v>88</v>
      </c>
      <c r="AQ9" s="11">
        <v>25</v>
      </c>
      <c r="AR9" s="11"/>
      <c r="AS9" s="11">
        <v>9</v>
      </c>
      <c r="AT9" s="11"/>
      <c r="AU9" s="11" t="s">
        <v>102</v>
      </c>
      <c r="AV9" s="11">
        <v>90</v>
      </c>
      <c r="AW9" s="11">
        <v>21</v>
      </c>
      <c r="AX9" s="11"/>
      <c r="AY9" s="11">
        <v>11</v>
      </c>
      <c r="AZ9" s="11"/>
      <c r="BA9" s="11" t="s">
        <v>102</v>
      </c>
      <c r="BB9" s="11">
        <v>87</v>
      </c>
      <c r="BC9" s="11">
        <v>23</v>
      </c>
      <c r="BD9" s="11"/>
      <c r="BE9" s="12">
        <v>0.4597222222222222</v>
      </c>
      <c r="BF9" s="11"/>
      <c r="BG9" s="11" t="s">
        <v>102</v>
      </c>
      <c r="BH9" s="11">
        <v>105</v>
      </c>
      <c r="BI9" s="11">
        <v>27</v>
      </c>
      <c r="BJ9" s="11"/>
      <c r="BK9" s="12">
        <v>0.42222222222222222</v>
      </c>
      <c r="BL9" s="11"/>
      <c r="BM9" s="11" t="s">
        <v>102</v>
      </c>
      <c r="BN9" s="11">
        <v>100</v>
      </c>
      <c r="BO9" s="11">
        <v>27</v>
      </c>
      <c r="BP9" s="11"/>
      <c r="BQ9" s="12">
        <v>0.46388888888888885</v>
      </c>
      <c r="BR9" s="11"/>
      <c r="BS9" s="11" t="s">
        <v>102</v>
      </c>
      <c r="BT9" s="11">
        <v>98</v>
      </c>
      <c r="BU9" s="11">
        <v>27</v>
      </c>
      <c r="BV9" s="11"/>
      <c r="BW9" s="12">
        <v>0.42222222222222222</v>
      </c>
      <c r="BX9" s="11"/>
      <c r="BY9" s="11" t="s">
        <v>102</v>
      </c>
      <c r="BZ9" s="11">
        <v>105</v>
      </c>
      <c r="CA9" s="11">
        <v>24</v>
      </c>
      <c r="CB9" s="11"/>
      <c r="CC9" s="12">
        <v>0.38055555555555554</v>
      </c>
      <c r="CD9" s="11"/>
      <c r="CE9" s="11" t="s">
        <v>102</v>
      </c>
      <c r="CF9" s="11">
        <v>85</v>
      </c>
      <c r="CG9" s="11">
        <v>24</v>
      </c>
      <c r="CH9" s="11"/>
      <c r="CI9" s="12">
        <v>0.42222222222222222</v>
      </c>
      <c r="CJ9" s="11"/>
      <c r="CK9" s="11" t="s">
        <v>102</v>
      </c>
      <c r="CL9" s="11"/>
      <c r="CM9" s="11"/>
      <c r="CN9" s="11"/>
      <c r="CO9" s="11"/>
      <c r="CP9" s="11"/>
      <c r="CQ9" s="11"/>
    </row>
    <row r="10" spans="1:95" x14ac:dyDescent="0.3">
      <c r="A10" s="13">
        <v>45729</v>
      </c>
      <c r="B10" s="1" t="s">
        <v>95</v>
      </c>
      <c r="C10" s="1" t="s">
        <v>104</v>
      </c>
      <c r="D10" s="1" t="s">
        <v>101</v>
      </c>
      <c r="E10" s="1">
        <v>2</v>
      </c>
      <c r="F10" s="1">
        <v>70</v>
      </c>
      <c r="G10" s="1">
        <v>18</v>
      </c>
      <c r="H10" s="1"/>
      <c r="I10" s="1">
        <v>8.8000000000000007</v>
      </c>
      <c r="J10" s="1"/>
      <c r="K10" s="1" t="s">
        <v>103</v>
      </c>
      <c r="L10" s="1">
        <v>70</v>
      </c>
      <c r="M10" s="1">
        <v>20</v>
      </c>
      <c r="N10" s="1"/>
      <c r="O10" s="1">
        <v>9.4</v>
      </c>
      <c r="P10" s="1"/>
      <c r="Q10" s="1" t="s">
        <v>103</v>
      </c>
      <c r="R10" s="1">
        <v>80</v>
      </c>
      <c r="S10" s="1">
        <v>20</v>
      </c>
      <c r="T10" s="1"/>
      <c r="U10" s="1">
        <v>8</v>
      </c>
      <c r="V10" s="1"/>
      <c r="W10" s="1" t="s">
        <v>103</v>
      </c>
      <c r="X10" s="1">
        <v>70</v>
      </c>
      <c r="Y10" s="1">
        <v>19</v>
      </c>
      <c r="Z10" s="1"/>
      <c r="AA10" s="1">
        <v>9</v>
      </c>
      <c r="AB10" s="1"/>
      <c r="AC10" s="1" t="s">
        <v>103</v>
      </c>
      <c r="AD10" s="1">
        <v>80</v>
      </c>
      <c r="AE10" s="1">
        <v>23</v>
      </c>
      <c r="AF10" s="1"/>
      <c r="AG10" s="1">
        <v>9.8000000000000007</v>
      </c>
      <c r="AH10" s="1"/>
      <c r="AI10" s="1" t="s">
        <v>103</v>
      </c>
      <c r="AJ10" s="1">
        <v>80</v>
      </c>
      <c r="AK10" s="1">
        <v>23</v>
      </c>
      <c r="AL10" s="1"/>
      <c r="AM10" s="1">
        <v>9</v>
      </c>
      <c r="AN10" s="1"/>
      <c r="AO10" s="1" t="s">
        <v>103</v>
      </c>
      <c r="AP10" s="1">
        <v>70</v>
      </c>
      <c r="AQ10" s="1">
        <v>19</v>
      </c>
      <c r="AR10" s="1"/>
      <c r="AS10" s="1">
        <v>8.8000000000000007</v>
      </c>
      <c r="AT10" s="1"/>
      <c r="AU10" s="1" t="s">
        <v>103</v>
      </c>
      <c r="AV10" s="1">
        <v>90</v>
      </c>
      <c r="AW10" s="1">
        <v>22</v>
      </c>
      <c r="AX10" s="1"/>
      <c r="AY10" s="1">
        <v>10.199999999999999</v>
      </c>
      <c r="AZ10" s="1"/>
      <c r="BA10" s="1" t="s">
        <v>103</v>
      </c>
      <c r="BB10" s="1">
        <v>87</v>
      </c>
      <c r="BC10" s="1">
        <v>21</v>
      </c>
      <c r="BD10" s="1"/>
      <c r="BE10" s="1">
        <v>9.6</v>
      </c>
      <c r="BF10" s="1"/>
      <c r="BG10" s="1" t="s">
        <v>103</v>
      </c>
      <c r="BH10" s="1">
        <v>100</v>
      </c>
      <c r="BI10" s="1">
        <v>23</v>
      </c>
      <c r="BJ10" s="1"/>
      <c r="BK10" s="1">
        <v>11.8</v>
      </c>
      <c r="BL10" s="1"/>
      <c r="BM10" s="1" t="s">
        <v>105</v>
      </c>
      <c r="BN10" s="1">
        <v>100</v>
      </c>
      <c r="BO10" s="1">
        <v>21</v>
      </c>
      <c r="BP10" s="1"/>
      <c r="BQ10" s="1">
        <v>11.2</v>
      </c>
      <c r="BR10" s="1"/>
      <c r="BS10" s="1" t="s">
        <v>106</v>
      </c>
      <c r="BT10" s="1">
        <v>90</v>
      </c>
      <c r="BU10" s="1">
        <v>19</v>
      </c>
      <c r="BV10" s="1"/>
      <c r="BW10" s="1">
        <v>10.199999999999999</v>
      </c>
      <c r="BX10" s="1"/>
      <c r="BY10" s="1" t="s">
        <v>103</v>
      </c>
      <c r="BZ10" s="1">
        <v>80</v>
      </c>
      <c r="CA10" s="1">
        <v>17</v>
      </c>
      <c r="CB10" s="1"/>
      <c r="CC10" s="1">
        <v>9.1999999999999993</v>
      </c>
      <c r="CD10" s="1"/>
      <c r="CE10" s="1" t="s">
        <v>103</v>
      </c>
      <c r="CF10" s="1">
        <v>70</v>
      </c>
      <c r="CG10" s="1">
        <v>16</v>
      </c>
      <c r="CH10" s="1"/>
      <c r="CI10" s="1">
        <v>8</v>
      </c>
      <c r="CJ10" s="1"/>
      <c r="CK10" s="1" t="s">
        <v>103</v>
      </c>
      <c r="CL10" s="1"/>
      <c r="CM10" s="1"/>
      <c r="CN10" s="1"/>
      <c r="CO10" s="1"/>
      <c r="CP10" s="1"/>
      <c r="CQ10" s="1"/>
    </row>
    <row r="11" spans="1:95" x14ac:dyDescent="0.3">
      <c r="A11" s="13">
        <v>45729</v>
      </c>
      <c r="B11" s="1" t="s">
        <v>95</v>
      </c>
      <c r="C11" s="1" t="s">
        <v>104</v>
      </c>
      <c r="D11" s="1" t="s">
        <v>97</v>
      </c>
      <c r="E11" s="1">
        <v>3</v>
      </c>
      <c r="F11" s="1">
        <v>70</v>
      </c>
      <c r="G11" s="1">
        <v>18</v>
      </c>
      <c r="H11" s="1"/>
      <c r="I11" s="1">
        <v>9</v>
      </c>
      <c r="J11" s="1"/>
      <c r="K11" s="1" t="s">
        <v>103</v>
      </c>
      <c r="L11" s="1">
        <v>90</v>
      </c>
      <c r="M11" s="1">
        <v>19</v>
      </c>
      <c r="N11" s="1"/>
      <c r="O11" s="1">
        <v>9</v>
      </c>
      <c r="P11" s="1"/>
      <c r="Q11" s="1" t="s">
        <v>103</v>
      </c>
      <c r="R11" s="1">
        <v>78</v>
      </c>
      <c r="S11" s="1">
        <v>21</v>
      </c>
      <c r="T11" s="1"/>
      <c r="U11" s="1">
        <v>9</v>
      </c>
      <c r="V11" s="1"/>
      <c r="W11" s="1" t="s">
        <v>103</v>
      </c>
      <c r="X11" s="1">
        <v>100</v>
      </c>
      <c r="Y11" s="1">
        <v>23</v>
      </c>
      <c r="Z11" s="1"/>
      <c r="AA11" s="1">
        <v>9.8000000000000007</v>
      </c>
      <c r="AB11" s="1"/>
      <c r="AC11" s="1" t="s">
        <v>103</v>
      </c>
      <c r="AD11" s="1">
        <v>70</v>
      </c>
      <c r="AE11" s="1">
        <v>18</v>
      </c>
      <c r="AF11" s="1"/>
      <c r="AG11" s="1">
        <v>9</v>
      </c>
      <c r="AH11" s="1"/>
      <c r="AI11" s="1" t="s">
        <v>103</v>
      </c>
      <c r="AJ11" s="1">
        <v>72</v>
      </c>
      <c r="AK11" s="1">
        <v>21</v>
      </c>
      <c r="AL11" s="1"/>
      <c r="AM11" s="1">
        <v>8.8000000000000007</v>
      </c>
      <c r="AN11" s="1"/>
      <c r="AO11" s="1" t="s">
        <v>103</v>
      </c>
      <c r="AP11" s="1">
        <v>70</v>
      </c>
      <c r="AQ11" s="1">
        <v>19</v>
      </c>
      <c r="AR11" s="1"/>
      <c r="AS11" s="1">
        <v>9</v>
      </c>
      <c r="AT11" s="1"/>
      <c r="AU11" s="1" t="s">
        <v>103</v>
      </c>
      <c r="AV11" s="1">
        <v>95</v>
      </c>
      <c r="AW11" s="1">
        <v>23</v>
      </c>
      <c r="AX11" s="1"/>
      <c r="AY11" s="1">
        <v>11</v>
      </c>
      <c r="AZ11" s="1"/>
      <c r="BA11" s="1" t="s">
        <v>103</v>
      </c>
      <c r="BB11" s="1">
        <v>100</v>
      </c>
      <c r="BC11" s="1">
        <v>17</v>
      </c>
      <c r="BD11" s="1"/>
      <c r="BE11" s="1">
        <v>9.4</v>
      </c>
      <c r="BF11" s="1"/>
      <c r="BG11" s="1" t="s">
        <v>103</v>
      </c>
      <c r="BH11" s="1">
        <v>85</v>
      </c>
      <c r="BI11" s="1">
        <v>22</v>
      </c>
      <c r="BJ11" s="1"/>
      <c r="BK11" s="1">
        <v>10</v>
      </c>
      <c r="BL11" s="1"/>
      <c r="BM11" s="1" t="s">
        <v>103</v>
      </c>
      <c r="BN11" s="1">
        <v>80</v>
      </c>
      <c r="BO11" s="1">
        <v>24</v>
      </c>
      <c r="BP11" s="1"/>
      <c r="BQ11" s="1">
        <v>9.8000000000000007</v>
      </c>
      <c r="BR11" s="1"/>
      <c r="BS11" s="1" t="s">
        <v>103</v>
      </c>
      <c r="BT11" s="1">
        <v>73</v>
      </c>
      <c r="BU11" s="1">
        <v>24</v>
      </c>
      <c r="BV11" s="1"/>
      <c r="BW11" s="1">
        <v>10</v>
      </c>
      <c r="BX11" s="1"/>
      <c r="BY11" s="1" t="s">
        <v>103</v>
      </c>
      <c r="BZ11" s="1">
        <v>96</v>
      </c>
      <c r="CA11" s="1">
        <v>20</v>
      </c>
      <c r="CB11" s="1"/>
      <c r="CC11" s="1">
        <v>8.1999999999999993</v>
      </c>
      <c r="CD11" s="1"/>
      <c r="CE11" s="1" t="s">
        <v>103</v>
      </c>
      <c r="CF11" s="1">
        <v>75</v>
      </c>
      <c r="CG11" s="1">
        <v>17</v>
      </c>
      <c r="CH11" s="1"/>
      <c r="CI11" s="1">
        <v>9</v>
      </c>
      <c r="CJ11" s="1"/>
      <c r="CK11" s="1" t="s">
        <v>103</v>
      </c>
      <c r="CL11" s="1"/>
      <c r="CM11" s="1"/>
      <c r="CN11" s="1"/>
      <c r="CO11" s="1"/>
      <c r="CP11" s="1"/>
      <c r="CQ11" s="1"/>
    </row>
    <row r="12" spans="1:95" x14ac:dyDescent="0.3">
      <c r="A12" s="13">
        <v>45729</v>
      </c>
      <c r="B12" s="1" t="s">
        <v>95</v>
      </c>
      <c r="C12" s="1" t="s">
        <v>104</v>
      </c>
      <c r="D12" s="1" t="s">
        <v>101</v>
      </c>
      <c r="E12" s="1">
        <v>3</v>
      </c>
      <c r="F12" s="1">
        <v>95</v>
      </c>
      <c r="G12" s="1">
        <v>23</v>
      </c>
      <c r="H12" s="1"/>
      <c r="I12" s="1">
        <v>12</v>
      </c>
      <c r="J12" s="1"/>
      <c r="K12" s="1" t="s">
        <v>103</v>
      </c>
      <c r="L12" s="1">
        <v>90</v>
      </c>
      <c r="M12" s="1">
        <v>21</v>
      </c>
      <c r="N12" s="1"/>
      <c r="O12" s="1">
        <v>10.6</v>
      </c>
      <c r="P12" s="1"/>
      <c r="Q12" s="1" t="s">
        <v>103</v>
      </c>
      <c r="R12" s="1">
        <v>96</v>
      </c>
      <c r="S12" s="1">
        <v>19</v>
      </c>
      <c r="T12" s="1"/>
      <c r="U12" s="1">
        <v>10.8</v>
      </c>
      <c r="V12" s="1"/>
      <c r="W12" s="1" t="s">
        <v>103</v>
      </c>
      <c r="X12" s="1">
        <v>70</v>
      </c>
      <c r="Y12" s="1">
        <v>17</v>
      </c>
      <c r="Z12" s="1"/>
      <c r="AA12" s="1">
        <v>8</v>
      </c>
      <c r="AB12" s="1"/>
      <c r="AC12" s="1" t="s">
        <v>103</v>
      </c>
      <c r="AD12" s="1">
        <v>86</v>
      </c>
      <c r="AE12" s="1">
        <v>21</v>
      </c>
      <c r="AF12" s="1"/>
      <c r="AG12" s="1">
        <v>11</v>
      </c>
      <c r="AH12" s="1"/>
      <c r="AI12" s="1" t="s">
        <v>107</v>
      </c>
      <c r="AJ12" s="1">
        <v>100</v>
      </c>
      <c r="AK12" s="1">
        <v>23</v>
      </c>
      <c r="AL12" s="1"/>
      <c r="AM12" s="1">
        <v>12</v>
      </c>
      <c r="AN12" s="1"/>
      <c r="AO12" s="1" t="s">
        <v>103</v>
      </c>
      <c r="AP12" s="1">
        <v>94</v>
      </c>
      <c r="AQ12" s="1">
        <v>18</v>
      </c>
      <c r="AR12" s="1"/>
      <c r="AS12" s="1">
        <v>10</v>
      </c>
      <c r="AT12" s="1"/>
      <c r="AU12" s="1" t="s">
        <v>103</v>
      </c>
      <c r="AV12" s="1">
        <v>74</v>
      </c>
      <c r="AW12" s="1">
        <v>19</v>
      </c>
      <c r="AX12" s="1"/>
      <c r="AY12" s="1">
        <v>9</v>
      </c>
      <c r="AZ12" s="1"/>
      <c r="BA12" s="1" t="s">
        <v>103</v>
      </c>
      <c r="BB12" s="1">
        <v>84</v>
      </c>
      <c r="BC12" s="1">
        <v>20</v>
      </c>
      <c r="BD12" s="1"/>
      <c r="BE12" s="1">
        <v>9.8000000000000007</v>
      </c>
      <c r="BF12" s="1"/>
      <c r="BG12" s="1" t="s">
        <v>103</v>
      </c>
      <c r="BH12" s="1">
        <v>70</v>
      </c>
      <c r="BI12" s="1">
        <v>19</v>
      </c>
      <c r="BJ12" s="1"/>
      <c r="BK12" s="1">
        <v>6.8</v>
      </c>
      <c r="BL12" s="1"/>
      <c r="BM12" s="1" t="s">
        <v>103</v>
      </c>
      <c r="BN12" s="1">
        <v>70</v>
      </c>
      <c r="BO12" s="1">
        <v>16</v>
      </c>
      <c r="BP12" s="1"/>
      <c r="BQ12" s="1">
        <v>8.8000000000000007</v>
      </c>
      <c r="BR12" s="1"/>
      <c r="BS12" s="1" t="s">
        <v>103</v>
      </c>
      <c r="BT12" s="1">
        <v>74</v>
      </c>
      <c r="BU12" s="1">
        <v>18</v>
      </c>
      <c r="BV12" s="1"/>
      <c r="BW12" s="1">
        <v>9.8000000000000007</v>
      </c>
      <c r="BX12" s="1"/>
      <c r="BY12" s="1" t="s">
        <v>103</v>
      </c>
      <c r="BZ12" s="1">
        <v>70</v>
      </c>
      <c r="CA12" s="1">
        <v>19</v>
      </c>
      <c r="CB12" s="1"/>
      <c r="CC12" s="1">
        <v>11</v>
      </c>
      <c r="CD12" s="1"/>
      <c r="CE12" s="1" t="s">
        <v>103</v>
      </c>
      <c r="CF12" s="1">
        <v>72</v>
      </c>
      <c r="CG12" s="1">
        <v>17</v>
      </c>
      <c r="CH12" s="1"/>
      <c r="CI12" s="1">
        <v>10.8</v>
      </c>
      <c r="CJ12" s="1"/>
      <c r="CK12" s="1" t="s">
        <v>103</v>
      </c>
      <c r="CL12" s="1"/>
      <c r="CM12" s="1"/>
      <c r="CN12" s="1"/>
      <c r="CO12" s="1"/>
      <c r="CP12" s="1"/>
      <c r="CQ12" s="1"/>
    </row>
    <row r="13" spans="1:95" x14ac:dyDescent="0.3">
      <c r="A13" s="13">
        <v>45729</v>
      </c>
      <c r="B13" s="1" t="s">
        <v>95</v>
      </c>
      <c r="C13" s="1" t="s">
        <v>104</v>
      </c>
      <c r="D13" s="1" t="s">
        <v>99</v>
      </c>
      <c r="E13" s="1">
        <v>2</v>
      </c>
      <c r="F13" s="1">
        <v>93</v>
      </c>
      <c r="G13" s="1">
        <v>24</v>
      </c>
      <c r="H13" s="1"/>
      <c r="I13" s="1">
        <v>10.8</v>
      </c>
      <c r="J13" s="1"/>
      <c r="K13" s="1" t="s">
        <v>108</v>
      </c>
      <c r="L13" s="1">
        <v>80</v>
      </c>
      <c r="M13" s="1">
        <v>21</v>
      </c>
      <c r="N13" s="1"/>
      <c r="O13" s="1">
        <v>6</v>
      </c>
      <c r="P13" s="1"/>
      <c r="Q13" s="1" t="s">
        <v>103</v>
      </c>
      <c r="R13" s="1">
        <v>90</v>
      </c>
      <c r="S13" s="1">
        <v>19</v>
      </c>
      <c r="T13" s="1"/>
      <c r="U13" s="1">
        <v>6.8</v>
      </c>
      <c r="V13" s="1"/>
      <c r="W13" s="1" t="s">
        <v>103</v>
      </c>
      <c r="X13" s="1">
        <v>100</v>
      </c>
      <c r="Y13" s="1">
        <v>23</v>
      </c>
      <c r="Z13" s="1"/>
      <c r="AA13" s="1">
        <v>7.8</v>
      </c>
      <c r="AB13" s="1"/>
      <c r="AC13" s="1" t="s">
        <v>103</v>
      </c>
      <c r="AD13" s="1">
        <v>82</v>
      </c>
      <c r="AE13" s="1">
        <v>17</v>
      </c>
      <c r="AF13" s="1"/>
      <c r="AG13" s="1">
        <v>11</v>
      </c>
      <c r="AH13" s="1"/>
      <c r="AI13" s="1" t="s">
        <v>103</v>
      </c>
      <c r="AJ13" s="1">
        <v>88</v>
      </c>
      <c r="AK13" s="1">
        <v>18</v>
      </c>
      <c r="AL13" s="1"/>
      <c r="AM13" s="1">
        <v>8.8000000000000007</v>
      </c>
      <c r="AN13" s="1"/>
      <c r="AO13" s="1" t="s">
        <v>103</v>
      </c>
      <c r="AP13" s="1">
        <v>90</v>
      </c>
      <c r="AQ13" s="1">
        <v>23</v>
      </c>
      <c r="AR13" s="1"/>
      <c r="AS13" s="1">
        <v>11</v>
      </c>
      <c r="AT13" s="1"/>
      <c r="AU13" s="1" t="s">
        <v>103</v>
      </c>
      <c r="AV13" s="1">
        <v>81</v>
      </c>
      <c r="AW13" s="1">
        <v>19</v>
      </c>
      <c r="AX13" s="1"/>
      <c r="AY13" s="1">
        <v>8.6</v>
      </c>
      <c r="AZ13" s="1"/>
      <c r="BA13" s="1" t="s">
        <v>103</v>
      </c>
      <c r="BB13" s="1">
        <v>95</v>
      </c>
      <c r="BC13" s="1">
        <v>23</v>
      </c>
      <c r="BD13" s="1"/>
      <c r="BE13" s="1">
        <v>10.8</v>
      </c>
      <c r="BF13" s="1"/>
      <c r="BG13" s="1" t="s">
        <v>103</v>
      </c>
      <c r="BH13" s="1">
        <v>86</v>
      </c>
      <c r="BI13" s="1">
        <v>22</v>
      </c>
      <c r="BJ13" s="1"/>
      <c r="BK13" s="1">
        <v>20</v>
      </c>
      <c r="BL13" s="1"/>
      <c r="BM13" s="1" t="s">
        <v>103</v>
      </c>
      <c r="BN13" s="1">
        <v>90</v>
      </c>
      <c r="BO13" s="1">
        <v>21</v>
      </c>
      <c r="BP13" s="1"/>
      <c r="BQ13" s="1">
        <v>10.199999999999999</v>
      </c>
      <c r="BR13" s="1"/>
      <c r="BS13" s="1" t="s">
        <v>103</v>
      </c>
      <c r="BT13" s="1">
        <v>96</v>
      </c>
      <c r="BU13" s="1">
        <v>22</v>
      </c>
      <c r="BV13" s="1"/>
      <c r="BW13" s="1">
        <v>11</v>
      </c>
      <c r="BX13" s="1"/>
      <c r="BY13" s="1" t="s">
        <v>103</v>
      </c>
      <c r="BZ13" s="1">
        <v>90</v>
      </c>
      <c r="CA13" s="1">
        <v>23</v>
      </c>
      <c r="CB13" s="1"/>
      <c r="CC13" s="1">
        <v>11</v>
      </c>
      <c r="CD13" s="1"/>
      <c r="CE13" s="1" t="s">
        <v>103</v>
      </c>
      <c r="CF13" s="1">
        <v>96</v>
      </c>
      <c r="CG13" s="1">
        <v>18</v>
      </c>
      <c r="CH13" s="1"/>
      <c r="CI13" s="1">
        <v>10</v>
      </c>
      <c r="CJ13" s="1"/>
      <c r="CK13" s="1" t="s">
        <v>103</v>
      </c>
      <c r="CL13" s="1"/>
      <c r="CM13" s="1"/>
      <c r="CN13" s="1"/>
      <c r="CO13" s="1"/>
      <c r="CP13" s="1"/>
      <c r="CQ13" s="1"/>
    </row>
    <row r="14" spans="1:95" x14ac:dyDescent="0.3">
      <c r="A14" s="13">
        <v>45729</v>
      </c>
      <c r="B14" s="1" t="s">
        <v>100</v>
      </c>
      <c r="C14" s="1" t="s">
        <v>104</v>
      </c>
      <c r="D14" s="1" t="s">
        <v>97</v>
      </c>
      <c r="E14" s="1">
        <v>1</v>
      </c>
      <c r="F14" s="1">
        <v>99</v>
      </c>
      <c r="G14" s="1">
        <v>21</v>
      </c>
      <c r="H14" s="1"/>
      <c r="I14" s="14">
        <v>0.5</v>
      </c>
      <c r="J14" s="1"/>
      <c r="K14" s="1" t="s">
        <v>102</v>
      </c>
      <c r="L14" s="1">
        <v>92</v>
      </c>
      <c r="M14" s="1">
        <v>33</v>
      </c>
      <c r="N14" s="1"/>
      <c r="O14" s="14">
        <v>0.41666666666666669</v>
      </c>
      <c r="P14" s="1"/>
      <c r="Q14" s="1" t="s">
        <v>102</v>
      </c>
      <c r="R14" s="1">
        <v>84</v>
      </c>
      <c r="S14" s="1">
        <v>24</v>
      </c>
      <c r="T14" s="1"/>
      <c r="U14" s="14">
        <v>0.38055555555555554</v>
      </c>
      <c r="V14" s="1"/>
      <c r="W14" s="1" t="s">
        <v>102</v>
      </c>
      <c r="X14" s="1">
        <v>93</v>
      </c>
      <c r="Y14" s="1">
        <v>19</v>
      </c>
      <c r="Z14" s="1"/>
      <c r="AA14" s="14">
        <v>0.45833333333333331</v>
      </c>
      <c r="AB14" s="1"/>
      <c r="AC14" s="1" t="s">
        <v>102</v>
      </c>
      <c r="AD14" s="1">
        <v>98</v>
      </c>
      <c r="AE14" s="1">
        <v>23</v>
      </c>
      <c r="AF14" s="1"/>
      <c r="AG14" s="14">
        <v>0.41666666666666669</v>
      </c>
      <c r="AH14" s="1"/>
      <c r="AI14" s="1" t="s">
        <v>102</v>
      </c>
      <c r="AJ14" s="1">
        <v>97</v>
      </c>
      <c r="AK14" s="1">
        <v>22</v>
      </c>
      <c r="AL14" s="1"/>
      <c r="AM14" s="14">
        <v>0.41666666666666669</v>
      </c>
      <c r="AN14" s="1"/>
      <c r="AO14" s="1" t="s">
        <v>102</v>
      </c>
      <c r="AP14" s="1">
        <v>100</v>
      </c>
      <c r="AQ14" s="1">
        <v>25</v>
      </c>
      <c r="AR14" s="1"/>
      <c r="AS14" s="14">
        <v>0.4597222222222222</v>
      </c>
      <c r="AT14" s="1"/>
      <c r="AU14" s="1" t="s">
        <v>102</v>
      </c>
      <c r="AV14" s="1">
        <v>97</v>
      </c>
      <c r="AW14" s="1">
        <v>22</v>
      </c>
      <c r="AX14" s="1"/>
      <c r="AY14" s="14">
        <v>0.41666666666666669</v>
      </c>
      <c r="AZ14" s="1"/>
      <c r="BA14" s="1" t="s">
        <v>102</v>
      </c>
      <c r="BB14" s="1">
        <v>85</v>
      </c>
      <c r="BC14" s="1">
        <v>27</v>
      </c>
      <c r="BD14" s="1"/>
      <c r="BE14" s="14">
        <v>0.375</v>
      </c>
      <c r="BF14" s="1"/>
      <c r="BG14" s="1" t="s">
        <v>102</v>
      </c>
      <c r="BH14" s="1">
        <v>82</v>
      </c>
      <c r="BI14" s="1">
        <v>24</v>
      </c>
      <c r="BJ14" s="1"/>
      <c r="BK14" s="14">
        <v>0.45833333333333331</v>
      </c>
      <c r="BL14" s="1"/>
      <c r="BM14" s="1" t="s">
        <v>102</v>
      </c>
      <c r="BN14" s="1">
        <v>97</v>
      </c>
      <c r="BO14" s="1">
        <v>24</v>
      </c>
      <c r="BP14" s="1"/>
      <c r="BQ14" s="14">
        <v>0.45833333333333331</v>
      </c>
      <c r="BR14" s="1"/>
      <c r="BS14" s="1" t="s">
        <v>102</v>
      </c>
      <c r="BT14" s="1">
        <v>88</v>
      </c>
      <c r="BU14" s="1">
        <v>22</v>
      </c>
      <c r="BV14" s="1"/>
      <c r="BW14" s="14">
        <v>0.41666666666666669</v>
      </c>
      <c r="BX14" s="1"/>
      <c r="BY14" s="1" t="s">
        <v>102</v>
      </c>
      <c r="BZ14" s="1">
        <v>97</v>
      </c>
      <c r="CA14" s="1">
        <v>21</v>
      </c>
      <c r="CB14" s="1"/>
      <c r="CC14" s="14">
        <v>0.4597222222222222</v>
      </c>
      <c r="CD14" s="1"/>
      <c r="CE14" s="1" t="s">
        <v>102</v>
      </c>
      <c r="CF14" s="1">
        <v>89</v>
      </c>
      <c r="CG14" s="1">
        <v>24</v>
      </c>
      <c r="CH14" s="1"/>
      <c r="CI14" s="14">
        <v>0.41666666666666669</v>
      </c>
      <c r="CJ14" s="1"/>
      <c r="CK14" s="1" t="s">
        <v>102</v>
      </c>
      <c r="CL14" s="1"/>
      <c r="CM14" s="1"/>
      <c r="CN14" s="1"/>
      <c r="CO14" s="1"/>
      <c r="CP14" s="1"/>
      <c r="CQ14" s="1"/>
    </row>
    <row r="15" spans="1:95" x14ac:dyDescent="0.3">
      <c r="A15" s="13">
        <v>45729</v>
      </c>
      <c r="B15" s="1" t="s">
        <v>100</v>
      </c>
      <c r="C15" s="1" t="s">
        <v>104</v>
      </c>
      <c r="D15" s="1" t="s">
        <v>109</v>
      </c>
      <c r="E15" s="1">
        <v>2</v>
      </c>
      <c r="F15" s="1">
        <v>72</v>
      </c>
      <c r="G15" s="1">
        <v>23</v>
      </c>
      <c r="H15" s="1"/>
      <c r="I15" s="14">
        <v>0.45833333333333331</v>
      </c>
      <c r="J15" s="1"/>
      <c r="K15" s="1" t="s">
        <v>102</v>
      </c>
      <c r="L15" s="1">
        <v>73</v>
      </c>
      <c r="M15" s="1">
        <v>20</v>
      </c>
      <c r="N15" s="1"/>
      <c r="O15" s="14">
        <v>0.33333333333333331</v>
      </c>
      <c r="P15" s="1"/>
      <c r="Q15" s="1" t="s">
        <v>102</v>
      </c>
      <c r="R15" s="1">
        <v>84</v>
      </c>
      <c r="S15" s="1">
        <v>25</v>
      </c>
      <c r="T15" s="1"/>
      <c r="U15" s="14">
        <v>0.41666666666666669</v>
      </c>
      <c r="V15" s="1"/>
      <c r="W15" s="1" t="s">
        <v>102</v>
      </c>
      <c r="X15" s="1">
        <v>93</v>
      </c>
      <c r="Y15" s="1">
        <v>22</v>
      </c>
      <c r="Z15" s="1"/>
      <c r="AA15" s="14">
        <v>0.4597222222222222</v>
      </c>
      <c r="AB15" s="1"/>
      <c r="AC15" s="1" t="s">
        <v>102</v>
      </c>
      <c r="AD15" s="1">
        <v>91</v>
      </c>
      <c r="AE15" s="1">
        <v>20</v>
      </c>
      <c r="AF15" s="1"/>
      <c r="AG15" s="14">
        <v>0.45833333333333331</v>
      </c>
      <c r="AH15" s="1"/>
      <c r="AI15" s="1" t="s">
        <v>102</v>
      </c>
      <c r="AJ15" s="1">
        <v>76</v>
      </c>
      <c r="AK15" s="1">
        <v>20</v>
      </c>
      <c r="AL15" s="1"/>
      <c r="AM15" s="14">
        <v>0.41666666666666669</v>
      </c>
      <c r="AN15" s="1"/>
      <c r="AO15" s="1" t="s">
        <v>102</v>
      </c>
      <c r="AP15" s="1">
        <v>97</v>
      </c>
      <c r="AQ15" s="1">
        <v>24</v>
      </c>
      <c r="AR15" s="1"/>
      <c r="AS15" s="14">
        <v>0.50138888888888888</v>
      </c>
      <c r="AT15" s="1"/>
      <c r="AU15" s="1" t="s">
        <v>102</v>
      </c>
      <c r="AV15" s="1">
        <v>80</v>
      </c>
      <c r="AW15" s="1">
        <v>23</v>
      </c>
      <c r="AX15" s="1"/>
      <c r="AY15" s="14">
        <v>0.41666666666666669</v>
      </c>
      <c r="AZ15" s="1"/>
      <c r="BA15" s="1" t="s">
        <v>102</v>
      </c>
      <c r="BB15" s="1">
        <v>100</v>
      </c>
      <c r="BC15" s="1">
        <v>24</v>
      </c>
      <c r="BD15" s="1"/>
      <c r="BE15" s="14">
        <v>0.45833333333333331</v>
      </c>
      <c r="BF15" s="1"/>
      <c r="BG15" s="1" t="s">
        <v>102</v>
      </c>
      <c r="BH15" s="1">
        <v>91</v>
      </c>
      <c r="BI15" s="1">
        <v>23</v>
      </c>
      <c r="BJ15" s="1"/>
      <c r="BK15" s="14">
        <v>0.41666666666666669</v>
      </c>
      <c r="BL15" s="1"/>
      <c r="BM15" s="1" t="s">
        <v>102</v>
      </c>
      <c r="BN15" s="1">
        <v>98</v>
      </c>
      <c r="BO15" s="1">
        <v>24</v>
      </c>
      <c r="BP15" s="1"/>
      <c r="BQ15" s="14">
        <v>0.50555555555555554</v>
      </c>
      <c r="BR15" s="1"/>
      <c r="BS15" s="1" t="s">
        <v>102</v>
      </c>
      <c r="BT15" s="1">
        <v>74</v>
      </c>
      <c r="BU15" s="1">
        <v>16</v>
      </c>
      <c r="BV15" s="1"/>
      <c r="BW15" s="14">
        <v>0.41666666666666669</v>
      </c>
      <c r="BX15" s="1"/>
      <c r="BY15" s="1" t="s">
        <v>102</v>
      </c>
      <c r="BZ15" s="1">
        <v>87</v>
      </c>
      <c r="CA15" s="1">
        <v>20</v>
      </c>
      <c r="CB15" s="1"/>
      <c r="CC15" s="14">
        <v>0.45833333333333331</v>
      </c>
      <c r="CD15" s="1"/>
      <c r="CE15" s="1" t="s">
        <v>102</v>
      </c>
      <c r="CF15" s="1">
        <v>98</v>
      </c>
      <c r="CG15" s="1">
        <v>27</v>
      </c>
      <c r="CH15" s="1"/>
      <c r="CI15" s="14">
        <v>0.5</v>
      </c>
      <c r="CJ15" s="1"/>
      <c r="CK15" s="1" t="s">
        <v>102</v>
      </c>
      <c r="CL15" s="1"/>
      <c r="CM15" s="1"/>
      <c r="CN15" s="1"/>
      <c r="CO15" s="1"/>
      <c r="CP15" s="1"/>
      <c r="CQ15" s="1"/>
    </row>
    <row r="16" spans="1:95" x14ac:dyDescent="0.3">
      <c r="A16" s="13">
        <v>45729</v>
      </c>
      <c r="B16" s="1" t="s">
        <v>100</v>
      </c>
      <c r="C16" s="1" t="s">
        <v>104</v>
      </c>
      <c r="D16" s="1" t="s">
        <v>99</v>
      </c>
      <c r="E16" s="1">
        <v>1</v>
      </c>
      <c r="F16" s="1">
        <v>100</v>
      </c>
      <c r="G16" s="1">
        <v>23</v>
      </c>
      <c r="H16" s="1"/>
      <c r="I16" s="14">
        <v>0.45833333333333331</v>
      </c>
      <c r="J16" s="1"/>
      <c r="K16" s="1" t="s">
        <v>102</v>
      </c>
      <c r="L16" s="1">
        <v>77</v>
      </c>
      <c r="M16" s="1">
        <v>23</v>
      </c>
      <c r="N16" s="1"/>
      <c r="O16" s="14">
        <v>0.375</v>
      </c>
      <c r="P16" s="1"/>
      <c r="Q16" s="1" t="s">
        <v>102</v>
      </c>
      <c r="R16" s="1">
        <v>98</v>
      </c>
      <c r="S16" s="1">
        <v>24</v>
      </c>
      <c r="T16" s="1"/>
      <c r="U16" s="14">
        <v>0.54166666666666663</v>
      </c>
      <c r="V16" s="1"/>
      <c r="W16" s="1" t="s">
        <v>102</v>
      </c>
      <c r="X16" s="1">
        <v>80</v>
      </c>
      <c r="Y16" s="1">
        <v>22</v>
      </c>
      <c r="Z16" s="1"/>
      <c r="AA16" s="14">
        <v>0.45833333333333331</v>
      </c>
      <c r="AB16" s="1"/>
      <c r="AC16" s="1" t="s">
        <v>102</v>
      </c>
      <c r="AD16" s="1">
        <v>99</v>
      </c>
      <c r="AE16" s="1">
        <v>20</v>
      </c>
      <c r="AF16" s="1"/>
      <c r="AG16" s="1">
        <v>11</v>
      </c>
      <c r="AH16" s="1"/>
      <c r="AI16" s="1" t="s">
        <v>102</v>
      </c>
      <c r="AJ16" s="1">
        <v>84</v>
      </c>
      <c r="AK16" s="1">
        <v>23</v>
      </c>
      <c r="AL16" s="1"/>
      <c r="AM16" s="14">
        <v>0.45833333333333331</v>
      </c>
      <c r="AN16" s="1"/>
      <c r="AO16" s="1" t="s">
        <v>102</v>
      </c>
      <c r="AP16" s="1">
        <v>100</v>
      </c>
      <c r="AQ16" s="1">
        <v>24</v>
      </c>
      <c r="AR16" s="1"/>
      <c r="AS16" s="14">
        <v>0.5</v>
      </c>
      <c r="AT16" s="1"/>
      <c r="AU16" s="1" t="s">
        <v>102</v>
      </c>
      <c r="AV16" s="1">
        <v>100</v>
      </c>
      <c r="AW16" s="1">
        <v>23</v>
      </c>
      <c r="AX16" s="1"/>
      <c r="AY16" s="14">
        <v>0.45833333333333331</v>
      </c>
      <c r="AZ16" s="1"/>
      <c r="BA16" s="1" t="s">
        <v>102</v>
      </c>
      <c r="BB16" s="1">
        <v>88</v>
      </c>
      <c r="BC16" s="1">
        <v>26</v>
      </c>
      <c r="BD16" s="1"/>
      <c r="BE16" s="14">
        <v>0.5</v>
      </c>
      <c r="BF16" s="1"/>
      <c r="BG16" s="1" t="s">
        <v>102</v>
      </c>
      <c r="BH16" s="1">
        <v>98</v>
      </c>
      <c r="BI16" s="1">
        <v>23</v>
      </c>
      <c r="BJ16" s="1"/>
      <c r="BK16" s="14">
        <v>0.50138888888888888</v>
      </c>
      <c r="BL16" s="1"/>
      <c r="BM16" s="1" t="s">
        <v>102</v>
      </c>
      <c r="BN16" s="1">
        <v>83</v>
      </c>
      <c r="BO16" s="1">
        <v>19</v>
      </c>
      <c r="BP16" s="1"/>
      <c r="BQ16" s="14">
        <v>0.41805555555555557</v>
      </c>
      <c r="BR16" s="1"/>
      <c r="BS16" s="1" t="s">
        <v>102</v>
      </c>
      <c r="BT16" s="1">
        <v>80</v>
      </c>
      <c r="BU16" s="1">
        <v>23</v>
      </c>
      <c r="BV16" s="1"/>
      <c r="BW16" s="14">
        <v>0.41666666666666669</v>
      </c>
      <c r="BX16" s="1"/>
      <c r="BY16" s="1" t="s">
        <v>102</v>
      </c>
      <c r="BZ16" s="1">
        <v>99</v>
      </c>
      <c r="CA16" s="1">
        <v>24</v>
      </c>
      <c r="CB16" s="1"/>
      <c r="CC16" s="14">
        <v>0.41805555555555557</v>
      </c>
      <c r="CD16" s="1"/>
      <c r="CE16" s="1" t="s">
        <v>102</v>
      </c>
      <c r="CF16" s="1">
        <v>100</v>
      </c>
      <c r="CG16" s="1">
        <v>28</v>
      </c>
      <c r="CH16" s="1"/>
      <c r="CI16" s="14">
        <v>0.50555555555555554</v>
      </c>
      <c r="CJ16" s="1"/>
      <c r="CK16" s="1" t="s">
        <v>102</v>
      </c>
      <c r="CL16" s="1"/>
      <c r="CM16" s="1"/>
      <c r="CN16" s="1"/>
      <c r="CO16" s="1"/>
      <c r="CP16" s="1"/>
      <c r="CQ16" s="1"/>
    </row>
    <row r="17" spans="1:95" x14ac:dyDescent="0.3">
      <c r="A17" s="13">
        <v>45729</v>
      </c>
      <c r="B17" s="1" t="s">
        <v>100</v>
      </c>
      <c r="C17" s="1" t="s">
        <v>104</v>
      </c>
      <c r="D17" s="1" t="s">
        <v>97</v>
      </c>
      <c r="E17" s="1">
        <v>2</v>
      </c>
      <c r="F17" s="1">
        <v>80</v>
      </c>
      <c r="G17" s="1">
        <v>22</v>
      </c>
      <c r="H17" s="1"/>
      <c r="I17" s="1">
        <v>6</v>
      </c>
      <c r="J17" s="1"/>
      <c r="K17" s="1" t="s">
        <v>110</v>
      </c>
      <c r="L17" s="1">
        <v>95</v>
      </c>
      <c r="M17" s="1">
        <v>34</v>
      </c>
      <c r="N17" s="1"/>
      <c r="O17" s="1">
        <v>10.8</v>
      </c>
      <c r="P17" s="1"/>
      <c r="Q17" s="1" t="s">
        <v>110</v>
      </c>
      <c r="R17" s="1">
        <v>84</v>
      </c>
      <c r="S17" s="1">
        <v>22</v>
      </c>
      <c r="T17" s="1"/>
      <c r="U17" s="1" t="s">
        <v>111</v>
      </c>
      <c r="V17" s="1"/>
      <c r="W17" s="1" t="s">
        <v>102</v>
      </c>
      <c r="X17" s="1">
        <v>90</v>
      </c>
      <c r="Y17" s="1">
        <v>22</v>
      </c>
      <c r="Z17" s="1"/>
      <c r="AA17" s="1" t="s">
        <v>112</v>
      </c>
      <c r="AB17" s="1"/>
      <c r="AC17" s="1" t="s">
        <v>102</v>
      </c>
      <c r="AD17" s="1">
        <v>70</v>
      </c>
      <c r="AE17" s="1">
        <v>20</v>
      </c>
      <c r="AF17" s="1"/>
      <c r="AG17" s="1" t="s">
        <v>111</v>
      </c>
      <c r="AH17" s="1"/>
      <c r="AI17" s="1" t="s">
        <v>102</v>
      </c>
      <c r="AJ17" s="1">
        <v>100</v>
      </c>
      <c r="AK17" s="1">
        <v>24</v>
      </c>
      <c r="AL17" s="1"/>
      <c r="AM17" s="14">
        <v>0.45833333333333331</v>
      </c>
      <c r="AN17" s="1"/>
      <c r="AO17" s="1" t="s">
        <v>102</v>
      </c>
      <c r="AP17" s="1">
        <v>100</v>
      </c>
      <c r="AQ17" s="1">
        <v>22</v>
      </c>
      <c r="AR17" s="1"/>
      <c r="AS17" s="14">
        <v>0.375</v>
      </c>
      <c r="AT17" s="1"/>
      <c r="AU17" s="1" t="s">
        <v>102</v>
      </c>
      <c r="AV17" s="1">
        <v>88</v>
      </c>
      <c r="AW17" s="1">
        <v>19</v>
      </c>
      <c r="AX17" s="1"/>
      <c r="AY17" s="14">
        <v>0.46388888888888885</v>
      </c>
      <c r="AZ17" s="1"/>
      <c r="BA17" s="1" t="s">
        <v>102</v>
      </c>
      <c r="BB17" s="1">
        <v>80</v>
      </c>
      <c r="BC17" s="1">
        <v>20</v>
      </c>
      <c r="BD17" s="1"/>
      <c r="BE17" s="14">
        <v>0.41666666666666669</v>
      </c>
      <c r="BF17" s="1"/>
      <c r="BG17" s="1" t="s">
        <v>102</v>
      </c>
      <c r="BH17" s="1">
        <v>82</v>
      </c>
      <c r="BI17" s="1">
        <v>25</v>
      </c>
      <c r="BJ17" s="1"/>
      <c r="BK17" s="14">
        <v>0.5</v>
      </c>
      <c r="BL17" s="1"/>
      <c r="BM17" s="1" t="s">
        <v>102</v>
      </c>
      <c r="BN17" s="1">
        <v>80</v>
      </c>
      <c r="BO17" s="1">
        <v>21</v>
      </c>
      <c r="BP17" s="1"/>
      <c r="BQ17" s="14">
        <v>0.41666666666666669</v>
      </c>
      <c r="BR17" s="1"/>
      <c r="BS17" s="1" t="s">
        <v>102</v>
      </c>
      <c r="BT17" s="1">
        <v>81</v>
      </c>
      <c r="BU17" s="1">
        <v>22</v>
      </c>
      <c r="BV17" s="1"/>
      <c r="BW17" s="14">
        <v>0.45833333333333331</v>
      </c>
      <c r="BX17" s="1"/>
      <c r="BY17" s="1" t="s">
        <v>102</v>
      </c>
      <c r="BZ17" s="1">
        <v>87</v>
      </c>
      <c r="CA17" s="1">
        <v>24</v>
      </c>
      <c r="CB17" s="1"/>
      <c r="CC17" s="14">
        <v>0.46388888888888885</v>
      </c>
      <c r="CD17" s="1"/>
      <c r="CE17" s="1" t="s">
        <v>102</v>
      </c>
      <c r="CF17" s="1">
        <v>100</v>
      </c>
      <c r="CG17" s="1">
        <v>27</v>
      </c>
      <c r="CH17" s="1"/>
      <c r="CI17" s="14">
        <v>0.50555555555555554</v>
      </c>
      <c r="CJ17" s="1"/>
      <c r="CK17" s="1" t="s">
        <v>102</v>
      </c>
      <c r="CL17" s="1"/>
      <c r="CM17" s="1"/>
      <c r="CN17" s="1"/>
      <c r="CO17" s="1"/>
      <c r="CP17" s="1"/>
      <c r="CQ17" s="1"/>
    </row>
    <row r="18" spans="1:95" x14ac:dyDescent="0.3">
      <c r="A18" s="13">
        <v>45835</v>
      </c>
      <c r="B18" s="1" t="s">
        <v>95</v>
      </c>
      <c r="C18" s="1" t="s">
        <v>96</v>
      </c>
      <c r="D18" s="1" t="s">
        <v>99</v>
      </c>
      <c r="E18" s="1">
        <v>3</v>
      </c>
      <c r="F18" s="1">
        <v>185</v>
      </c>
      <c r="G18" s="1">
        <v>32</v>
      </c>
      <c r="H18" s="1">
        <v>5.2</v>
      </c>
      <c r="I18" s="1"/>
      <c r="J18" s="1"/>
      <c r="K18" s="1"/>
      <c r="L18" s="1">
        <v>180</v>
      </c>
      <c r="M18" s="1">
        <v>33</v>
      </c>
      <c r="N18" s="1">
        <v>5</v>
      </c>
      <c r="O18" s="1"/>
      <c r="P18" s="1"/>
      <c r="Q18" s="1"/>
      <c r="R18" s="1">
        <v>200</v>
      </c>
      <c r="S18" s="1">
        <v>36</v>
      </c>
      <c r="T18" s="1">
        <v>7.6</v>
      </c>
      <c r="U18" s="1"/>
      <c r="V18" s="1"/>
      <c r="W18" s="1"/>
      <c r="X18" s="1">
        <v>215</v>
      </c>
      <c r="Y18" s="1">
        <v>38</v>
      </c>
      <c r="Z18" s="1">
        <v>9</v>
      </c>
      <c r="AA18" s="1"/>
      <c r="AB18" s="1"/>
      <c r="AC18" s="1"/>
      <c r="AD18" s="1">
        <v>220</v>
      </c>
      <c r="AE18" s="1">
        <v>39</v>
      </c>
      <c r="AF18" s="1">
        <v>9</v>
      </c>
      <c r="AG18" s="1"/>
      <c r="AH18" s="1"/>
      <c r="AI18" s="1"/>
      <c r="AJ18" s="1">
        <v>222</v>
      </c>
      <c r="AK18" s="1">
        <v>39</v>
      </c>
      <c r="AL18" s="1">
        <v>6.2</v>
      </c>
      <c r="AM18" s="1"/>
      <c r="AN18" s="1"/>
      <c r="AO18" s="1"/>
      <c r="AP18" s="1">
        <v>245</v>
      </c>
      <c r="AQ18" s="1">
        <v>45</v>
      </c>
      <c r="AR18" s="1">
        <v>9.8000000000000007</v>
      </c>
      <c r="AS18" s="1"/>
      <c r="AT18" s="1"/>
      <c r="AU18" s="1"/>
      <c r="AV18" s="1">
        <v>200</v>
      </c>
      <c r="AW18" s="1">
        <v>34</v>
      </c>
      <c r="AX18" s="1">
        <v>6.4</v>
      </c>
      <c r="AY18" s="1"/>
      <c r="AZ18" s="1"/>
      <c r="BA18" s="1"/>
      <c r="BB18" s="1">
        <v>275</v>
      </c>
      <c r="BC18" s="1">
        <v>48</v>
      </c>
      <c r="BD18" s="1">
        <v>10</v>
      </c>
      <c r="BE18" s="1"/>
      <c r="BF18" s="1"/>
      <c r="BG18" s="1"/>
      <c r="BH18" s="1">
        <v>238</v>
      </c>
      <c r="BI18" s="1">
        <v>39</v>
      </c>
      <c r="BJ18" s="1">
        <v>7.4</v>
      </c>
      <c r="BK18" s="1"/>
      <c r="BL18" s="1"/>
      <c r="BM18" s="1"/>
      <c r="BN18" s="1">
        <v>200</v>
      </c>
      <c r="BO18" s="1">
        <v>40</v>
      </c>
      <c r="BP18" s="1">
        <v>8.6</v>
      </c>
      <c r="BQ18" s="1"/>
      <c r="BR18" s="1"/>
      <c r="BS18" s="1"/>
      <c r="BT18" s="1">
        <v>225</v>
      </c>
      <c r="BU18" s="1">
        <v>37</v>
      </c>
      <c r="BV18" s="1">
        <v>8.4</v>
      </c>
      <c r="BW18" s="1"/>
      <c r="BX18" s="1"/>
      <c r="BY18" s="1"/>
      <c r="BZ18" s="1">
        <v>230</v>
      </c>
      <c r="CA18" s="1">
        <v>40</v>
      </c>
      <c r="CB18" s="1">
        <v>7.2</v>
      </c>
      <c r="CC18" s="1"/>
      <c r="CD18" s="1"/>
      <c r="CE18" s="1"/>
      <c r="CF18" s="1">
        <v>210</v>
      </c>
      <c r="CG18" s="1">
        <v>41</v>
      </c>
      <c r="CH18" s="1">
        <v>7.8</v>
      </c>
      <c r="CI18" s="1"/>
      <c r="CJ18" s="1"/>
      <c r="CK18" s="1"/>
      <c r="CL18" s="1"/>
      <c r="CM18" s="1"/>
      <c r="CN18" s="1"/>
      <c r="CO18" s="1"/>
      <c r="CP18" s="1"/>
      <c r="CQ18" s="1"/>
    </row>
    <row r="19" spans="1:95" x14ac:dyDescent="0.3">
      <c r="A19" s="13">
        <v>45835</v>
      </c>
      <c r="B19" s="1" t="s">
        <v>95</v>
      </c>
      <c r="C19" s="1" t="s">
        <v>96</v>
      </c>
      <c r="D19" s="1" t="s">
        <v>97</v>
      </c>
      <c r="E19" s="1">
        <v>3</v>
      </c>
      <c r="F19" s="1">
        <v>190</v>
      </c>
      <c r="G19" s="1">
        <v>33</v>
      </c>
      <c r="H19" s="1">
        <v>4.5999999999999996</v>
      </c>
      <c r="I19" s="1"/>
      <c r="J19" s="1"/>
      <c r="K19" s="1"/>
      <c r="L19" s="1">
        <v>220</v>
      </c>
      <c r="M19" s="1">
        <v>41</v>
      </c>
      <c r="N19" s="1">
        <v>8</v>
      </c>
      <c r="O19" s="1"/>
      <c r="P19" s="1"/>
      <c r="Q19" s="1"/>
      <c r="R19" s="1">
        <v>240</v>
      </c>
      <c r="S19" s="1">
        <v>44</v>
      </c>
      <c r="T19" s="1">
        <v>9.6</v>
      </c>
      <c r="U19" s="1"/>
      <c r="V19" s="1"/>
      <c r="W19" s="1"/>
      <c r="X19" s="1">
        <v>200</v>
      </c>
      <c r="Y19" s="1">
        <v>36</v>
      </c>
      <c r="Z19" s="1">
        <v>8.8000000000000007</v>
      </c>
      <c r="AA19" s="1"/>
      <c r="AB19" s="1"/>
      <c r="AC19" s="1"/>
      <c r="AD19" s="1">
        <v>233</v>
      </c>
      <c r="AE19" s="1">
        <v>43</v>
      </c>
      <c r="AF19" s="1">
        <v>9.1999999999999993</v>
      </c>
      <c r="AG19" s="1"/>
      <c r="AH19" s="1"/>
      <c r="AI19" s="1"/>
      <c r="AJ19" s="1">
        <v>213</v>
      </c>
      <c r="AK19" s="1">
        <v>39</v>
      </c>
      <c r="AL19" s="1">
        <v>8.8000000000000007</v>
      </c>
      <c r="AM19" s="1"/>
      <c r="AN19" s="1"/>
      <c r="AO19" s="1"/>
      <c r="AP19" s="1">
        <v>330</v>
      </c>
      <c r="AQ19" s="1">
        <v>45</v>
      </c>
      <c r="AR19" s="1">
        <v>9.8000000000000007</v>
      </c>
      <c r="AS19" s="1"/>
      <c r="AT19" s="1"/>
      <c r="AU19" s="1"/>
      <c r="AV19" s="1">
        <v>250</v>
      </c>
      <c r="AW19" s="1">
        <v>44</v>
      </c>
      <c r="AX19" s="1">
        <v>8.8000000000000007</v>
      </c>
      <c r="AY19" s="1"/>
      <c r="AZ19" s="1"/>
      <c r="BA19" s="1"/>
      <c r="BB19" s="1">
        <v>225</v>
      </c>
      <c r="BC19" s="1">
        <v>42</v>
      </c>
      <c r="BD19" s="1">
        <v>7</v>
      </c>
      <c r="BE19" s="1"/>
      <c r="BF19" s="1"/>
      <c r="BG19" s="1"/>
      <c r="BH19" s="1">
        <v>238</v>
      </c>
      <c r="BI19" s="1">
        <v>45</v>
      </c>
      <c r="BJ19" s="1">
        <v>10.8</v>
      </c>
      <c r="BK19" s="1"/>
      <c r="BL19" s="1"/>
      <c r="BM19" s="1"/>
      <c r="BN19" s="1">
        <v>203</v>
      </c>
      <c r="BO19" s="1">
        <v>38</v>
      </c>
      <c r="BP19" s="1">
        <v>7</v>
      </c>
      <c r="BQ19" s="1"/>
      <c r="BR19" s="1"/>
      <c r="BS19" s="1"/>
      <c r="BT19" s="1">
        <v>255</v>
      </c>
      <c r="BU19" s="1">
        <v>42</v>
      </c>
      <c r="BV19" s="1">
        <v>8</v>
      </c>
      <c r="BW19" s="1"/>
      <c r="BX19" s="1"/>
      <c r="BY19" s="1"/>
      <c r="BZ19" s="1">
        <v>222</v>
      </c>
      <c r="CA19" s="1">
        <v>39</v>
      </c>
      <c r="CB19" s="1">
        <v>8</v>
      </c>
      <c r="CC19" s="1"/>
      <c r="CD19" s="1"/>
      <c r="CE19" s="1"/>
      <c r="CF19" s="1">
        <v>275</v>
      </c>
      <c r="CG19" s="1">
        <v>45</v>
      </c>
      <c r="CH19" s="1">
        <v>7</v>
      </c>
      <c r="CI19" s="1"/>
      <c r="CJ19" s="1"/>
      <c r="CK19" s="1"/>
      <c r="CL19" s="1"/>
      <c r="CM19" s="1"/>
      <c r="CN19" s="1"/>
      <c r="CO19" s="1"/>
      <c r="CP19" s="1"/>
      <c r="CQ19" s="1"/>
    </row>
    <row r="20" spans="1:95" x14ac:dyDescent="0.3">
      <c r="A20" s="13">
        <v>45835</v>
      </c>
      <c r="B20" s="1" t="s">
        <v>95</v>
      </c>
      <c r="C20" s="1" t="s">
        <v>96</v>
      </c>
      <c r="D20" s="1" t="s">
        <v>101</v>
      </c>
      <c r="E20" s="1">
        <v>3</v>
      </c>
      <c r="F20" s="1">
        <v>255</v>
      </c>
      <c r="G20" s="1">
        <v>44</v>
      </c>
      <c r="H20" s="1">
        <v>9</v>
      </c>
      <c r="I20" s="1"/>
      <c r="J20" s="1"/>
      <c r="K20" s="1"/>
      <c r="L20" s="1">
        <v>190</v>
      </c>
      <c r="M20" s="1">
        <v>32</v>
      </c>
      <c r="N20" s="1">
        <v>7.8</v>
      </c>
      <c r="O20" s="1"/>
      <c r="P20" s="1"/>
      <c r="Q20" s="1"/>
      <c r="R20" s="1">
        <v>240</v>
      </c>
      <c r="S20" s="1">
        <v>44</v>
      </c>
      <c r="T20" s="1">
        <v>11</v>
      </c>
      <c r="U20" s="1"/>
      <c r="V20" s="1"/>
      <c r="W20" s="1"/>
      <c r="X20" s="1">
        <v>200</v>
      </c>
      <c r="Y20" s="1">
        <v>37</v>
      </c>
      <c r="Z20" s="1">
        <v>7.8</v>
      </c>
      <c r="AA20" s="1"/>
      <c r="AB20" s="1"/>
      <c r="AC20" s="1"/>
      <c r="AD20" s="1">
        <v>228</v>
      </c>
      <c r="AE20" s="1">
        <v>40</v>
      </c>
      <c r="AF20" s="1">
        <v>5.8</v>
      </c>
      <c r="AG20" s="1"/>
      <c r="AH20" s="1"/>
      <c r="AI20" s="1"/>
      <c r="AJ20" s="1">
        <v>213</v>
      </c>
      <c r="AK20" s="1">
        <v>38</v>
      </c>
      <c r="AL20" s="1">
        <v>7.2</v>
      </c>
      <c r="AM20" s="1"/>
      <c r="AN20" s="1"/>
      <c r="AO20" s="1"/>
      <c r="AP20" s="1">
        <v>245</v>
      </c>
      <c r="AQ20" s="1">
        <v>42</v>
      </c>
      <c r="AR20" s="1">
        <v>7.2</v>
      </c>
      <c r="AS20" s="1"/>
      <c r="AT20" s="1"/>
      <c r="AU20" s="1"/>
      <c r="AV20" s="1">
        <v>214</v>
      </c>
      <c r="AW20" s="1">
        <v>37</v>
      </c>
      <c r="AX20" s="1">
        <v>9</v>
      </c>
      <c r="AY20" s="1"/>
      <c r="AZ20" s="1"/>
      <c r="BA20" s="1"/>
      <c r="BB20" s="1">
        <v>250</v>
      </c>
      <c r="BC20" s="1">
        <v>44</v>
      </c>
      <c r="BD20" s="1">
        <v>8.1999999999999993</v>
      </c>
      <c r="BE20" s="1"/>
      <c r="BF20" s="1"/>
      <c r="BG20" s="1"/>
      <c r="BH20" s="1">
        <v>240</v>
      </c>
      <c r="BI20" s="1">
        <v>42</v>
      </c>
      <c r="BJ20" s="1">
        <v>9.1999999999999993</v>
      </c>
      <c r="BK20" s="1"/>
      <c r="BL20" s="1"/>
      <c r="BM20" s="1"/>
      <c r="BN20" s="1">
        <v>217</v>
      </c>
      <c r="BO20" s="1">
        <v>38</v>
      </c>
      <c r="BP20" s="1">
        <v>7.8</v>
      </c>
      <c r="BQ20" s="1"/>
      <c r="BR20" s="1"/>
      <c r="BS20" s="1"/>
      <c r="BT20" s="1">
        <v>273</v>
      </c>
      <c r="BU20" s="1">
        <v>51</v>
      </c>
      <c r="BV20" s="1">
        <v>10.8</v>
      </c>
      <c r="BW20" s="1"/>
      <c r="BX20" s="1"/>
      <c r="BY20" s="1"/>
      <c r="BZ20" s="1">
        <v>275</v>
      </c>
      <c r="CA20" s="1">
        <v>47</v>
      </c>
      <c r="CB20" s="1">
        <v>8.1999999999999993</v>
      </c>
      <c r="CC20" s="1"/>
      <c r="CD20" s="1"/>
      <c r="CE20" s="1"/>
      <c r="CF20" s="1">
        <v>215</v>
      </c>
      <c r="CG20" s="1">
        <v>39</v>
      </c>
      <c r="CH20" s="1">
        <v>6.6</v>
      </c>
      <c r="CI20" s="1"/>
      <c r="CJ20" s="1"/>
      <c r="CK20" s="1"/>
      <c r="CL20" s="1"/>
      <c r="CM20" s="1"/>
      <c r="CN20" s="1"/>
      <c r="CO20" s="1"/>
      <c r="CP20" s="1"/>
      <c r="CQ20" s="1"/>
    </row>
    <row r="21" spans="1:95" x14ac:dyDescent="0.3">
      <c r="A21" s="13">
        <v>45835</v>
      </c>
      <c r="B21" s="1" t="s">
        <v>95</v>
      </c>
      <c r="C21" s="1" t="s">
        <v>96</v>
      </c>
      <c r="D21" s="1" t="s">
        <v>109</v>
      </c>
      <c r="E21" s="1">
        <v>3</v>
      </c>
      <c r="F21" s="1">
        <v>270</v>
      </c>
      <c r="G21" s="1">
        <v>47</v>
      </c>
      <c r="H21" s="1">
        <v>7.8</v>
      </c>
      <c r="I21" s="1"/>
      <c r="J21" s="1"/>
      <c r="K21" s="1"/>
      <c r="L21" s="1">
        <v>170</v>
      </c>
      <c r="M21" s="1">
        <v>32</v>
      </c>
      <c r="N21" s="1">
        <v>5</v>
      </c>
      <c r="O21" s="1"/>
      <c r="P21" s="1"/>
      <c r="Q21" s="1"/>
      <c r="R21" s="1">
        <v>255</v>
      </c>
      <c r="S21" s="1">
        <v>44</v>
      </c>
      <c r="T21" s="1">
        <v>8</v>
      </c>
      <c r="U21" s="1"/>
      <c r="V21" s="1"/>
      <c r="W21" s="1"/>
      <c r="X21" s="1">
        <v>280</v>
      </c>
      <c r="Y21" s="1">
        <v>51</v>
      </c>
      <c r="Z21" s="1">
        <v>9.8000000000000007</v>
      </c>
      <c r="AA21" s="1"/>
      <c r="AB21" s="1"/>
      <c r="AC21" s="1"/>
      <c r="AD21" s="1">
        <v>225</v>
      </c>
      <c r="AE21" s="1">
        <v>46</v>
      </c>
      <c r="AF21" s="1">
        <v>8.8000000000000007</v>
      </c>
      <c r="AG21" s="1"/>
      <c r="AH21" s="1"/>
      <c r="AI21" s="1"/>
      <c r="AJ21" s="1">
        <v>200</v>
      </c>
      <c r="AK21" s="1">
        <v>39</v>
      </c>
      <c r="AL21" s="1">
        <v>8.4</v>
      </c>
      <c r="AM21" s="1"/>
      <c r="AN21" s="1"/>
      <c r="AO21" s="1"/>
      <c r="AP21" s="1">
        <v>255</v>
      </c>
      <c r="AQ21" s="1">
        <v>51</v>
      </c>
      <c r="AR21" s="1">
        <v>8.6</v>
      </c>
      <c r="AS21" s="1"/>
      <c r="AT21" s="1"/>
      <c r="AU21" s="1"/>
      <c r="AV21" s="1">
        <v>253</v>
      </c>
      <c r="AW21" s="1">
        <v>46</v>
      </c>
      <c r="AX21" s="1">
        <v>9.8000000000000007</v>
      </c>
      <c r="AY21" s="1"/>
      <c r="AZ21" s="1"/>
      <c r="BA21" s="1"/>
      <c r="BB21" s="1">
        <v>253</v>
      </c>
      <c r="BC21" s="1">
        <v>47</v>
      </c>
      <c r="BD21" s="1">
        <v>10</v>
      </c>
      <c r="BE21" s="1"/>
      <c r="BF21" s="1"/>
      <c r="BG21" s="1"/>
      <c r="BH21" s="1">
        <v>210</v>
      </c>
      <c r="BI21" s="1">
        <v>35</v>
      </c>
      <c r="BJ21" s="1">
        <v>6.6</v>
      </c>
      <c r="BK21" s="1"/>
      <c r="BL21" s="1"/>
      <c r="BM21" s="1"/>
      <c r="BN21" s="1"/>
      <c r="BO21" s="1">
        <v>238</v>
      </c>
      <c r="BP21" s="1">
        <v>40</v>
      </c>
      <c r="BQ21" s="1">
        <v>6.8</v>
      </c>
      <c r="BR21" s="1"/>
      <c r="BS21" s="1"/>
      <c r="BT21" s="1">
        <v>265</v>
      </c>
      <c r="BU21" s="1">
        <v>47</v>
      </c>
      <c r="BV21" s="1">
        <v>9.4</v>
      </c>
      <c r="BW21" s="1"/>
      <c r="BX21" s="1"/>
      <c r="BY21" s="1"/>
      <c r="BZ21" s="1">
        <v>225</v>
      </c>
      <c r="CA21" s="1">
        <v>45</v>
      </c>
      <c r="CB21" s="1">
        <v>5.8</v>
      </c>
      <c r="CC21" s="1"/>
      <c r="CD21" s="1"/>
      <c r="CE21" s="1"/>
      <c r="CF21" s="1">
        <v>225</v>
      </c>
      <c r="CG21" s="1">
        <v>41</v>
      </c>
      <c r="CH21" s="1">
        <v>8</v>
      </c>
      <c r="CI21" s="1"/>
      <c r="CJ21" s="1"/>
      <c r="CK21" s="1"/>
      <c r="CL21" s="1"/>
      <c r="CM21" s="1"/>
      <c r="CN21" s="1"/>
      <c r="CO21" s="1"/>
      <c r="CP21" s="1"/>
      <c r="CQ21" s="1"/>
    </row>
    <row r="22" spans="1:95" x14ac:dyDescent="0.3">
      <c r="A22" s="13">
        <v>45835</v>
      </c>
      <c r="B22" s="1" t="s">
        <v>95</v>
      </c>
      <c r="C22" s="1" t="s">
        <v>96</v>
      </c>
      <c r="D22" s="1" t="s">
        <v>109</v>
      </c>
      <c r="E22" s="1">
        <v>2</v>
      </c>
      <c r="F22" s="1">
        <v>265</v>
      </c>
      <c r="G22" s="1">
        <v>48</v>
      </c>
      <c r="H22" s="1">
        <v>10</v>
      </c>
      <c r="I22" s="1"/>
      <c r="J22" s="1"/>
      <c r="K22" s="1"/>
      <c r="L22" s="1">
        <v>230</v>
      </c>
      <c r="M22" s="1">
        <v>40</v>
      </c>
      <c r="N22" s="1">
        <v>10.4</v>
      </c>
      <c r="O22" s="1"/>
      <c r="P22" s="1"/>
      <c r="Q22" s="1"/>
      <c r="R22" s="1">
        <v>210</v>
      </c>
      <c r="S22" s="1">
        <v>39</v>
      </c>
      <c r="T22" s="1">
        <v>6.8</v>
      </c>
      <c r="U22" s="1"/>
      <c r="V22" s="1"/>
      <c r="W22" s="1"/>
      <c r="X22" s="1">
        <v>245</v>
      </c>
      <c r="Y22" s="1">
        <v>44</v>
      </c>
      <c r="Z22" s="1">
        <v>9.1999999999999993</v>
      </c>
      <c r="AA22" s="1"/>
      <c r="AB22" s="1"/>
      <c r="AC22" s="1"/>
      <c r="AD22" s="1">
        <v>260</v>
      </c>
      <c r="AE22" s="1">
        <v>49</v>
      </c>
      <c r="AF22" s="1">
        <v>8.8000000000000007</v>
      </c>
      <c r="AG22" s="1"/>
      <c r="AH22" s="1"/>
      <c r="AI22" s="1"/>
      <c r="AJ22" s="1">
        <v>256</v>
      </c>
      <c r="AK22" s="1">
        <v>46</v>
      </c>
      <c r="AL22" s="1">
        <v>8</v>
      </c>
      <c r="AM22" s="1"/>
      <c r="AN22" s="1"/>
      <c r="AO22" s="1"/>
      <c r="AP22" s="1">
        <v>260</v>
      </c>
      <c r="AQ22" s="1">
        <v>44</v>
      </c>
      <c r="AR22" s="1">
        <v>8.1999999999999993</v>
      </c>
      <c r="AS22" s="1"/>
      <c r="AT22" s="1"/>
      <c r="AU22" s="1"/>
      <c r="AV22" s="1">
        <v>190</v>
      </c>
      <c r="AW22" s="1">
        <v>35</v>
      </c>
      <c r="AX22" s="1">
        <v>4.4000000000000004</v>
      </c>
      <c r="AY22" s="1"/>
      <c r="AZ22" s="1"/>
      <c r="BA22" s="1"/>
      <c r="BB22" s="1">
        <v>222</v>
      </c>
      <c r="BC22" s="1">
        <v>40</v>
      </c>
      <c r="BD22" s="1">
        <v>9.1999999999999993</v>
      </c>
      <c r="BE22" s="1"/>
      <c r="BF22" s="1"/>
      <c r="BG22" s="1"/>
      <c r="BH22" s="1">
        <v>250</v>
      </c>
      <c r="BI22" s="1">
        <v>50</v>
      </c>
      <c r="BJ22" s="1">
        <v>8</v>
      </c>
      <c r="BK22" s="1"/>
      <c r="BL22" s="1"/>
      <c r="BM22" s="1"/>
      <c r="BN22" s="1">
        <v>216</v>
      </c>
      <c r="BO22" s="1">
        <v>41</v>
      </c>
      <c r="BP22" s="1">
        <v>9</v>
      </c>
      <c r="BQ22" s="1"/>
      <c r="BR22" s="1"/>
      <c r="BS22" s="1"/>
      <c r="BT22" s="1">
        <v>202</v>
      </c>
      <c r="BU22" s="1">
        <v>43</v>
      </c>
      <c r="BV22" s="1">
        <v>7</v>
      </c>
      <c r="BW22" s="1"/>
      <c r="BX22" s="1"/>
      <c r="BY22" s="1"/>
      <c r="BZ22" s="1">
        <v>210</v>
      </c>
      <c r="CA22" s="1">
        <v>44</v>
      </c>
      <c r="CB22" s="1">
        <v>7.8</v>
      </c>
      <c r="CC22" s="1"/>
      <c r="CD22" s="1"/>
      <c r="CE22" s="1"/>
      <c r="CF22" s="1">
        <v>207</v>
      </c>
      <c r="CG22" s="1">
        <v>41</v>
      </c>
      <c r="CH22" s="1">
        <v>8.4</v>
      </c>
      <c r="CI22" s="1"/>
      <c r="CJ22" s="1"/>
      <c r="CK22" s="1"/>
      <c r="CL22" s="1"/>
      <c r="CM22" s="1"/>
      <c r="CN22" s="1"/>
      <c r="CO22" s="1"/>
      <c r="CP22" s="1"/>
      <c r="CQ22" s="1"/>
    </row>
    <row r="23" spans="1:95" x14ac:dyDescent="0.3">
      <c r="A23" s="13">
        <v>45835</v>
      </c>
      <c r="B23" s="1" t="s">
        <v>95</v>
      </c>
      <c r="C23" s="1" t="s">
        <v>96</v>
      </c>
      <c r="D23" s="1" t="s">
        <v>101</v>
      </c>
      <c r="E23" s="1">
        <v>2</v>
      </c>
      <c r="F23" s="1">
        <v>205</v>
      </c>
      <c r="G23" s="1">
        <v>40</v>
      </c>
      <c r="H23" s="1">
        <v>8.1999999999999993</v>
      </c>
      <c r="I23" s="1"/>
      <c r="J23" s="1"/>
      <c r="K23" s="1"/>
      <c r="L23" s="1">
        <v>210</v>
      </c>
      <c r="M23" s="1">
        <v>40</v>
      </c>
      <c r="N23" s="1">
        <v>7</v>
      </c>
      <c r="O23" s="1"/>
      <c r="P23" s="1"/>
      <c r="Q23" s="1"/>
      <c r="R23" s="1">
        <v>190</v>
      </c>
      <c r="S23" s="1">
        <v>36</v>
      </c>
      <c r="T23" s="1">
        <v>7.2</v>
      </c>
      <c r="U23" s="1"/>
      <c r="V23" s="1"/>
      <c r="W23" s="1"/>
      <c r="X23" s="1">
        <v>220</v>
      </c>
      <c r="Y23" s="1">
        <v>41</v>
      </c>
      <c r="Z23" s="1">
        <v>9</v>
      </c>
      <c r="AA23" s="1"/>
      <c r="AB23" s="1"/>
      <c r="AC23" s="1"/>
      <c r="AD23" s="1">
        <v>215</v>
      </c>
      <c r="AE23" s="1">
        <v>40</v>
      </c>
      <c r="AF23" s="1">
        <v>7</v>
      </c>
      <c r="AG23" s="1"/>
      <c r="AH23" s="1"/>
      <c r="AI23" s="1"/>
      <c r="AJ23" s="1">
        <v>215</v>
      </c>
      <c r="AK23" s="1">
        <v>37</v>
      </c>
      <c r="AL23" s="1">
        <v>7</v>
      </c>
      <c r="AM23" s="1"/>
      <c r="AN23" s="1"/>
      <c r="AO23" s="1"/>
      <c r="AP23" s="1">
        <v>175</v>
      </c>
      <c r="AQ23" s="1">
        <v>39</v>
      </c>
      <c r="AR23" s="1">
        <v>5.8</v>
      </c>
      <c r="AS23" s="1"/>
      <c r="AT23" s="1"/>
      <c r="AU23" s="1"/>
      <c r="AV23" s="1">
        <v>240</v>
      </c>
      <c r="AW23" s="1">
        <v>42</v>
      </c>
      <c r="AX23" s="1">
        <v>9.8000000000000007</v>
      </c>
      <c r="AY23" s="1"/>
      <c r="AZ23" s="1"/>
      <c r="BA23" s="1"/>
      <c r="BB23" s="1">
        <v>225</v>
      </c>
      <c r="BC23" s="1">
        <v>39</v>
      </c>
      <c r="BD23" s="1">
        <v>7.2</v>
      </c>
      <c r="BE23" s="1"/>
      <c r="BF23" s="1"/>
      <c r="BG23" s="1"/>
      <c r="BH23" s="1">
        <v>210</v>
      </c>
      <c r="BI23" s="1">
        <v>40</v>
      </c>
      <c r="BJ23" s="1">
        <v>8.6</v>
      </c>
      <c r="BK23" s="1"/>
      <c r="BL23" s="1"/>
      <c r="BM23" s="1"/>
      <c r="BN23" s="1">
        <v>210</v>
      </c>
      <c r="BO23" s="1">
        <v>43</v>
      </c>
      <c r="BP23" s="1">
        <v>7.2</v>
      </c>
      <c r="BQ23" s="1"/>
      <c r="BR23" s="1"/>
      <c r="BS23" s="1"/>
      <c r="BT23" s="1">
        <v>230</v>
      </c>
      <c r="BU23" s="1">
        <v>42</v>
      </c>
      <c r="BV23" s="1">
        <v>8.8000000000000007</v>
      </c>
      <c r="BW23" s="1"/>
      <c r="BX23" s="1"/>
      <c r="BY23" s="1"/>
      <c r="BZ23" s="1">
        <v>280</v>
      </c>
      <c r="CA23" s="1">
        <v>50</v>
      </c>
      <c r="CB23" s="1">
        <v>10.199999999999999</v>
      </c>
      <c r="CC23" s="1"/>
      <c r="CD23" s="1"/>
      <c r="CE23" s="1"/>
      <c r="CF23" s="1">
        <v>248</v>
      </c>
      <c r="CG23" s="1">
        <v>45</v>
      </c>
      <c r="CH23" s="1">
        <v>10.199999999999999</v>
      </c>
      <c r="CI23" s="1"/>
      <c r="CJ23" s="1"/>
      <c r="CK23" s="1"/>
      <c r="CL23" s="1"/>
      <c r="CM23" s="1"/>
      <c r="CN23" s="1"/>
      <c r="CO23" s="1"/>
      <c r="CP23" s="1"/>
      <c r="CQ23" s="1"/>
    </row>
    <row r="24" spans="1:95" x14ac:dyDescent="0.3">
      <c r="A24" s="13">
        <v>45835</v>
      </c>
      <c r="B24" s="1" t="s">
        <v>100</v>
      </c>
      <c r="C24" s="1" t="s">
        <v>96</v>
      </c>
      <c r="D24" s="1" t="s">
        <v>101</v>
      </c>
      <c r="E24" s="1">
        <v>1</v>
      </c>
      <c r="F24" s="1">
        <v>230</v>
      </c>
      <c r="G24" s="1">
        <v>43</v>
      </c>
      <c r="H24" s="14">
        <v>0.29583333333333334</v>
      </c>
      <c r="I24" s="1"/>
      <c r="J24" s="1"/>
      <c r="K24" s="1"/>
      <c r="L24" s="1">
        <v>222</v>
      </c>
      <c r="M24" s="1">
        <v>42</v>
      </c>
      <c r="N24" s="1">
        <v>7</v>
      </c>
      <c r="O24" s="1"/>
      <c r="P24" s="1"/>
      <c r="Q24" s="1"/>
      <c r="R24" s="1">
        <v>223</v>
      </c>
      <c r="S24" s="1">
        <v>40</v>
      </c>
      <c r="T24" s="14">
        <v>0.3347222222222222</v>
      </c>
      <c r="U24" s="1"/>
      <c r="V24" s="1"/>
      <c r="W24" s="1"/>
      <c r="X24" s="1">
        <v>190</v>
      </c>
      <c r="Y24" s="1">
        <v>39</v>
      </c>
      <c r="Z24" s="1">
        <v>7</v>
      </c>
      <c r="AA24" s="1"/>
      <c r="AB24" s="1"/>
      <c r="AC24" s="1"/>
      <c r="AD24" s="1">
        <v>272</v>
      </c>
      <c r="AE24" s="1">
        <v>48</v>
      </c>
      <c r="AF24" s="14">
        <v>0.38055555555555554</v>
      </c>
      <c r="AG24" s="1"/>
      <c r="AH24" s="1"/>
      <c r="AI24" s="1"/>
      <c r="AJ24" s="1">
        <v>250</v>
      </c>
      <c r="AK24" s="1">
        <v>42</v>
      </c>
      <c r="AL24" s="14">
        <v>0.37638888888888888</v>
      </c>
      <c r="AM24" s="1"/>
      <c r="AN24" s="1"/>
      <c r="AO24" s="1"/>
      <c r="AP24" s="1">
        <v>225</v>
      </c>
      <c r="AQ24" s="1">
        <v>46</v>
      </c>
      <c r="AR24" s="14">
        <v>0.41805555555555557</v>
      </c>
      <c r="AS24" s="1"/>
      <c r="AT24" s="1"/>
      <c r="AU24" s="1"/>
      <c r="AV24" s="1">
        <v>190</v>
      </c>
      <c r="AW24" s="1">
        <v>32</v>
      </c>
      <c r="AX24" s="14">
        <v>0.25138888888888888</v>
      </c>
      <c r="AY24" s="1"/>
      <c r="AZ24" s="1"/>
      <c r="BA24" s="1"/>
      <c r="BB24" s="1">
        <v>185</v>
      </c>
      <c r="BC24" s="1">
        <v>38</v>
      </c>
      <c r="BD24" s="14">
        <v>0.29305555555555557</v>
      </c>
      <c r="BE24" s="1"/>
      <c r="BF24" s="1"/>
      <c r="BG24" s="1"/>
      <c r="BH24" s="1">
        <v>240</v>
      </c>
      <c r="BI24" s="1">
        <v>43</v>
      </c>
      <c r="BJ24" s="14">
        <v>0.3347222222222222</v>
      </c>
      <c r="BK24" s="1"/>
      <c r="BL24" s="1"/>
      <c r="BM24" s="1"/>
      <c r="BN24" s="1">
        <v>210</v>
      </c>
      <c r="BO24" s="1">
        <v>39</v>
      </c>
      <c r="BP24" s="1">
        <v>7</v>
      </c>
      <c r="BQ24" s="1"/>
      <c r="BR24" s="1"/>
      <c r="BS24" s="1"/>
      <c r="BT24" s="1">
        <v>188</v>
      </c>
      <c r="BU24" s="1">
        <v>37</v>
      </c>
      <c r="BV24" s="1">
        <v>5</v>
      </c>
      <c r="BW24" s="1"/>
      <c r="BX24" s="1"/>
      <c r="BY24" s="1"/>
      <c r="BZ24" s="1">
        <v>192</v>
      </c>
      <c r="CA24" s="1">
        <v>38</v>
      </c>
      <c r="CB24" s="1">
        <v>7</v>
      </c>
      <c r="CC24" s="1"/>
      <c r="CD24" s="1"/>
      <c r="CE24" s="1"/>
      <c r="CF24" s="1">
        <v>190</v>
      </c>
      <c r="CG24" s="1">
        <v>39</v>
      </c>
      <c r="CH24" s="14">
        <v>0.25555555555555559</v>
      </c>
      <c r="CI24" s="1"/>
      <c r="CJ24" s="1"/>
      <c r="CK24" s="1"/>
      <c r="CL24" s="1"/>
      <c r="CM24" s="1"/>
      <c r="CN24" s="1"/>
      <c r="CO24" s="1"/>
      <c r="CP24" s="1"/>
      <c r="CQ24" s="1"/>
    </row>
    <row r="25" spans="1:95" x14ac:dyDescent="0.3">
      <c r="A25" s="13">
        <v>45835</v>
      </c>
      <c r="B25" s="1" t="s">
        <v>100</v>
      </c>
      <c r="C25" s="1"/>
      <c r="D25" s="1" t="s">
        <v>109</v>
      </c>
      <c r="E25" s="1">
        <v>1</v>
      </c>
      <c r="F25" s="1">
        <v>255</v>
      </c>
      <c r="G25" s="1">
        <v>52</v>
      </c>
      <c r="H25" s="14">
        <v>0.29305555555555557</v>
      </c>
      <c r="I25" s="1"/>
      <c r="J25" s="1"/>
      <c r="K25" s="1"/>
      <c r="L25" s="1">
        <v>230</v>
      </c>
      <c r="M25" s="1">
        <v>43</v>
      </c>
      <c r="N25" s="14">
        <v>0.33888888888888885</v>
      </c>
      <c r="O25" s="1"/>
      <c r="P25" s="1"/>
      <c r="Q25" s="1"/>
      <c r="R25" s="1">
        <v>233</v>
      </c>
      <c r="S25" s="1">
        <v>45</v>
      </c>
      <c r="T25" s="1">
        <v>8</v>
      </c>
      <c r="U25" s="1"/>
      <c r="V25" s="1"/>
      <c r="W25" s="1"/>
      <c r="X25" s="1">
        <v>203</v>
      </c>
      <c r="Y25" s="1">
        <v>37</v>
      </c>
      <c r="Z25" s="1">
        <v>5</v>
      </c>
      <c r="AA25" s="1"/>
      <c r="AB25" s="1"/>
      <c r="AC25" s="1"/>
      <c r="AD25" s="1">
        <v>232</v>
      </c>
      <c r="AE25" s="1">
        <v>44</v>
      </c>
      <c r="AF25" s="1">
        <v>9</v>
      </c>
      <c r="AG25" s="1"/>
      <c r="AH25" s="1"/>
      <c r="AI25" s="1"/>
      <c r="AJ25" s="1">
        <v>275</v>
      </c>
      <c r="AK25" s="1">
        <v>48</v>
      </c>
      <c r="AL25" s="14">
        <v>0.29722222222222222</v>
      </c>
      <c r="AM25" s="1"/>
      <c r="AN25" s="1"/>
      <c r="AO25" s="1"/>
      <c r="AP25" s="1">
        <v>260</v>
      </c>
      <c r="AQ25" s="1">
        <v>41</v>
      </c>
      <c r="AR25" s="14">
        <v>0.33611111111111108</v>
      </c>
      <c r="AS25" s="1"/>
      <c r="AT25" s="1"/>
      <c r="AU25" s="1"/>
      <c r="AV25" s="1">
        <v>245</v>
      </c>
      <c r="AW25" s="1">
        <v>45</v>
      </c>
      <c r="AX25" s="14">
        <v>0.33888888888888885</v>
      </c>
      <c r="AY25" s="1"/>
      <c r="AZ25" s="1"/>
      <c r="BA25" s="1"/>
      <c r="BB25" s="1">
        <v>266</v>
      </c>
      <c r="BC25" s="1">
        <v>45</v>
      </c>
      <c r="BD25" s="14">
        <v>0.33749999999999997</v>
      </c>
      <c r="BE25" s="1"/>
      <c r="BF25" s="1"/>
      <c r="BG25" s="1"/>
      <c r="BH25" s="1">
        <v>215</v>
      </c>
      <c r="BI25" s="1">
        <v>43</v>
      </c>
      <c r="BJ25" s="14">
        <v>0.37638888888888888</v>
      </c>
      <c r="BK25" s="1"/>
      <c r="BL25" s="1"/>
      <c r="BM25" s="1"/>
      <c r="BN25" s="1">
        <v>230</v>
      </c>
      <c r="BO25" s="1">
        <v>43</v>
      </c>
      <c r="BP25" s="14">
        <v>0.25555555555555559</v>
      </c>
      <c r="BQ25" s="1">
        <v>5</v>
      </c>
      <c r="BR25" s="1"/>
      <c r="BS25" s="1"/>
      <c r="BT25" s="1">
        <v>235</v>
      </c>
      <c r="BU25" s="1">
        <v>47</v>
      </c>
      <c r="BV25" s="14">
        <v>0.41805555555555557</v>
      </c>
      <c r="BW25" s="1"/>
      <c r="BX25" s="1"/>
      <c r="BY25" s="1"/>
      <c r="BZ25" s="1">
        <v>255</v>
      </c>
      <c r="CA25" s="1">
        <v>46</v>
      </c>
      <c r="CB25" s="14">
        <v>0.37638888888888888</v>
      </c>
      <c r="CC25" s="1"/>
      <c r="CD25" s="1"/>
      <c r="CE25" s="1"/>
      <c r="CF25" s="1">
        <v>157</v>
      </c>
      <c r="CG25" s="15">
        <v>12.293055555555556</v>
      </c>
      <c r="CH25" s="1"/>
      <c r="CI25" s="1"/>
      <c r="CJ25" s="1"/>
      <c r="CK25" s="1"/>
      <c r="CL25" s="1"/>
      <c r="CM25" s="1"/>
      <c r="CN25" s="1"/>
      <c r="CO25" s="1"/>
      <c r="CP25" s="1"/>
      <c r="CQ25" s="1"/>
    </row>
    <row r="26" spans="1:95" x14ac:dyDescent="0.3">
      <c r="A26" s="13">
        <v>45835</v>
      </c>
      <c r="B26" s="1" t="s">
        <v>100</v>
      </c>
      <c r="C26" s="1" t="s">
        <v>96</v>
      </c>
      <c r="D26" s="1" t="s">
        <v>99</v>
      </c>
      <c r="E26" s="1">
        <v>2</v>
      </c>
      <c r="F26" s="1">
        <v>260</v>
      </c>
      <c r="G26" s="1">
        <v>48</v>
      </c>
      <c r="H26" s="1">
        <v>8</v>
      </c>
      <c r="I26" s="1"/>
      <c r="J26" s="1"/>
      <c r="K26" s="1"/>
      <c r="L26" s="1">
        <v>225</v>
      </c>
      <c r="M26" s="1">
        <v>39</v>
      </c>
      <c r="N26" s="1">
        <v>8</v>
      </c>
      <c r="O26" s="1"/>
      <c r="P26" s="1"/>
      <c r="Q26" s="1"/>
      <c r="R26" s="1">
        <v>242</v>
      </c>
      <c r="S26" s="1">
        <v>42</v>
      </c>
      <c r="T26" s="1">
        <v>8</v>
      </c>
      <c r="U26" s="1"/>
      <c r="V26" s="1"/>
      <c r="W26" s="1"/>
      <c r="X26" s="1">
        <v>240</v>
      </c>
      <c r="Y26" s="1">
        <v>45</v>
      </c>
      <c r="Z26" s="1">
        <v>10</v>
      </c>
      <c r="AA26" s="1"/>
      <c r="AB26" s="1"/>
      <c r="AC26" s="1"/>
      <c r="AD26" s="1">
        <v>242</v>
      </c>
      <c r="AE26" s="1">
        <v>46</v>
      </c>
      <c r="AF26" s="1">
        <v>8</v>
      </c>
      <c r="AG26" s="1"/>
      <c r="AH26" s="1"/>
      <c r="AI26" s="1"/>
      <c r="AJ26" s="1">
        <v>220</v>
      </c>
      <c r="AK26" s="1">
        <v>36</v>
      </c>
      <c r="AL26" s="14">
        <v>0.17083333333333331</v>
      </c>
      <c r="AM26" s="1"/>
      <c r="AN26" s="1"/>
      <c r="AO26" s="1"/>
      <c r="AP26" s="1">
        <v>203</v>
      </c>
      <c r="AQ26" s="1">
        <v>34</v>
      </c>
      <c r="AR26" s="14">
        <v>0.25138888888888888</v>
      </c>
      <c r="AS26" s="1"/>
      <c r="AT26" s="1"/>
      <c r="AU26" s="1"/>
      <c r="AV26" s="1">
        <v>210</v>
      </c>
      <c r="AW26" s="1">
        <v>40</v>
      </c>
      <c r="AX26" s="1">
        <v>8</v>
      </c>
      <c r="AY26" s="1"/>
      <c r="AZ26" s="1"/>
      <c r="BA26" s="1"/>
      <c r="BB26" s="1">
        <v>250</v>
      </c>
      <c r="BC26" s="1">
        <v>45</v>
      </c>
      <c r="BD26" s="1">
        <v>9</v>
      </c>
      <c r="BE26" s="1"/>
      <c r="BF26" s="1"/>
      <c r="BG26" s="1"/>
      <c r="BH26" s="1">
        <v>220</v>
      </c>
      <c r="BI26" s="1">
        <v>45</v>
      </c>
      <c r="BJ26" s="1">
        <v>8</v>
      </c>
      <c r="BK26" s="1"/>
      <c r="BL26" s="1"/>
      <c r="BM26" s="1"/>
      <c r="BN26" s="1">
        <v>185</v>
      </c>
      <c r="BO26" s="1">
        <v>35</v>
      </c>
      <c r="BP26" s="14">
        <v>0.21388888888888891</v>
      </c>
      <c r="BQ26" s="1"/>
      <c r="BR26" s="1"/>
      <c r="BS26" s="1"/>
      <c r="BT26" s="1">
        <v>160</v>
      </c>
      <c r="BU26" s="1">
        <v>30</v>
      </c>
      <c r="BV26" s="1">
        <v>7</v>
      </c>
      <c r="BW26" s="1"/>
      <c r="BX26" s="1"/>
      <c r="BY26" s="1"/>
      <c r="BZ26" s="1">
        <v>195</v>
      </c>
      <c r="CA26" s="1">
        <v>35</v>
      </c>
      <c r="CB26" s="1">
        <v>6</v>
      </c>
      <c r="CC26" s="1"/>
      <c r="CD26" s="1"/>
      <c r="CE26" s="1"/>
      <c r="CF26" s="1">
        <v>185</v>
      </c>
      <c r="CG26" s="1">
        <v>35</v>
      </c>
      <c r="CH26" s="1">
        <v>9</v>
      </c>
      <c r="CI26" s="1"/>
      <c r="CJ26" s="1"/>
      <c r="CK26" s="1"/>
      <c r="CL26" s="1"/>
      <c r="CM26" s="1"/>
      <c r="CN26" s="1"/>
      <c r="CO26" s="1"/>
      <c r="CP26" s="1"/>
      <c r="CQ26" s="1"/>
    </row>
    <row r="27" spans="1:95" x14ac:dyDescent="0.3">
      <c r="A27" s="13">
        <v>45835</v>
      </c>
      <c r="B27" s="1" t="s">
        <v>100</v>
      </c>
      <c r="C27" s="1" t="s">
        <v>96</v>
      </c>
      <c r="D27" s="1" t="s">
        <v>97</v>
      </c>
      <c r="E27" s="1">
        <v>2</v>
      </c>
      <c r="F27" s="1">
        <v>235</v>
      </c>
      <c r="G27" s="1">
        <v>45</v>
      </c>
      <c r="H27" s="1">
        <v>8</v>
      </c>
      <c r="I27" s="1"/>
      <c r="J27" s="1"/>
      <c r="K27" s="1"/>
      <c r="L27" s="1">
        <v>200</v>
      </c>
      <c r="M27" s="1">
        <v>35</v>
      </c>
      <c r="N27" s="14">
        <v>0.21388888888888891</v>
      </c>
      <c r="O27" s="1"/>
      <c r="P27" s="1"/>
      <c r="Q27" s="1"/>
      <c r="R27" s="1">
        <v>220</v>
      </c>
      <c r="S27" s="1">
        <v>39</v>
      </c>
      <c r="T27" s="14">
        <v>0.29305555555555557</v>
      </c>
      <c r="U27" s="1"/>
      <c r="V27" s="1"/>
      <c r="W27" s="1"/>
      <c r="X27" s="1">
        <v>260</v>
      </c>
      <c r="Y27" s="1">
        <v>42</v>
      </c>
      <c r="Z27" s="14">
        <v>0.37916666666666665</v>
      </c>
      <c r="AA27" s="1"/>
      <c r="AB27" s="1"/>
      <c r="AC27" s="1"/>
      <c r="AD27" s="1">
        <v>270</v>
      </c>
      <c r="AE27" s="1">
        <v>52</v>
      </c>
      <c r="AF27" s="14">
        <v>0.38055555555555554</v>
      </c>
      <c r="AG27" s="1"/>
      <c r="AH27" s="1"/>
      <c r="AI27" s="1"/>
      <c r="AJ27" s="1">
        <v>197</v>
      </c>
      <c r="AK27" s="1">
        <v>38</v>
      </c>
      <c r="AL27" s="1">
        <v>6</v>
      </c>
      <c r="AM27" s="1"/>
      <c r="AN27" s="1"/>
      <c r="AO27" s="1"/>
      <c r="AP27" s="1">
        <v>210</v>
      </c>
      <c r="AQ27" s="1">
        <v>39</v>
      </c>
      <c r="AR27" s="14">
        <v>0.25555555555555559</v>
      </c>
      <c r="AS27" s="1"/>
      <c r="AT27" s="1"/>
      <c r="AU27" s="1"/>
      <c r="AV27" s="1">
        <v>180</v>
      </c>
      <c r="AW27" s="1">
        <v>38</v>
      </c>
      <c r="AX27" s="14">
        <v>0.20972222222222223</v>
      </c>
      <c r="AY27" s="1"/>
      <c r="AZ27" s="1"/>
      <c r="BA27" s="1"/>
      <c r="BB27" s="1">
        <v>222</v>
      </c>
      <c r="BC27" s="1">
        <v>39</v>
      </c>
      <c r="BD27" s="1">
        <v>7</v>
      </c>
      <c r="BE27" s="1"/>
      <c r="BF27" s="1"/>
      <c r="BG27" s="1"/>
      <c r="BH27" s="1">
        <v>207</v>
      </c>
      <c r="BI27" s="1">
        <v>40</v>
      </c>
      <c r="BJ27" s="1">
        <v>7</v>
      </c>
      <c r="BK27" s="1"/>
      <c r="BL27" s="1"/>
      <c r="BM27" s="1"/>
      <c r="BN27" s="1">
        <v>215</v>
      </c>
      <c r="BO27" s="1">
        <v>40</v>
      </c>
      <c r="BP27" s="1">
        <v>7</v>
      </c>
      <c r="BQ27" s="1"/>
      <c r="BR27" s="1"/>
      <c r="BS27" s="1"/>
      <c r="BT27" s="1">
        <v>208</v>
      </c>
      <c r="BU27" s="1">
        <v>39</v>
      </c>
      <c r="BV27" s="1">
        <v>8</v>
      </c>
      <c r="BW27" s="1"/>
      <c r="BX27" s="1"/>
      <c r="BY27" s="1"/>
      <c r="BZ27" s="1">
        <v>213</v>
      </c>
      <c r="CA27" s="1">
        <v>44</v>
      </c>
      <c r="CB27" s="1">
        <v>8</v>
      </c>
      <c r="CC27" s="1"/>
      <c r="CD27" s="1"/>
      <c r="CE27" s="1"/>
      <c r="CF27" s="1">
        <v>183</v>
      </c>
      <c r="CG27" s="1">
        <v>38</v>
      </c>
      <c r="CH27" s="14">
        <v>0.25138888888888888</v>
      </c>
      <c r="CI27" s="1"/>
      <c r="CJ27" s="1"/>
      <c r="CK27" s="1"/>
      <c r="CL27" s="1"/>
      <c r="CM27" s="1"/>
      <c r="CN27" s="1"/>
      <c r="CO27" s="1"/>
      <c r="CP27" s="1"/>
      <c r="CQ27" s="1"/>
    </row>
    <row r="28" spans="1:95" x14ac:dyDescent="0.3">
      <c r="A28" s="13">
        <v>45835</v>
      </c>
      <c r="B28" s="1" t="s">
        <v>100</v>
      </c>
      <c r="C28" s="1" t="s">
        <v>96</v>
      </c>
      <c r="D28" s="1" t="s">
        <v>99</v>
      </c>
      <c r="E28" s="1">
        <v>1</v>
      </c>
      <c r="F28" s="1">
        <v>230</v>
      </c>
      <c r="G28" s="1">
        <v>43</v>
      </c>
      <c r="H28" s="1">
        <v>9</v>
      </c>
      <c r="I28" s="1"/>
      <c r="J28" s="1"/>
      <c r="K28" s="1" t="s">
        <v>113</v>
      </c>
      <c r="L28" s="1">
        <v>183</v>
      </c>
      <c r="M28" s="1">
        <v>33</v>
      </c>
      <c r="N28" s="1">
        <v>9</v>
      </c>
      <c r="O28" s="1"/>
      <c r="P28" s="1"/>
      <c r="Q28" s="1" t="s">
        <v>113</v>
      </c>
      <c r="R28" s="1">
        <v>250</v>
      </c>
      <c r="S28" s="1">
        <v>43</v>
      </c>
      <c r="T28" s="14">
        <v>0.33888888888888885</v>
      </c>
      <c r="U28" s="1"/>
      <c r="V28" s="1"/>
      <c r="W28" s="1" t="s">
        <v>113</v>
      </c>
      <c r="X28" s="1">
        <v>265</v>
      </c>
      <c r="Y28" s="1">
        <v>45</v>
      </c>
      <c r="Z28" s="14">
        <v>0.29722222222222222</v>
      </c>
      <c r="AA28" s="1"/>
      <c r="AB28" s="1"/>
      <c r="AC28" s="1" t="s">
        <v>113</v>
      </c>
      <c r="AD28" s="1">
        <v>262</v>
      </c>
      <c r="AE28" s="1">
        <v>44</v>
      </c>
      <c r="AF28" s="1">
        <v>9</v>
      </c>
      <c r="AG28" s="1"/>
      <c r="AH28" s="1"/>
      <c r="AI28" s="1"/>
      <c r="AJ28" s="1">
        <v>260</v>
      </c>
      <c r="AK28" s="1">
        <v>43</v>
      </c>
      <c r="AL28" s="1">
        <v>11</v>
      </c>
      <c r="AM28" s="1"/>
      <c r="AN28" s="1"/>
      <c r="AO28" s="1"/>
      <c r="AP28" s="1">
        <v>250</v>
      </c>
      <c r="AQ28" s="1">
        <v>48</v>
      </c>
      <c r="AR28" s="1">
        <v>10</v>
      </c>
      <c r="AS28" s="1"/>
      <c r="AT28" s="1"/>
      <c r="AU28" s="1"/>
      <c r="AV28" s="1">
        <v>244</v>
      </c>
      <c r="AW28" s="1">
        <v>43</v>
      </c>
      <c r="AX28" s="1">
        <v>10</v>
      </c>
      <c r="AY28" s="1"/>
      <c r="AZ28" s="1"/>
      <c r="BA28" s="1"/>
      <c r="BB28" s="1">
        <v>195</v>
      </c>
      <c r="BC28" s="1">
        <v>36</v>
      </c>
      <c r="BD28" s="1">
        <v>10</v>
      </c>
      <c r="BE28" s="1"/>
      <c r="BF28" s="1"/>
      <c r="BG28" s="1"/>
      <c r="BH28" s="1">
        <v>220</v>
      </c>
      <c r="BI28" s="1">
        <v>43</v>
      </c>
      <c r="BJ28" s="1">
        <v>11</v>
      </c>
      <c r="BK28" s="1"/>
      <c r="BL28" s="1"/>
      <c r="BM28" s="1"/>
      <c r="BN28" s="1">
        <v>220</v>
      </c>
      <c r="BO28" s="1">
        <v>36</v>
      </c>
      <c r="BP28" s="1">
        <v>10</v>
      </c>
      <c r="BQ28" s="1"/>
      <c r="BR28" s="1"/>
      <c r="BS28" s="1"/>
      <c r="BT28" s="1">
        <v>235</v>
      </c>
      <c r="BU28" s="1">
        <v>43</v>
      </c>
      <c r="BV28" s="1">
        <v>9</v>
      </c>
      <c r="BW28" s="1"/>
      <c r="BX28" s="1"/>
      <c r="BY28" s="1"/>
      <c r="BZ28" s="1">
        <v>255</v>
      </c>
      <c r="CA28" s="1">
        <v>46</v>
      </c>
      <c r="CB28" s="1">
        <v>7</v>
      </c>
      <c r="CC28" s="1"/>
      <c r="CD28" s="1"/>
      <c r="CE28" s="1"/>
      <c r="CF28" s="1">
        <v>240</v>
      </c>
      <c r="CG28" s="1">
        <v>46</v>
      </c>
      <c r="CH28" s="1">
        <v>8</v>
      </c>
      <c r="CI28" s="1"/>
      <c r="CJ28" s="1"/>
      <c r="CK28" s="1"/>
      <c r="CL28" s="1"/>
      <c r="CM28" s="1"/>
      <c r="CN28" s="1"/>
      <c r="CO28" s="1"/>
      <c r="CP28" s="1"/>
      <c r="CQ28" s="1"/>
    </row>
    <row r="29" spans="1:95" x14ac:dyDescent="0.3">
      <c r="A29" s="13">
        <v>45835</v>
      </c>
      <c r="B29" s="1" t="s">
        <v>100</v>
      </c>
      <c r="C29" s="1" t="s">
        <v>96</v>
      </c>
      <c r="D29" s="1" t="s">
        <v>97</v>
      </c>
      <c r="E29" s="1">
        <v>1</v>
      </c>
      <c r="F29" s="1">
        <v>223</v>
      </c>
      <c r="G29" s="1">
        <v>39</v>
      </c>
      <c r="H29" s="14">
        <v>0.50138888888888888</v>
      </c>
      <c r="I29" s="1"/>
      <c r="J29" s="1"/>
      <c r="K29" s="1" t="s">
        <v>113</v>
      </c>
      <c r="L29" s="1">
        <v>260</v>
      </c>
      <c r="M29" s="1">
        <v>43</v>
      </c>
      <c r="N29" s="14">
        <v>0.41805555555555557</v>
      </c>
      <c r="O29" s="1"/>
      <c r="P29" s="1"/>
      <c r="Q29" s="1" t="s">
        <v>113</v>
      </c>
      <c r="R29" s="1">
        <v>210</v>
      </c>
      <c r="S29" s="1">
        <v>37</v>
      </c>
      <c r="T29" s="14">
        <v>0.33888888888888885</v>
      </c>
      <c r="U29" s="1"/>
      <c r="V29" s="1"/>
      <c r="W29" s="1" t="s">
        <v>113</v>
      </c>
      <c r="X29" s="1">
        <v>202</v>
      </c>
      <c r="Y29" s="1">
        <v>35</v>
      </c>
      <c r="Z29" s="14">
        <v>0.37638888888888888</v>
      </c>
      <c r="AA29" s="1"/>
      <c r="AB29" s="1"/>
      <c r="AC29" s="1" t="s">
        <v>113</v>
      </c>
      <c r="AD29" s="1">
        <v>193</v>
      </c>
      <c r="AE29" s="1">
        <v>35</v>
      </c>
      <c r="AF29" s="1">
        <v>9</v>
      </c>
      <c r="AG29" s="1"/>
      <c r="AH29" s="1"/>
      <c r="AI29" s="1" t="s">
        <v>113</v>
      </c>
      <c r="AJ29" s="1">
        <v>188</v>
      </c>
      <c r="AK29" s="1">
        <v>36</v>
      </c>
      <c r="AL29" s="1">
        <v>9</v>
      </c>
      <c r="AM29" s="1"/>
      <c r="AN29" s="1" t="s">
        <v>113</v>
      </c>
      <c r="AO29" s="1"/>
      <c r="AP29" s="1">
        <v>172</v>
      </c>
      <c r="AQ29" s="1">
        <v>37</v>
      </c>
      <c r="AR29" s="14">
        <v>0.33888888888888885</v>
      </c>
      <c r="AS29" s="1"/>
      <c r="AT29" s="1"/>
      <c r="AU29" s="1" t="s">
        <v>113</v>
      </c>
      <c r="AV29" s="1">
        <v>202</v>
      </c>
      <c r="AW29" s="1">
        <v>36</v>
      </c>
      <c r="AX29" s="14">
        <v>0.37916666666666665</v>
      </c>
      <c r="AY29" s="1"/>
      <c r="AZ29" s="1"/>
      <c r="BA29" s="1" t="s">
        <v>113</v>
      </c>
      <c r="BB29" s="1">
        <v>255</v>
      </c>
      <c r="BC29" s="1">
        <v>49</v>
      </c>
      <c r="BD29" s="1">
        <v>9</v>
      </c>
      <c r="BE29" s="1"/>
      <c r="BF29" s="1"/>
      <c r="BG29" s="1" t="s">
        <v>113</v>
      </c>
      <c r="BH29" s="1">
        <v>205</v>
      </c>
      <c r="BI29" s="1">
        <v>40</v>
      </c>
      <c r="BJ29" s="1">
        <v>8</v>
      </c>
      <c r="BK29" s="1"/>
      <c r="BL29" s="1"/>
      <c r="BM29" s="1" t="s">
        <v>113</v>
      </c>
      <c r="BN29" s="1">
        <v>210</v>
      </c>
      <c r="BO29" s="1">
        <v>42</v>
      </c>
      <c r="BP29" s="1">
        <v>7</v>
      </c>
      <c r="BQ29" s="1"/>
      <c r="BR29" s="1"/>
      <c r="BS29" s="1" t="s">
        <v>113</v>
      </c>
      <c r="BT29" s="1">
        <v>220</v>
      </c>
      <c r="BU29" s="1">
        <v>44</v>
      </c>
      <c r="BV29" s="14">
        <v>0.29583333333333334</v>
      </c>
      <c r="BW29" s="1"/>
      <c r="BX29" s="1"/>
      <c r="BY29" s="1" t="s">
        <v>113</v>
      </c>
      <c r="BZ29" s="1">
        <v>230</v>
      </c>
      <c r="CA29" s="1">
        <v>48</v>
      </c>
      <c r="CB29" s="1">
        <v>8</v>
      </c>
      <c r="CC29" s="1"/>
      <c r="CD29" s="1"/>
      <c r="CE29" s="1" t="s">
        <v>113</v>
      </c>
      <c r="CF29" s="1">
        <v>215</v>
      </c>
      <c r="CG29" s="1">
        <v>43</v>
      </c>
      <c r="CH29" s="14">
        <v>0.29722222222222222</v>
      </c>
      <c r="CI29" s="1"/>
      <c r="CJ29" s="1"/>
      <c r="CK29" s="1" t="s">
        <v>113</v>
      </c>
      <c r="CL29" s="1"/>
      <c r="CM29" s="1"/>
      <c r="CN29" s="1"/>
      <c r="CO29" s="1"/>
      <c r="CP29" s="1"/>
      <c r="CQ29" s="1"/>
    </row>
    <row r="30" spans="1:95" x14ac:dyDescent="0.3">
      <c r="A30" s="13">
        <v>45834</v>
      </c>
      <c r="B30" s="1" t="s">
        <v>114</v>
      </c>
      <c r="C30" s="1" t="s">
        <v>104</v>
      </c>
      <c r="D30" s="1" t="s">
        <v>101</v>
      </c>
      <c r="E30" s="1">
        <v>3</v>
      </c>
      <c r="F30" s="1">
        <v>203</v>
      </c>
      <c r="G30" s="1">
        <v>37</v>
      </c>
      <c r="H30" s="1">
        <v>8</v>
      </c>
      <c r="I30" s="1"/>
      <c r="J30" s="1"/>
      <c r="K30" s="1"/>
      <c r="L30" s="1">
        <v>217</v>
      </c>
      <c r="M30" s="1">
        <v>42</v>
      </c>
      <c r="N30" s="1">
        <v>8</v>
      </c>
      <c r="O30" s="1"/>
      <c r="P30" s="1"/>
      <c r="Q30" s="1"/>
      <c r="R30" s="1">
        <v>222</v>
      </c>
      <c r="S30" s="1">
        <v>37</v>
      </c>
      <c r="T30" s="1">
        <v>8</v>
      </c>
      <c r="U30" s="1"/>
      <c r="V30" s="1"/>
      <c r="W30" s="1"/>
      <c r="X30" s="1">
        <v>207</v>
      </c>
      <c r="Y30" s="1">
        <v>36</v>
      </c>
      <c r="Z30" s="1">
        <v>7</v>
      </c>
      <c r="AA30" s="1"/>
      <c r="AB30" s="1"/>
      <c r="AC30" s="1"/>
      <c r="AD30" s="1">
        <v>197</v>
      </c>
      <c r="AE30" s="1">
        <v>36</v>
      </c>
      <c r="AF30" s="1">
        <v>8</v>
      </c>
      <c r="AG30" s="1"/>
      <c r="AH30" s="1"/>
      <c r="AI30" s="1"/>
      <c r="AJ30" s="1">
        <v>203</v>
      </c>
      <c r="AK30" s="1">
        <v>41</v>
      </c>
      <c r="AL30" s="1">
        <v>7</v>
      </c>
      <c r="AM30" s="1"/>
      <c r="AN30" s="1"/>
      <c r="AO30" s="1"/>
      <c r="AP30" s="1">
        <v>221</v>
      </c>
      <c r="AQ30" s="1">
        <v>37</v>
      </c>
      <c r="AR30" s="1">
        <v>8</v>
      </c>
      <c r="AS30" s="1"/>
      <c r="AT30" s="1"/>
      <c r="AU30" s="1"/>
      <c r="AV30" s="1">
        <v>200</v>
      </c>
      <c r="AW30" s="1">
        <v>34</v>
      </c>
      <c r="AX30" s="1">
        <v>6</v>
      </c>
      <c r="AY30" s="1"/>
      <c r="AZ30" s="1"/>
      <c r="BA30" s="1"/>
      <c r="BB30" s="1">
        <v>235</v>
      </c>
      <c r="BC30" s="1">
        <v>44</v>
      </c>
      <c r="BD30" s="1">
        <v>9</v>
      </c>
      <c r="BE30" s="1"/>
      <c r="BF30" s="1"/>
      <c r="BG30" s="1"/>
      <c r="BH30" s="1">
        <v>168</v>
      </c>
      <c r="BI30" s="1">
        <v>32</v>
      </c>
      <c r="BJ30" s="1">
        <v>6</v>
      </c>
      <c r="BK30" s="1"/>
      <c r="BL30" s="1"/>
      <c r="BM30" s="1"/>
      <c r="BN30" s="1">
        <v>160</v>
      </c>
      <c r="BO30" s="1">
        <v>29</v>
      </c>
      <c r="BP30" s="1">
        <v>6</v>
      </c>
      <c r="BQ30" s="1"/>
      <c r="BR30" s="1"/>
      <c r="BS30" s="1"/>
      <c r="BT30" s="1">
        <v>222</v>
      </c>
      <c r="BU30" s="1">
        <v>36</v>
      </c>
      <c r="BV30" s="1">
        <v>8</v>
      </c>
      <c r="BW30" s="1"/>
      <c r="BX30" s="1"/>
      <c r="BY30" s="1"/>
      <c r="BZ30" s="1">
        <v>189</v>
      </c>
      <c r="CA30" s="1">
        <v>32</v>
      </c>
      <c r="CB30" s="1">
        <v>7</v>
      </c>
      <c r="CC30" s="1"/>
      <c r="CD30" s="1"/>
      <c r="CE30" s="1"/>
      <c r="CF30" s="1">
        <v>198</v>
      </c>
      <c r="CG30" s="1">
        <v>36</v>
      </c>
      <c r="CH30" s="1">
        <v>8</v>
      </c>
      <c r="CI30" s="1"/>
      <c r="CJ30" s="1"/>
      <c r="CK30" s="1"/>
      <c r="CL30" s="1"/>
      <c r="CM30" s="1"/>
      <c r="CN30" s="1"/>
      <c r="CO30" s="1"/>
      <c r="CP30" s="1"/>
      <c r="CQ30" s="1"/>
    </row>
    <row r="31" spans="1:95" x14ac:dyDescent="0.3">
      <c r="A31" s="13">
        <v>45834</v>
      </c>
      <c r="B31" s="1" t="s">
        <v>114</v>
      </c>
      <c r="C31" s="1" t="s">
        <v>104</v>
      </c>
      <c r="D31" s="1" t="s">
        <v>97</v>
      </c>
      <c r="E31" s="1">
        <v>3</v>
      </c>
      <c r="F31" s="1">
        <v>175</v>
      </c>
      <c r="G31" s="1">
        <v>31</v>
      </c>
      <c r="H31" s="1">
        <v>7</v>
      </c>
      <c r="I31" s="1"/>
      <c r="J31" s="1"/>
      <c r="K31" s="1"/>
      <c r="L31" s="1">
        <v>213</v>
      </c>
      <c r="M31" s="1">
        <v>41</v>
      </c>
      <c r="N31" s="1">
        <v>8</v>
      </c>
      <c r="O31" s="1"/>
      <c r="P31" s="1"/>
      <c r="Q31" s="1"/>
      <c r="R31" s="1">
        <v>245</v>
      </c>
      <c r="S31" s="1">
        <v>41</v>
      </c>
      <c r="T31" s="1">
        <v>9</v>
      </c>
      <c r="U31" s="1"/>
      <c r="V31" s="1"/>
      <c r="W31" s="1"/>
      <c r="X31" s="1">
        <v>247</v>
      </c>
      <c r="Y31" s="1">
        <v>47</v>
      </c>
      <c r="Z31" s="1">
        <v>8</v>
      </c>
      <c r="AA31" s="1"/>
      <c r="AB31" s="1"/>
      <c r="AC31" s="1"/>
      <c r="AD31" s="1">
        <v>206</v>
      </c>
      <c r="AE31" s="1">
        <v>35</v>
      </c>
      <c r="AF31" s="1">
        <v>7</v>
      </c>
      <c r="AG31" s="1"/>
      <c r="AH31" s="1"/>
      <c r="AI31" s="1"/>
      <c r="AJ31" s="1">
        <v>179</v>
      </c>
      <c r="AK31" s="1">
        <v>34</v>
      </c>
      <c r="AL31" s="1">
        <v>6</v>
      </c>
      <c r="AM31" s="1"/>
      <c r="AN31" s="1"/>
      <c r="AO31" s="1"/>
      <c r="AP31" s="1">
        <v>192</v>
      </c>
      <c r="AQ31" s="1">
        <v>35</v>
      </c>
      <c r="AR31" s="1">
        <v>7</v>
      </c>
      <c r="AS31" s="1"/>
      <c r="AT31" s="1"/>
      <c r="AU31" s="1"/>
      <c r="AV31" s="1">
        <v>244</v>
      </c>
      <c r="AW31" s="1">
        <v>44</v>
      </c>
      <c r="AX31" s="1">
        <v>8</v>
      </c>
      <c r="AY31" s="1"/>
      <c r="AZ31" s="1"/>
      <c r="BA31" s="1"/>
      <c r="BB31" s="1">
        <v>225</v>
      </c>
      <c r="BC31" s="1">
        <v>44</v>
      </c>
      <c r="BD31" s="1">
        <v>7</v>
      </c>
      <c r="BE31" s="1"/>
      <c r="BF31" s="1"/>
      <c r="BG31" s="1"/>
      <c r="BH31" s="1">
        <v>200</v>
      </c>
      <c r="BI31" s="1">
        <v>39</v>
      </c>
      <c r="BJ31" s="1">
        <v>7</v>
      </c>
      <c r="BK31" s="1"/>
      <c r="BL31" s="1"/>
      <c r="BM31" s="1"/>
      <c r="BN31" s="1">
        <v>155</v>
      </c>
      <c r="BO31" s="1">
        <v>30</v>
      </c>
      <c r="BP31" s="1">
        <v>6</v>
      </c>
      <c r="BQ31" s="1"/>
      <c r="BR31" s="1"/>
      <c r="BS31" s="1"/>
      <c r="BT31" s="1">
        <v>155</v>
      </c>
      <c r="BU31" s="1">
        <v>31</v>
      </c>
      <c r="BV31" s="1">
        <v>6</v>
      </c>
      <c r="BW31" s="1"/>
      <c r="BX31" s="1"/>
      <c r="BY31" s="1"/>
      <c r="BZ31" s="1">
        <v>225</v>
      </c>
      <c r="CA31" s="1">
        <v>46</v>
      </c>
      <c r="CB31" s="1">
        <v>10</v>
      </c>
      <c r="CC31" s="1"/>
      <c r="CD31" s="1"/>
      <c r="CE31" s="1"/>
      <c r="CF31" s="1">
        <v>195</v>
      </c>
      <c r="CG31" s="1">
        <v>36</v>
      </c>
      <c r="CH31" s="1">
        <v>8</v>
      </c>
      <c r="CI31" s="1"/>
      <c r="CJ31" s="1"/>
      <c r="CK31" s="1"/>
      <c r="CL31" s="1"/>
      <c r="CM31" s="1"/>
      <c r="CN31" s="1"/>
      <c r="CO31" s="1"/>
      <c r="CP31" s="1"/>
      <c r="CQ31" s="1"/>
    </row>
    <row r="32" spans="1:95" x14ac:dyDescent="0.3">
      <c r="A32" s="13">
        <v>45834</v>
      </c>
      <c r="B32" s="1" t="s">
        <v>95</v>
      </c>
      <c r="C32" s="1" t="s">
        <v>104</v>
      </c>
      <c r="D32" s="1" t="s">
        <v>99</v>
      </c>
      <c r="E32" s="1">
        <v>1</v>
      </c>
      <c r="F32" s="1">
        <v>273</v>
      </c>
      <c r="G32" s="1">
        <v>48</v>
      </c>
      <c r="H32" s="1">
        <v>10</v>
      </c>
      <c r="I32" s="1"/>
      <c r="J32" s="1"/>
      <c r="K32" s="1"/>
      <c r="L32" s="1">
        <v>240</v>
      </c>
      <c r="M32" s="1">
        <v>44</v>
      </c>
      <c r="N32" s="1">
        <v>9</v>
      </c>
      <c r="O32" s="1"/>
      <c r="P32" s="1"/>
      <c r="Q32" s="1"/>
      <c r="R32" s="1">
        <v>230</v>
      </c>
      <c r="S32" s="1">
        <v>42</v>
      </c>
      <c r="T32" s="1">
        <v>8</v>
      </c>
      <c r="U32" s="1"/>
      <c r="V32" s="1"/>
      <c r="W32" s="1"/>
      <c r="X32" s="1">
        <v>215</v>
      </c>
      <c r="Y32" s="1">
        <v>35</v>
      </c>
      <c r="Z32" s="1">
        <v>9</v>
      </c>
      <c r="AA32" s="1"/>
      <c r="AB32" s="1"/>
      <c r="AC32" s="1"/>
      <c r="AD32" s="1">
        <v>200</v>
      </c>
      <c r="AE32" s="1">
        <v>33</v>
      </c>
      <c r="AF32" s="1">
        <v>5</v>
      </c>
      <c r="AG32" s="1"/>
      <c r="AH32" s="1"/>
      <c r="AI32" s="1"/>
      <c r="AJ32" s="1">
        <v>230</v>
      </c>
      <c r="AK32" s="1">
        <v>42</v>
      </c>
      <c r="AL32" s="1">
        <v>9</v>
      </c>
      <c r="AM32" s="1"/>
      <c r="AN32" s="1"/>
      <c r="AO32" s="1"/>
      <c r="AP32" s="1">
        <v>275</v>
      </c>
      <c r="AQ32" s="1">
        <v>44</v>
      </c>
      <c r="AR32" s="1">
        <v>9</v>
      </c>
      <c r="AS32" s="1"/>
      <c r="AT32" s="1"/>
      <c r="AU32" s="1"/>
      <c r="AV32" s="1">
        <v>215</v>
      </c>
      <c r="AW32" s="1">
        <v>37</v>
      </c>
      <c r="AX32" s="1">
        <v>8</v>
      </c>
      <c r="AY32" s="1"/>
      <c r="AZ32" s="1"/>
      <c r="BA32" s="1"/>
      <c r="BB32" s="1">
        <v>225</v>
      </c>
      <c r="BC32" s="1">
        <v>42</v>
      </c>
      <c r="BD32" s="1">
        <v>7</v>
      </c>
      <c r="BE32" s="1"/>
      <c r="BF32" s="1"/>
      <c r="BG32" s="1"/>
      <c r="BH32" s="1">
        <v>240</v>
      </c>
      <c r="BI32" s="1">
        <v>41</v>
      </c>
      <c r="BJ32" s="1">
        <v>10</v>
      </c>
      <c r="BK32" s="1"/>
      <c r="BL32" s="1"/>
      <c r="BM32" s="1"/>
      <c r="BN32" s="1">
        <v>183</v>
      </c>
      <c r="BO32" s="1">
        <v>33</v>
      </c>
      <c r="BP32" s="1">
        <v>6</v>
      </c>
      <c r="BQ32" s="1"/>
      <c r="BR32" s="1"/>
      <c r="BS32" s="1"/>
      <c r="BT32" s="1">
        <v>180</v>
      </c>
      <c r="BU32" s="1">
        <v>35</v>
      </c>
      <c r="BV32" s="1">
        <v>6</v>
      </c>
      <c r="BW32" s="1"/>
      <c r="BX32" s="1"/>
      <c r="BY32" s="1"/>
      <c r="BZ32" s="1">
        <v>230</v>
      </c>
      <c r="CA32" s="1">
        <v>44</v>
      </c>
      <c r="CB32" s="1">
        <v>9</v>
      </c>
      <c r="CC32" s="1"/>
      <c r="CD32" s="1"/>
      <c r="CE32" s="1"/>
      <c r="CF32" s="1">
        <v>235</v>
      </c>
      <c r="CG32" s="1">
        <v>42</v>
      </c>
      <c r="CH32" s="1">
        <v>8</v>
      </c>
      <c r="CI32" s="1">
        <v>8</v>
      </c>
      <c r="CJ32" s="1"/>
      <c r="CK32" s="1"/>
      <c r="CL32" s="1"/>
      <c r="CM32" s="1"/>
      <c r="CN32" s="1"/>
      <c r="CO32" s="1"/>
      <c r="CP32" s="1"/>
      <c r="CQ32" s="1"/>
    </row>
    <row r="33" spans="1:95" x14ac:dyDescent="0.3">
      <c r="A33" s="13">
        <v>45834</v>
      </c>
      <c r="B33" s="1" t="s">
        <v>95</v>
      </c>
      <c r="C33" s="1" t="s">
        <v>104</v>
      </c>
      <c r="D33" s="1" t="s">
        <v>97</v>
      </c>
      <c r="E33" s="1">
        <v>2</v>
      </c>
      <c r="F33" s="1">
        <v>230</v>
      </c>
      <c r="G33" s="1">
        <v>42</v>
      </c>
      <c r="H33" s="1">
        <v>10</v>
      </c>
      <c r="I33" s="1"/>
      <c r="J33" s="1"/>
      <c r="K33" s="1"/>
      <c r="L33" s="1">
        <v>240</v>
      </c>
      <c r="M33" s="1">
        <v>40</v>
      </c>
      <c r="N33" s="1">
        <v>9</v>
      </c>
      <c r="O33" s="1"/>
      <c r="P33" s="1"/>
      <c r="Q33" s="1"/>
      <c r="R33" s="1">
        <v>210</v>
      </c>
      <c r="S33" s="1">
        <v>34</v>
      </c>
      <c r="T33" s="1">
        <v>8</v>
      </c>
      <c r="U33" s="1"/>
      <c r="V33" s="1"/>
      <c r="W33" s="1"/>
      <c r="X33" s="1">
        <v>250</v>
      </c>
      <c r="Y33" s="1">
        <v>45</v>
      </c>
      <c r="Z33" s="1">
        <v>9</v>
      </c>
      <c r="AA33" s="1"/>
      <c r="AB33" s="1"/>
      <c r="AC33" s="1"/>
      <c r="AD33" s="1">
        <v>230</v>
      </c>
      <c r="AE33" s="1">
        <v>38</v>
      </c>
      <c r="AF33" s="1">
        <v>9</v>
      </c>
      <c r="AG33" s="1"/>
      <c r="AH33" s="1"/>
      <c r="AI33" s="1"/>
      <c r="AJ33" s="1">
        <v>240</v>
      </c>
      <c r="AK33" s="1">
        <v>50</v>
      </c>
      <c r="AL33" s="1">
        <v>10</v>
      </c>
      <c r="AM33" s="1"/>
      <c r="AN33" s="1"/>
      <c r="AO33" s="1"/>
      <c r="AP33" s="1">
        <v>217</v>
      </c>
      <c r="AQ33" s="1">
        <v>43</v>
      </c>
      <c r="AR33" s="1">
        <v>8</v>
      </c>
      <c r="AS33" s="1"/>
      <c r="AT33" s="1"/>
      <c r="AU33" s="1"/>
      <c r="AV33" s="1">
        <v>203</v>
      </c>
      <c r="AW33" s="1">
        <v>31</v>
      </c>
      <c r="AX33" s="1">
        <v>6</v>
      </c>
      <c r="AY33" s="1"/>
      <c r="AZ33" s="1"/>
      <c r="BA33" s="1"/>
      <c r="BB33" s="1">
        <v>242</v>
      </c>
      <c r="BC33" s="1">
        <v>45</v>
      </c>
      <c r="BD33" s="1">
        <v>10</v>
      </c>
      <c r="BE33" s="1"/>
      <c r="BF33" s="1"/>
      <c r="BG33" s="1"/>
      <c r="BH33" s="1">
        <v>233</v>
      </c>
      <c r="BI33" s="1">
        <v>44</v>
      </c>
      <c r="BJ33" s="1">
        <v>9</v>
      </c>
      <c r="BK33" s="1"/>
      <c r="BL33" s="1"/>
      <c r="BM33" s="1"/>
      <c r="BN33" s="1">
        <v>240</v>
      </c>
      <c r="BO33" s="1">
        <v>40</v>
      </c>
      <c r="BP33" s="1">
        <v>10</v>
      </c>
      <c r="BQ33" s="1"/>
      <c r="BR33" s="1"/>
      <c r="BS33" s="1"/>
      <c r="BT33" s="1">
        <v>266</v>
      </c>
      <c r="BU33" s="1">
        <v>46</v>
      </c>
      <c r="BV33" s="1">
        <v>9</v>
      </c>
      <c r="BW33" s="1"/>
      <c r="BX33" s="1"/>
      <c r="BY33" s="1"/>
      <c r="BZ33" s="1">
        <v>233</v>
      </c>
      <c r="CA33" s="1">
        <v>39</v>
      </c>
      <c r="CB33" s="1">
        <v>7</v>
      </c>
      <c r="CC33" s="1"/>
      <c r="CD33" s="1"/>
      <c r="CE33" s="1"/>
      <c r="CF33" s="1">
        <v>230</v>
      </c>
      <c r="CG33" s="1">
        <v>40</v>
      </c>
      <c r="CH33" s="1">
        <v>7</v>
      </c>
      <c r="CI33" s="1"/>
      <c r="CJ33" s="1"/>
      <c r="CK33" s="1"/>
      <c r="CL33" s="1"/>
      <c r="CM33" s="1"/>
      <c r="CN33" s="1"/>
      <c r="CO33" s="1"/>
      <c r="CP33" s="1"/>
      <c r="CQ33" s="1"/>
    </row>
    <row r="34" spans="1:95" x14ac:dyDescent="0.3">
      <c r="A34" s="13">
        <v>45834</v>
      </c>
      <c r="B34" s="1" t="s">
        <v>95</v>
      </c>
      <c r="C34" s="1" t="s">
        <v>104</v>
      </c>
      <c r="D34" s="1" t="s">
        <v>109</v>
      </c>
      <c r="E34" s="1">
        <v>3</v>
      </c>
      <c r="F34" s="1">
        <v>230</v>
      </c>
      <c r="G34" s="1">
        <v>41</v>
      </c>
      <c r="H34" s="1">
        <v>8</v>
      </c>
      <c r="I34" s="1"/>
      <c r="J34" s="1"/>
      <c r="K34" s="1"/>
      <c r="L34" s="1">
        <v>175</v>
      </c>
      <c r="M34" s="1">
        <v>33</v>
      </c>
      <c r="N34" s="1">
        <v>6</v>
      </c>
      <c r="O34" s="1"/>
      <c r="P34" s="1"/>
      <c r="Q34" s="1"/>
      <c r="R34" s="1">
        <v>165</v>
      </c>
      <c r="S34" s="1">
        <v>37</v>
      </c>
      <c r="T34" s="1">
        <v>7</v>
      </c>
      <c r="U34" s="1"/>
      <c r="V34" s="1"/>
      <c r="W34" s="1"/>
      <c r="X34" s="1">
        <v>177</v>
      </c>
      <c r="Y34" s="1">
        <v>34</v>
      </c>
      <c r="Z34" s="1">
        <v>6</v>
      </c>
      <c r="AA34" s="1"/>
      <c r="AB34" s="1"/>
      <c r="AC34" s="1"/>
      <c r="AD34" s="1">
        <v>220</v>
      </c>
      <c r="AE34" s="1">
        <v>41</v>
      </c>
      <c r="AF34" s="1">
        <v>8</v>
      </c>
      <c r="AG34" s="1"/>
      <c r="AH34" s="1"/>
      <c r="AI34" s="1"/>
      <c r="AJ34" s="1">
        <v>215</v>
      </c>
      <c r="AK34" s="1">
        <v>42</v>
      </c>
      <c r="AL34" s="1">
        <v>8</v>
      </c>
      <c r="AM34" s="1"/>
      <c r="AN34" s="1"/>
      <c r="AO34" s="1"/>
      <c r="AP34" s="1">
        <v>220</v>
      </c>
      <c r="AQ34" s="1">
        <v>38</v>
      </c>
      <c r="AR34" s="1">
        <v>9</v>
      </c>
      <c r="AS34" s="1"/>
      <c r="AT34" s="1"/>
      <c r="AU34" s="1"/>
      <c r="AV34" s="1">
        <v>286</v>
      </c>
      <c r="AW34" s="1">
        <v>43</v>
      </c>
      <c r="AX34" s="1">
        <v>9</v>
      </c>
      <c r="AY34" s="1"/>
      <c r="AZ34" s="1"/>
      <c r="BA34" s="1"/>
      <c r="BB34" s="1">
        <v>280</v>
      </c>
      <c r="BC34" s="1">
        <v>47</v>
      </c>
      <c r="BD34" s="1">
        <v>9</v>
      </c>
      <c r="BE34" s="1"/>
      <c r="BF34" s="1"/>
      <c r="BG34" s="1"/>
      <c r="BH34" s="1">
        <v>240</v>
      </c>
      <c r="BI34" s="1">
        <v>46</v>
      </c>
      <c r="BJ34" s="1">
        <v>9</v>
      </c>
      <c r="BK34" s="1"/>
      <c r="BL34" s="1"/>
      <c r="BM34" s="1"/>
      <c r="BN34" s="1">
        <v>253</v>
      </c>
      <c r="BO34" s="1">
        <v>42</v>
      </c>
      <c r="BP34" s="1">
        <v>6</v>
      </c>
      <c r="BQ34" s="1"/>
      <c r="BR34" s="1"/>
      <c r="BS34" s="1"/>
      <c r="BT34" s="1">
        <v>233</v>
      </c>
      <c r="BU34" s="1">
        <v>43</v>
      </c>
      <c r="BV34" s="1">
        <v>8</v>
      </c>
      <c r="BW34" s="1"/>
      <c r="BX34" s="1"/>
      <c r="BY34" s="1"/>
      <c r="BZ34" s="1">
        <v>160</v>
      </c>
      <c r="CA34" s="1">
        <v>32</v>
      </c>
      <c r="CB34" s="1">
        <v>6</v>
      </c>
      <c r="CC34" s="1"/>
      <c r="CD34" s="1"/>
      <c r="CE34" s="1"/>
      <c r="CF34" s="1">
        <v>232</v>
      </c>
      <c r="CG34" s="1">
        <v>42</v>
      </c>
      <c r="CH34" s="1">
        <v>8</v>
      </c>
      <c r="CI34" s="1"/>
      <c r="CJ34" s="1"/>
      <c r="CK34" s="1"/>
      <c r="CL34" s="1"/>
      <c r="CM34" s="1"/>
      <c r="CN34" s="1"/>
      <c r="CO34" s="1"/>
      <c r="CP34" s="1"/>
      <c r="CQ34" s="1"/>
    </row>
    <row r="35" spans="1:95" x14ac:dyDescent="0.3">
      <c r="A35" s="13">
        <v>45834</v>
      </c>
      <c r="B35" s="1" t="s">
        <v>95</v>
      </c>
      <c r="C35" s="1" t="s">
        <v>104</v>
      </c>
      <c r="D35" s="1" t="s">
        <v>99</v>
      </c>
      <c r="E35" s="1">
        <v>3</v>
      </c>
      <c r="F35" s="1">
        <v>266</v>
      </c>
      <c r="G35" s="1">
        <v>45</v>
      </c>
      <c r="H35" s="1">
        <v>9</v>
      </c>
      <c r="I35" s="1"/>
      <c r="J35" s="1"/>
      <c r="K35" s="1"/>
      <c r="L35" s="1">
        <v>230</v>
      </c>
      <c r="M35" s="1">
        <v>46</v>
      </c>
      <c r="N35" s="1">
        <v>9</v>
      </c>
      <c r="O35" s="1"/>
      <c r="P35" s="1"/>
      <c r="Q35" s="1"/>
      <c r="R35" s="1">
        <v>250</v>
      </c>
      <c r="S35" s="1">
        <v>44</v>
      </c>
      <c r="T35" s="1">
        <v>8</v>
      </c>
      <c r="U35" s="1"/>
      <c r="V35" s="1"/>
      <c r="W35" s="1"/>
      <c r="X35" s="1">
        <v>215</v>
      </c>
      <c r="Y35" s="1">
        <v>37</v>
      </c>
      <c r="Z35" s="1">
        <v>7</v>
      </c>
      <c r="AA35" s="1"/>
      <c r="AB35" s="1"/>
      <c r="AC35" s="1"/>
      <c r="AD35" s="1">
        <v>240</v>
      </c>
      <c r="AE35" s="1">
        <v>40</v>
      </c>
      <c r="AF35" s="1">
        <v>8</v>
      </c>
      <c r="AG35" s="1"/>
      <c r="AH35" s="1"/>
      <c r="AI35" s="1"/>
      <c r="AJ35" s="1">
        <v>180</v>
      </c>
      <c r="AK35" s="1">
        <v>30</v>
      </c>
      <c r="AL35" s="1">
        <v>6</v>
      </c>
      <c r="AM35" s="1"/>
      <c r="AN35" s="1"/>
      <c r="AO35" s="1"/>
      <c r="AP35" s="1">
        <v>252</v>
      </c>
      <c r="AQ35" s="1">
        <v>46</v>
      </c>
      <c r="AR35" s="1">
        <v>10</v>
      </c>
      <c r="AS35" s="1"/>
      <c r="AT35" s="1"/>
      <c r="AU35" s="1"/>
      <c r="AV35" s="1">
        <v>260</v>
      </c>
      <c r="AW35" s="1">
        <v>49</v>
      </c>
      <c r="AX35" s="1">
        <v>10</v>
      </c>
      <c r="AY35" s="1"/>
      <c r="AZ35" s="1"/>
      <c r="BA35" s="1"/>
      <c r="BB35" s="1">
        <v>190</v>
      </c>
      <c r="BC35" s="1">
        <v>33</v>
      </c>
      <c r="BD35" s="1">
        <v>8</v>
      </c>
      <c r="BE35" s="1"/>
      <c r="BF35" s="1"/>
      <c r="BG35" s="1"/>
      <c r="BH35" s="1">
        <v>180</v>
      </c>
      <c r="BI35" s="1">
        <v>33</v>
      </c>
      <c r="BJ35" s="1">
        <v>6</v>
      </c>
      <c r="BK35" s="1"/>
      <c r="BL35" s="1"/>
      <c r="BM35" s="1"/>
      <c r="BN35" s="1">
        <v>205</v>
      </c>
      <c r="BO35" s="1">
        <v>36</v>
      </c>
      <c r="BP35" s="1">
        <v>6</v>
      </c>
      <c r="BQ35" s="1"/>
      <c r="BR35" s="1"/>
      <c r="BS35" s="1"/>
      <c r="BT35" s="1">
        <v>240</v>
      </c>
      <c r="BU35" s="1">
        <v>43</v>
      </c>
      <c r="BV35" s="1">
        <v>8</v>
      </c>
      <c r="BW35" s="1"/>
      <c r="BX35" s="1"/>
      <c r="BY35" s="1" t="s">
        <v>115</v>
      </c>
      <c r="BZ35" s="1">
        <v>224</v>
      </c>
      <c r="CA35" s="1">
        <v>38</v>
      </c>
      <c r="CB35" s="1">
        <v>9</v>
      </c>
      <c r="CC35" s="1"/>
      <c r="CD35" s="1"/>
      <c r="CE35" s="1"/>
      <c r="CF35" s="1">
        <v>210</v>
      </c>
      <c r="CG35" s="1">
        <v>37</v>
      </c>
      <c r="CH35" s="1">
        <v>7</v>
      </c>
      <c r="CI35" s="1"/>
      <c r="CJ35" s="1"/>
      <c r="CK35" s="1"/>
      <c r="CL35" s="1"/>
      <c r="CM35" s="1"/>
      <c r="CN35" s="1"/>
      <c r="CO35" s="1"/>
      <c r="CP35" s="1"/>
      <c r="CQ35" s="1"/>
    </row>
    <row r="36" spans="1:95" x14ac:dyDescent="0.3">
      <c r="A36" s="13">
        <v>45834</v>
      </c>
      <c r="B36" s="1" t="s">
        <v>95</v>
      </c>
      <c r="C36" s="1" t="s">
        <v>104</v>
      </c>
      <c r="D36" s="1" t="s">
        <v>101</v>
      </c>
      <c r="E36" s="1">
        <v>1</v>
      </c>
      <c r="F36" s="1">
        <v>250</v>
      </c>
      <c r="G36" s="1">
        <v>46</v>
      </c>
      <c r="H36" s="1">
        <v>8</v>
      </c>
      <c r="I36" s="1"/>
      <c r="J36" s="1"/>
      <c r="K36" s="1"/>
      <c r="L36" s="1">
        <v>165</v>
      </c>
      <c r="M36" s="1">
        <v>32</v>
      </c>
      <c r="N36" s="1">
        <v>7</v>
      </c>
      <c r="O36" s="1"/>
      <c r="P36" s="1"/>
      <c r="Q36" s="1"/>
      <c r="R36" s="1">
        <v>260</v>
      </c>
      <c r="S36" s="1">
        <v>45</v>
      </c>
      <c r="T36" s="1">
        <v>7</v>
      </c>
      <c r="U36" s="1"/>
      <c r="V36" s="1"/>
      <c r="W36" s="1"/>
      <c r="X36" s="1">
        <v>250</v>
      </c>
      <c r="Y36" s="1">
        <v>44</v>
      </c>
      <c r="Z36" s="1">
        <v>8</v>
      </c>
      <c r="AA36" s="1"/>
      <c r="AB36" s="1"/>
      <c r="AC36" s="1"/>
      <c r="AD36" s="1">
        <v>260</v>
      </c>
      <c r="AE36" s="1">
        <v>45</v>
      </c>
      <c r="AF36" s="1">
        <v>9</v>
      </c>
      <c r="AG36" s="1"/>
      <c r="AH36" s="1"/>
      <c r="AI36" s="1"/>
      <c r="AJ36" s="1">
        <v>252</v>
      </c>
      <c r="AK36" s="1">
        <v>45</v>
      </c>
      <c r="AL36" s="1">
        <v>8</v>
      </c>
      <c r="AM36" s="1"/>
      <c r="AN36" s="1"/>
      <c r="AO36" s="1"/>
      <c r="AP36" s="1">
        <v>250</v>
      </c>
      <c r="AQ36" s="1">
        <v>43</v>
      </c>
      <c r="AR36" s="1">
        <v>9</v>
      </c>
      <c r="AS36" s="1"/>
      <c r="AT36" s="1"/>
      <c r="AU36" s="1"/>
      <c r="AV36" s="1">
        <v>250</v>
      </c>
      <c r="AW36" s="1">
        <v>46</v>
      </c>
      <c r="AX36" s="1">
        <v>10</v>
      </c>
      <c r="AY36" s="1"/>
      <c r="AZ36" s="1"/>
      <c r="BA36" s="1"/>
      <c r="BB36" s="1">
        <v>283</v>
      </c>
      <c r="BC36" s="1">
        <v>50</v>
      </c>
      <c r="BD36" s="1">
        <v>9</v>
      </c>
      <c r="BE36" s="1"/>
      <c r="BF36" s="1"/>
      <c r="BG36" s="1"/>
      <c r="BH36" s="1">
        <v>275</v>
      </c>
      <c r="BI36" s="1">
        <v>51</v>
      </c>
      <c r="BJ36" s="1">
        <v>9</v>
      </c>
      <c r="BK36" s="1"/>
      <c r="BL36" s="1"/>
      <c r="BM36" s="1"/>
      <c r="BN36" s="1">
        <v>252</v>
      </c>
      <c r="BO36" s="1">
        <v>47</v>
      </c>
      <c r="BP36" s="1">
        <v>10</v>
      </c>
      <c r="BQ36" s="1"/>
      <c r="BR36" s="1"/>
      <c r="BS36" s="1"/>
      <c r="BT36" s="1">
        <v>225</v>
      </c>
      <c r="BU36" s="1">
        <v>41</v>
      </c>
      <c r="BV36" s="1">
        <v>9</v>
      </c>
      <c r="BW36" s="1"/>
      <c r="BX36" s="1"/>
      <c r="BY36" s="1"/>
      <c r="BZ36" s="1">
        <v>200</v>
      </c>
      <c r="CA36" s="1">
        <v>36</v>
      </c>
      <c r="CB36" s="1">
        <v>8</v>
      </c>
      <c r="CC36" s="1"/>
      <c r="CD36" s="1"/>
      <c r="CE36" s="1" t="s">
        <v>115</v>
      </c>
      <c r="CF36" s="1">
        <v>230</v>
      </c>
      <c r="CG36" s="1">
        <v>45</v>
      </c>
      <c r="CH36" s="1">
        <v>8</v>
      </c>
      <c r="CI36" s="1"/>
      <c r="CJ36" s="1"/>
      <c r="CK36" s="1"/>
      <c r="CL36" s="1"/>
      <c r="CM36" s="1"/>
      <c r="CN36" s="1"/>
      <c r="CO36" s="1"/>
      <c r="CP36" s="1"/>
      <c r="CQ36" s="1"/>
    </row>
    <row r="37" spans="1:95" x14ac:dyDescent="0.3">
      <c r="A37" s="13">
        <v>45834</v>
      </c>
      <c r="B37" s="1" t="s">
        <v>100</v>
      </c>
      <c r="C37" s="1" t="s">
        <v>104</v>
      </c>
      <c r="D37" s="1" t="s">
        <v>109</v>
      </c>
      <c r="E37" s="1">
        <v>2</v>
      </c>
      <c r="F37" s="1">
        <v>190</v>
      </c>
      <c r="G37" s="1">
        <v>34</v>
      </c>
      <c r="H37" s="1">
        <v>9</v>
      </c>
      <c r="I37" s="1"/>
      <c r="J37" s="1"/>
      <c r="K37" s="1" t="s">
        <v>113</v>
      </c>
      <c r="L37" s="1">
        <v>190</v>
      </c>
      <c r="M37" s="1">
        <v>40</v>
      </c>
      <c r="N37" s="1">
        <v>7</v>
      </c>
      <c r="O37" s="1"/>
      <c r="P37" s="1"/>
      <c r="Q37" s="1" t="s">
        <v>113</v>
      </c>
      <c r="R37" s="1">
        <v>208</v>
      </c>
      <c r="S37" s="1">
        <v>39</v>
      </c>
      <c r="T37" s="1">
        <v>8</v>
      </c>
      <c r="U37" s="1"/>
      <c r="V37" s="1"/>
      <c r="W37" s="1" t="s">
        <v>113</v>
      </c>
      <c r="X37" s="1">
        <v>240</v>
      </c>
      <c r="Y37" s="1">
        <v>47</v>
      </c>
      <c r="Z37" s="1">
        <v>8</v>
      </c>
      <c r="AA37" s="1"/>
      <c r="AB37" s="1"/>
      <c r="AC37" s="1" t="s">
        <v>113</v>
      </c>
      <c r="AD37" s="1">
        <v>112</v>
      </c>
      <c r="AE37" s="1">
        <v>36</v>
      </c>
      <c r="AF37" s="1">
        <v>9</v>
      </c>
      <c r="AG37" s="1"/>
      <c r="AH37" s="1"/>
      <c r="AI37" s="1" t="s">
        <v>113</v>
      </c>
      <c r="AJ37" s="1">
        <v>255</v>
      </c>
      <c r="AK37" s="1">
        <v>47</v>
      </c>
      <c r="AL37" s="1">
        <v>9</v>
      </c>
      <c r="AM37" s="1"/>
      <c r="AN37" s="1"/>
      <c r="AO37" s="1"/>
      <c r="AP37" s="1">
        <v>275</v>
      </c>
      <c r="AQ37" s="1">
        <v>50</v>
      </c>
      <c r="AR37" s="1">
        <v>9</v>
      </c>
      <c r="AS37" s="1"/>
      <c r="AT37" s="1"/>
      <c r="AU37" s="1"/>
      <c r="AV37" s="1">
        <v>226</v>
      </c>
      <c r="AW37" s="1">
        <v>42</v>
      </c>
      <c r="AX37" s="1">
        <v>7</v>
      </c>
      <c r="AY37" s="1"/>
      <c r="AZ37" s="1"/>
      <c r="BA37" s="1"/>
      <c r="BB37" s="1">
        <v>255</v>
      </c>
      <c r="BC37" s="1">
        <v>46</v>
      </c>
      <c r="BD37" s="1">
        <v>9</v>
      </c>
      <c r="BE37" s="1"/>
      <c r="BF37" s="1"/>
      <c r="BG37" s="1"/>
      <c r="BH37" s="1">
        <v>245</v>
      </c>
      <c r="BI37" s="1">
        <v>45</v>
      </c>
      <c r="BJ37" s="1">
        <v>8</v>
      </c>
      <c r="BK37" s="1"/>
      <c r="BL37" s="1"/>
      <c r="BM37" s="1"/>
      <c r="BN37" s="1">
        <v>215</v>
      </c>
      <c r="BO37" s="1">
        <v>36</v>
      </c>
      <c r="BP37" s="1">
        <v>8</v>
      </c>
      <c r="BQ37" s="1"/>
      <c r="BR37" s="1"/>
      <c r="BS37" s="1"/>
      <c r="BT37" s="1">
        <v>190</v>
      </c>
      <c r="BU37" s="1">
        <v>32</v>
      </c>
      <c r="BV37" s="1">
        <v>7.6</v>
      </c>
      <c r="BW37" s="1"/>
      <c r="BX37" s="1"/>
      <c r="BY37" s="1"/>
      <c r="BZ37" s="1">
        <v>200</v>
      </c>
      <c r="CA37" s="1">
        <v>34</v>
      </c>
      <c r="CB37" s="1">
        <v>9.4</v>
      </c>
      <c r="CC37" s="1"/>
      <c r="CD37" s="1"/>
      <c r="CE37" s="1"/>
      <c r="CF37" s="1">
        <v>210</v>
      </c>
      <c r="CG37" s="1">
        <v>42</v>
      </c>
      <c r="CH37" s="1">
        <v>7</v>
      </c>
      <c r="CI37" s="1"/>
      <c r="CJ37" s="1"/>
      <c r="CK37" s="1"/>
      <c r="CL37" s="1"/>
      <c r="CM37" s="1"/>
      <c r="CN37" s="1"/>
      <c r="CO37" s="1"/>
      <c r="CP37" s="1"/>
      <c r="CQ37" s="1"/>
    </row>
    <row r="38" spans="1:95" x14ac:dyDescent="0.3">
      <c r="A38" s="13">
        <v>45834</v>
      </c>
      <c r="B38" s="1" t="s">
        <v>100</v>
      </c>
      <c r="C38" s="1" t="s">
        <v>104</v>
      </c>
      <c r="D38" s="1" t="s">
        <v>99</v>
      </c>
      <c r="E38" s="1">
        <v>2</v>
      </c>
      <c r="F38" s="1">
        <v>168</v>
      </c>
      <c r="G38" s="1">
        <v>33</v>
      </c>
      <c r="H38" s="14">
        <v>0.33888888888888885</v>
      </c>
      <c r="I38" s="1"/>
      <c r="J38" s="1"/>
      <c r="K38" s="1" t="s">
        <v>113</v>
      </c>
      <c r="L38" s="1">
        <v>220</v>
      </c>
      <c r="M38" s="1">
        <v>41</v>
      </c>
      <c r="N38" s="14">
        <v>0.3347222222222222</v>
      </c>
      <c r="O38" s="1"/>
      <c r="P38" s="1"/>
      <c r="Q38" s="1" t="s">
        <v>113</v>
      </c>
      <c r="R38" s="1">
        <v>233</v>
      </c>
      <c r="S38" s="1">
        <v>40</v>
      </c>
      <c r="T38" s="14">
        <v>0.29722222222222222</v>
      </c>
      <c r="U38" s="1"/>
      <c r="V38" s="1"/>
      <c r="W38" s="1" t="s">
        <v>113</v>
      </c>
      <c r="X38" s="1">
        <v>252</v>
      </c>
      <c r="Y38" s="1">
        <v>46</v>
      </c>
      <c r="Z38" s="14">
        <v>0.41805555555555557</v>
      </c>
      <c r="AA38" s="1"/>
      <c r="AB38" s="1"/>
      <c r="AC38" s="1" t="s">
        <v>113</v>
      </c>
      <c r="AD38" s="1">
        <v>260</v>
      </c>
      <c r="AE38" s="1">
        <v>44</v>
      </c>
      <c r="AF38" s="1">
        <v>7</v>
      </c>
      <c r="AG38" s="1"/>
      <c r="AH38" s="1"/>
      <c r="AI38" s="1" t="s">
        <v>113</v>
      </c>
      <c r="AJ38" s="1">
        <v>230</v>
      </c>
      <c r="AK38" s="1">
        <v>45</v>
      </c>
      <c r="AL38" s="14">
        <v>0.33888888888888885</v>
      </c>
      <c r="AM38" s="1"/>
      <c r="AN38" s="1"/>
      <c r="AO38" s="1" t="s">
        <v>113</v>
      </c>
      <c r="AP38" s="1">
        <v>250</v>
      </c>
      <c r="AQ38" s="1">
        <v>49</v>
      </c>
      <c r="AR38" s="14">
        <v>0.37916666666666665</v>
      </c>
      <c r="AS38" s="1"/>
      <c r="AT38" s="1"/>
      <c r="AU38" s="1" t="s">
        <v>113</v>
      </c>
      <c r="AV38" s="1">
        <v>195</v>
      </c>
      <c r="AW38" s="1">
        <v>35</v>
      </c>
      <c r="AX38" s="14">
        <v>0.25416666666666665</v>
      </c>
      <c r="AY38" s="1"/>
      <c r="AZ38" s="1"/>
      <c r="BA38" s="1" t="s">
        <v>113</v>
      </c>
      <c r="BB38" s="1">
        <v>232</v>
      </c>
      <c r="BC38" s="1">
        <v>44</v>
      </c>
      <c r="BD38" s="14">
        <v>0.33888888888888885</v>
      </c>
      <c r="BE38" s="1"/>
      <c r="BF38" s="1"/>
      <c r="BG38" s="1" t="s">
        <v>113</v>
      </c>
      <c r="BH38" s="1">
        <v>170</v>
      </c>
      <c r="BI38" s="1">
        <v>33</v>
      </c>
      <c r="BJ38" s="14">
        <v>0.33888888888888885</v>
      </c>
      <c r="BK38" s="1"/>
      <c r="BL38" s="1"/>
      <c r="BM38" s="1" t="s">
        <v>113</v>
      </c>
      <c r="BN38" s="1">
        <v>210</v>
      </c>
      <c r="BO38" s="1">
        <v>37</v>
      </c>
      <c r="BP38" s="14">
        <v>0.4597222222222222</v>
      </c>
      <c r="BQ38" s="1"/>
      <c r="BR38" s="1"/>
      <c r="BS38" s="1" t="s">
        <v>113</v>
      </c>
      <c r="BT38" s="1">
        <v>252</v>
      </c>
      <c r="BU38" s="1">
        <v>41</v>
      </c>
      <c r="BV38" s="1">
        <v>10</v>
      </c>
      <c r="BW38" s="1"/>
      <c r="BX38" s="1"/>
      <c r="BY38" s="1" t="s">
        <v>113</v>
      </c>
      <c r="BZ38" s="1">
        <v>255</v>
      </c>
      <c r="CA38" s="1">
        <v>48</v>
      </c>
      <c r="CB38" s="14">
        <v>0.42222222222222222</v>
      </c>
      <c r="CC38" s="1"/>
      <c r="CD38" s="1"/>
      <c r="CE38" s="1" t="s">
        <v>113</v>
      </c>
      <c r="CF38" s="1">
        <v>248</v>
      </c>
      <c r="CG38" s="1">
        <v>41</v>
      </c>
      <c r="CH38" s="1">
        <v>8</v>
      </c>
      <c r="CI38" s="1"/>
      <c r="CJ38" s="1"/>
      <c r="CK38" s="1" t="s">
        <v>113</v>
      </c>
      <c r="CL38" s="1"/>
      <c r="CM38" s="1"/>
      <c r="CN38" s="1"/>
      <c r="CO38" s="1"/>
      <c r="CP38" s="1"/>
      <c r="CQ38" s="1"/>
    </row>
    <row r="39" spans="1:95" x14ac:dyDescent="0.3">
      <c r="A39" s="13">
        <v>45834</v>
      </c>
      <c r="B39" s="1" t="s">
        <v>100</v>
      </c>
      <c r="C39" s="1" t="s">
        <v>104</v>
      </c>
      <c r="D39" s="1" t="s">
        <v>101</v>
      </c>
      <c r="E39" s="1">
        <v>2</v>
      </c>
      <c r="F39" s="1">
        <v>200</v>
      </c>
      <c r="G39" s="1">
        <v>41</v>
      </c>
      <c r="H39" s="14">
        <v>0.38055555555555554</v>
      </c>
      <c r="I39" s="1"/>
      <c r="J39" s="1"/>
      <c r="K39" s="1" t="s">
        <v>113</v>
      </c>
      <c r="L39" s="1">
        <v>230</v>
      </c>
      <c r="M39" s="1">
        <v>43</v>
      </c>
      <c r="N39" s="14">
        <v>0.37916666666666665</v>
      </c>
      <c r="O39" s="1"/>
      <c r="P39" s="1"/>
      <c r="Q39" s="1" t="s">
        <v>113</v>
      </c>
      <c r="R39" s="1">
        <v>230</v>
      </c>
      <c r="S39" s="1">
        <v>44</v>
      </c>
      <c r="T39" s="1">
        <v>9</v>
      </c>
      <c r="U39" s="1"/>
      <c r="V39" s="1"/>
      <c r="W39" s="1" t="s">
        <v>113</v>
      </c>
      <c r="X39" s="1">
        <v>237</v>
      </c>
      <c r="Y39" s="1">
        <v>44</v>
      </c>
      <c r="Z39" s="14">
        <v>0.29305555555555557</v>
      </c>
      <c r="AA39" s="1"/>
      <c r="AB39" s="1"/>
      <c r="AC39" s="1" t="s">
        <v>113</v>
      </c>
      <c r="AD39" s="1">
        <v>245</v>
      </c>
      <c r="AE39" s="1">
        <v>41</v>
      </c>
      <c r="AF39" s="14">
        <v>0.3347222222222222</v>
      </c>
      <c r="AG39" s="1"/>
      <c r="AH39" s="1"/>
      <c r="AI39" s="1" t="s">
        <v>113</v>
      </c>
      <c r="AJ39" s="1">
        <v>244</v>
      </c>
      <c r="AK39" s="1">
        <v>44</v>
      </c>
      <c r="AL39" s="14">
        <v>0.3347222222222222</v>
      </c>
      <c r="AM39" s="1"/>
      <c r="AN39" s="1"/>
      <c r="AO39" s="1" t="s">
        <v>113</v>
      </c>
      <c r="AP39" s="1">
        <v>230</v>
      </c>
      <c r="AQ39" s="1">
        <v>37</v>
      </c>
      <c r="AR39" s="1">
        <v>7</v>
      </c>
      <c r="AS39" s="1"/>
      <c r="AT39" s="1"/>
      <c r="AU39" s="1" t="s">
        <v>113</v>
      </c>
      <c r="AV39" s="1">
        <v>235</v>
      </c>
      <c r="AW39" s="1">
        <v>44</v>
      </c>
      <c r="AX39" s="14">
        <v>0.42083333333333334</v>
      </c>
      <c r="AY39" s="1"/>
      <c r="AZ39" s="1"/>
      <c r="BA39" s="1" t="s">
        <v>113</v>
      </c>
      <c r="BB39" s="1">
        <v>210</v>
      </c>
      <c r="BC39" s="1">
        <v>43</v>
      </c>
      <c r="BD39" s="14">
        <v>0.3347222222222222</v>
      </c>
      <c r="BE39" s="1"/>
      <c r="BF39" s="1"/>
      <c r="BG39" s="1" t="s">
        <v>113</v>
      </c>
      <c r="BH39" s="1">
        <v>220</v>
      </c>
      <c r="BI39" s="1">
        <v>39</v>
      </c>
      <c r="BJ39" s="1">
        <v>11</v>
      </c>
      <c r="BK39" s="1"/>
      <c r="BL39" s="1"/>
      <c r="BM39" s="1" t="s">
        <v>113</v>
      </c>
      <c r="BN39" s="1">
        <v>223</v>
      </c>
      <c r="BO39" s="1">
        <v>41</v>
      </c>
      <c r="BP39" s="14">
        <v>0.29305555555555557</v>
      </c>
      <c r="BQ39" s="1"/>
      <c r="BR39" s="1"/>
      <c r="BS39" s="1" t="s">
        <v>113</v>
      </c>
      <c r="BT39" s="1">
        <v>200</v>
      </c>
      <c r="BU39" s="1">
        <v>34</v>
      </c>
      <c r="BV39" s="14">
        <v>0.21388888888888891</v>
      </c>
      <c r="BW39" s="1"/>
      <c r="BX39" s="1"/>
      <c r="BY39" s="1" t="s">
        <v>113</v>
      </c>
      <c r="BZ39" s="1">
        <v>220</v>
      </c>
      <c r="CA39" s="1">
        <v>40</v>
      </c>
      <c r="CB39" s="14">
        <v>0.37638888888888888</v>
      </c>
      <c r="CC39" s="1"/>
      <c r="CD39" s="1"/>
      <c r="CE39" s="1" t="s">
        <v>113</v>
      </c>
      <c r="CF39" s="1">
        <v>157</v>
      </c>
      <c r="CG39" s="1">
        <v>26</v>
      </c>
      <c r="CH39" s="14">
        <v>0.46388888888888885</v>
      </c>
      <c r="CI39" s="1"/>
      <c r="CJ39" s="1"/>
      <c r="CK39" s="1" t="s">
        <v>113</v>
      </c>
      <c r="CL39" s="1"/>
      <c r="CM39" s="1"/>
      <c r="CN39" s="1"/>
      <c r="CO39" s="1"/>
      <c r="CP39" s="1"/>
      <c r="CQ39" s="1"/>
    </row>
    <row r="40" spans="1:95" x14ac:dyDescent="0.3">
      <c r="A40" s="13">
        <v>45834</v>
      </c>
      <c r="B40" s="1" t="s">
        <v>100</v>
      </c>
      <c r="C40" s="1" t="s">
        <v>104</v>
      </c>
      <c r="D40" s="1" t="s">
        <v>97</v>
      </c>
      <c r="E40" s="1">
        <v>1</v>
      </c>
      <c r="F40" s="1">
        <v>252</v>
      </c>
      <c r="G40" s="1">
        <v>42</v>
      </c>
      <c r="H40" s="14">
        <v>0.42222222222222222</v>
      </c>
      <c r="I40" s="1"/>
      <c r="J40" s="1"/>
      <c r="K40" s="1" t="s">
        <v>113</v>
      </c>
      <c r="L40" s="1">
        <v>202</v>
      </c>
      <c r="M40" s="1">
        <v>39</v>
      </c>
      <c r="N40" s="14">
        <v>0.3347222222222222</v>
      </c>
      <c r="O40" s="1"/>
      <c r="P40" s="1"/>
      <c r="Q40" s="1" t="s">
        <v>113</v>
      </c>
      <c r="R40" s="1">
        <v>225</v>
      </c>
      <c r="S40" s="1">
        <v>44</v>
      </c>
      <c r="T40" s="14">
        <v>0.33888888888888885</v>
      </c>
      <c r="U40" s="1"/>
      <c r="V40" s="1"/>
      <c r="W40" s="1" t="s">
        <v>113</v>
      </c>
      <c r="X40" s="1">
        <v>230</v>
      </c>
      <c r="Y40" s="1">
        <v>47</v>
      </c>
      <c r="Z40" s="14">
        <v>0.29722222222222222</v>
      </c>
      <c r="AA40" s="1"/>
      <c r="AB40" s="1"/>
      <c r="AC40" s="1" t="s">
        <v>113</v>
      </c>
      <c r="AD40" s="1">
        <v>210</v>
      </c>
      <c r="AE40" s="1">
        <v>42</v>
      </c>
      <c r="AF40" s="1">
        <v>9</v>
      </c>
      <c r="AG40" s="1"/>
      <c r="AH40" s="1"/>
      <c r="AI40" s="1" t="s">
        <v>113</v>
      </c>
      <c r="AJ40" s="1">
        <v>250</v>
      </c>
      <c r="AK40" s="1">
        <v>49</v>
      </c>
      <c r="AL40" s="1">
        <v>9</v>
      </c>
      <c r="AM40" s="1"/>
      <c r="AN40" s="1"/>
      <c r="AO40" s="1" t="s">
        <v>113</v>
      </c>
      <c r="AP40" s="1">
        <v>242</v>
      </c>
      <c r="AQ40" s="1">
        <v>44</v>
      </c>
      <c r="AR40" s="14">
        <v>0.29722222222222222</v>
      </c>
      <c r="AS40" s="1"/>
      <c r="AT40" s="1"/>
      <c r="AU40" s="1" t="s">
        <v>113</v>
      </c>
      <c r="AV40" s="1">
        <v>270</v>
      </c>
      <c r="AW40" s="1">
        <v>51</v>
      </c>
      <c r="AX40" s="14">
        <v>0.37638888888888888</v>
      </c>
      <c r="AY40" s="1"/>
      <c r="AZ40" s="1"/>
      <c r="BA40" s="1" t="s">
        <v>113</v>
      </c>
      <c r="BB40" s="1">
        <v>255</v>
      </c>
      <c r="BC40" s="1">
        <v>50</v>
      </c>
      <c r="BD40" s="14">
        <v>0.29583333333333334</v>
      </c>
      <c r="BE40" s="1"/>
      <c r="BF40" s="1"/>
      <c r="BG40" s="1" t="s">
        <v>113</v>
      </c>
      <c r="BH40" s="1">
        <v>230</v>
      </c>
      <c r="BI40" s="1">
        <v>44</v>
      </c>
      <c r="BJ40" s="14">
        <v>0.33888888888888885</v>
      </c>
      <c r="BK40" s="1"/>
      <c r="BL40" s="1"/>
      <c r="BM40" s="1" t="s">
        <v>113</v>
      </c>
      <c r="BN40" s="1">
        <v>200</v>
      </c>
      <c r="BO40" s="1">
        <v>38</v>
      </c>
      <c r="BP40" s="1">
        <v>9</v>
      </c>
      <c r="BQ40" s="1"/>
      <c r="BR40" s="1"/>
      <c r="BS40" s="1" t="s">
        <v>113</v>
      </c>
      <c r="BT40" s="1">
        <v>230</v>
      </c>
      <c r="BU40" s="1">
        <v>45</v>
      </c>
      <c r="BV40" s="14">
        <v>0.33888888888888885</v>
      </c>
      <c r="BW40" s="1"/>
      <c r="BX40" s="1"/>
      <c r="BY40" s="1" t="s">
        <v>113</v>
      </c>
      <c r="BZ40" s="1">
        <v>234</v>
      </c>
      <c r="CA40" s="1">
        <v>41</v>
      </c>
      <c r="CB40" s="14">
        <v>0.33749999999999997</v>
      </c>
      <c r="CC40" s="1"/>
      <c r="CD40" s="1"/>
      <c r="CE40" s="1" t="s">
        <v>113</v>
      </c>
      <c r="CF40" s="1">
        <v>252</v>
      </c>
      <c r="CG40" s="1">
        <v>50</v>
      </c>
      <c r="CH40" s="1">
        <v>9</v>
      </c>
      <c r="CI40" s="1"/>
      <c r="CJ40" s="1"/>
      <c r="CK40" s="1" t="s">
        <v>113</v>
      </c>
      <c r="CL40" s="1"/>
      <c r="CM40" s="1"/>
      <c r="CN40" s="1"/>
      <c r="CO40" s="1"/>
      <c r="CP40" s="1"/>
      <c r="CQ40" s="1"/>
    </row>
    <row r="41" spans="1:95" x14ac:dyDescent="0.3">
      <c r="A41" s="13">
        <v>45834</v>
      </c>
      <c r="B41" s="1" t="s">
        <v>100</v>
      </c>
      <c r="C41" s="1" t="s">
        <v>104</v>
      </c>
      <c r="D41" s="1" t="s">
        <v>109</v>
      </c>
      <c r="E41" s="1">
        <v>1</v>
      </c>
      <c r="F41" s="1">
        <v>210</v>
      </c>
      <c r="G41" s="1">
        <v>38</v>
      </c>
      <c r="H41" s="1">
        <v>10</v>
      </c>
      <c r="I41" s="1"/>
      <c r="J41" s="1"/>
      <c r="K41" s="1" t="s">
        <v>113</v>
      </c>
      <c r="L41" s="1">
        <v>200</v>
      </c>
      <c r="M41" s="1">
        <v>39</v>
      </c>
      <c r="N41" s="1">
        <v>8</v>
      </c>
      <c r="O41" s="1"/>
      <c r="P41" s="1"/>
      <c r="Q41" s="1" t="s">
        <v>113</v>
      </c>
      <c r="R41" s="1">
        <v>240</v>
      </c>
      <c r="S41" s="1">
        <v>46</v>
      </c>
      <c r="T41" s="1">
        <v>8</v>
      </c>
      <c r="U41" s="1"/>
      <c r="V41" s="1"/>
      <c r="W41" s="1" t="s">
        <v>113</v>
      </c>
      <c r="X41" s="1">
        <v>250</v>
      </c>
      <c r="Y41" s="1">
        <v>52</v>
      </c>
      <c r="Z41" s="1">
        <v>9</v>
      </c>
      <c r="AA41" s="1"/>
      <c r="AB41" s="1"/>
      <c r="AC41" s="1" t="s">
        <v>113</v>
      </c>
      <c r="AD41" s="1">
        <v>240</v>
      </c>
      <c r="AE41" s="1">
        <v>45</v>
      </c>
      <c r="AF41" s="1">
        <v>9</v>
      </c>
      <c r="AG41" s="1"/>
      <c r="AH41" s="1"/>
      <c r="AI41" s="1" t="s">
        <v>113</v>
      </c>
      <c r="AJ41" s="1">
        <v>250</v>
      </c>
      <c r="AK41" s="1">
        <v>52</v>
      </c>
      <c r="AL41" s="1">
        <v>7</v>
      </c>
      <c r="AM41" s="1"/>
      <c r="AN41" s="1"/>
      <c r="AO41" s="1" t="s">
        <v>113</v>
      </c>
      <c r="AP41" s="1">
        <v>176</v>
      </c>
      <c r="AQ41" s="1">
        <v>38</v>
      </c>
      <c r="AR41" s="1" t="s">
        <v>116</v>
      </c>
      <c r="AS41" s="1"/>
      <c r="AT41" s="1"/>
      <c r="AU41" s="1" t="s">
        <v>113</v>
      </c>
      <c r="AV41" s="1">
        <v>220</v>
      </c>
      <c r="AW41" s="1">
        <v>40</v>
      </c>
      <c r="AX41" s="1">
        <v>8</v>
      </c>
      <c r="AY41" s="1"/>
      <c r="AZ41" s="1"/>
      <c r="BA41" s="1" t="s">
        <v>113</v>
      </c>
      <c r="BB41" s="1">
        <v>230</v>
      </c>
      <c r="BC41" s="1">
        <v>44</v>
      </c>
      <c r="BD41" s="1">
        <v>8</v>
      </c>
      <c r="BE41" s="1"/>
      <c r="BF41" s="1"/>
      <c r="BG41" s="1" t="s">
        <v>113</v>
      </c>
      <c r="BH41" s="1">
        <v>230</v>
      </c>
      <c r="BI41" s="1">
        <v>46</v>
      </c>
      <c r="BJ41" s="1">
        <v>9</v>
      </c>
      <c r="BK41" s="1"/>
      <c r="BL41" s="1"/>
      <c r="BM41" s="1" t="s">
        <v>113</v>
      </c>
      <c r="BN41" s="1">
        <v>260</v>
      </c>
      <c r="BO41" s="1">
        <v>50</v>
      </c>
      <c r="BP41" s="14">
        <v>0.3347222222222222</v>
      </c>
      <c r="BQ41" s="1"/>
      <c r="BR41" s="1"/>
      <c r="BS41" s="1" t="s">
        <v>113</v>
      </c>
      <c r="BT41" s="1">
        <v>240</v>
      </c>
      <c r="BU41" s="1">
        <v>45</v>
      </c>
      <c r="BV41" s="1">
        <v>7</v>
      </c>
      <c r="BW41" s="1"/>
      <c r="BX41" s="1"/>
      <c r="BY41" s="1" t="s">
        <v>113</v>
      </c>
      <c r="BZ41" s="1">
        <v>245</v>
      </c>
      <c r="CA41" s="1">
        <v>45</v>
      </c>
      <c r="CB41" s="14">
        <v>0.33749999999999997</v>
      </c>
      <c r="CC41" s="1"/>
      <c r="CD41" s="1"/>
      <c r="CE41" s="1" t="s">
        <v>113</v>
      </c>
      <c r="CF41" s="1">
        <v>190</v>
      </c>
      <c r="CG41" s="1">
        <v>36</v>
      </c>
      <c r="CH41" s="14">
        <v>0.38055555555555554</v>
      </c>
      <c r="CI41" s="1"/>
      <c r="CJ41" s="1"/>
      <c r="CK41" s="1" t="s">
        <v>113</v>
      </c>
      <c r="CL41" s="1"/>
      <c r="CM41" s="1"/>
      <c r="CN41" s="1"/>
      <c r="CO41" s="1"/>
      <c r="CP41" s="1"/>
      <c r="CQ41" s="1"/>
    </row>
    <row r="42" spans="1:95" x14ac:dyDescent="0.3">
      <c r="A42" s="13">
        <v>45930</v>
      </c>
      <c r="B42" s="1" t="s">
        <v>100</v>
      </c>
      <c r="C42" s="1" t="s">
        <v>96</v>
      </c>
      <c r="D42" s="1" t="s">
        <v>109</v>
      </c>
      <c r="E42" s="1">
        <v>2</v>
      </c>
      <c r="F42" s="1">
        <v>350</v>
      </c>
      <c r="G42" s="1">
        <v>68</v>
      </c>
      <c r="H42" s="1">
        <v>14</v>
      </c>
      <c r="I42" s="1"/>
      <c r="J42" s="1"/>
      <c r="K42" s="1"/>
      <c r="L42" s="1">
        <v>308</v>
      </c>
      <c r="M42" s="1">
        <v>56</v>
      </c>
      <c r="N42" s="1">
        <v>10</v>
      </c>
      <c r="O42" s="1"/>
      <c r="P42" s="1"/>
      <c r="Q42" s="1"/>
      <c r="R42" s="1">
        <v>280</v>
      </c>
      <c r="S42" s="1">
        <v>53</v>
      </c>
      <c r="T42" s="1">
        <v>11</v>
      </c>
      <c r="U42" s="1"/>
      <c r="V42" s="1"/>
      <c r="W42" s="1"/>
      <c r="X42" s="1">
        <v>344</v>
      </c>
      <c r="Y42" s="1">
        <v>69</v>
      </c>
      <c r="Z42" s="1">
        <v>14</v>
      </c>
      <c r="AA42" s="1"/>
      <c r="AB42" s="1"/>
      <c r="AC42" s="1"/>
      <c r="AD42" s="1">
        <v>340</v>
      </c>
      <c r="AE42" s="1">
        <v>66</v>
      </c>
      <c r="AF42" s="1">
        <v>12</v>
      </c>
      <c r="AG42" s="1"/>
      <c r="AH42" s="1"/>
      <c r="AI42" s="1"/>
      <c r="AJ42" s="1">
        <v>330</v>
      </c>
      <c r="AK42" s="1">
        <v>65</v>
      </c>
      <c r="AL42" s="1">
        <v>13</v>
      </c>
      <c r="AM42" s="1"/>
      <c r="AN42" s="1"/>
      <c r="AO42" s="1"/>
      <c r="AP42" s="1">
        <v>345</v>
      </c>
      <c r="AQ42" s="1">
        <v>65</v>
      </c>
      <c r="AR42" s="1">
        <v>14</v>
      </c>
      <c r="AS42" s="1"/>
      <c r="AT42" s="1"/>
      <c r="AU42" s="1"/>
      <c r="AV42" s="1">
        <v>311</v>
      </c>
      <c r="AW42" s="1">
        <v>55</v>
      </c>
      <c r="AX42" s="1">
        <v>13</v>
      </c>
      <c r="AY42" s="1"/>
      <c r="AZ42" s="1"/>
      <c r="BA42" s="1"/>
      <c r="BB42" s="1">
        <v>304</v>
      </c>
      <c r="BC42" s="1">
        <v>56</v>
      </c>
      <c r="BD42" s="1">
        <v>12</v>
      </c>
      <c r="BE42" s="1"/>
      <c r="BF42" s="1"/>
      <c r="BG42" s="1"/>
      <c r="BH42" s="1">
        <v>342</v>
      </c>
      <c r="BI42" s="1">
        <v>67</v>
      </c>
      <c r="BJ42" s="1">
        <v>13</v>
      </c>
      <c r="BK42" s="1"/>
      <c r="BL42" s="1"/>
      <c r="BM42" s="1" t="s">
        <v>117</v>
      </c>
      <c r="BN42" s="1">
        <v>305</v>
      </c>
      <c r="BO42" s="1">
        <v>56</v>
      </c>
      <c r="BP42" s="1">
        <v>14</v>
      </c>
      <c r="BQ42" s="1"/>
      <c r="BR42" s="1"/>
      <c r="BS42" s="1"/>
      <c r="BT42" s="1">
        <v>285</v>
      </c>
      <c r="BU42" s="1">
        <v>59</v>
      </c>
      <c r="BV42" s="1">
        <v>13</v>
      </c>
      <c r="BW42" s="1"/>
      <c r="BX42" s="1"/>
      <c r="BY42" s="1"/>
      <c r="BZ42" s="1">
        <v>280</v>
      </c>
      <c r="CA42" s="1">
        <v>55</v>
      </c>
      <c r="CB42" s="1">
        <v>12</v>
      </c>
      <c r="CC42" s="1"/>
      <c r="CD42" s="1"/>
      <c r="CE42" s="1"/>
      <c r="CF42" s="1">
        <v>290</v>
      </c>
      <c r="CG42" s="1">
        <v>62</v>
      </c>
      <c r="CH42" s="1">
        <v>13</v>
      </c>
      <c r="CI42" s="1"/>
      <c r="CJ42" s="1"/>
      <c r="CK42" s="1"/>
      <c r="CL42" s="1"/>
      <c r="CM42" s="1"/>
      <c r="CN42" s="1"/>
      <c r="CO42" s="1"/>
      <c r="CP42" s="1"/>
      <c r="CQ42" s="1"/>
    </row>
    <row r="43" spans="1:95" x14ac:dyDescent="0.3">
      <c r="A43" s="13">
        <v>45930</v>
      </c>
      <c r="B43" s="1" t="s">
        <v>100</v>
      </c>
      <c r="C43" s="1" t="s">
        <v>96</v>
      </c>
      <c r="D43" s="1" t="s">
        <v>97</v>
      </c>
      <c r="E43" s="1">
        <v>1</v>
      </c>
      <c r="F43" s="1">
        <v>295</v>
      </c>
      <c r="G43" s="1">
        <v>55</v>
      </c>
      <c r="H43" s="1">
        <v>13</v>
      </c>
      <c r="I43" s="1"/>
      <c r="J43" s="1"/>
      <c r="K43" s="1"/>
      <c r="L43" s="1">
        <v>350</v>
      </c>
      <c r="M43" s="1">
        <v>68</v>
      </c>
      <c r="N43" s="1">
        <v>14</v>
      </c>
      <c r="O43" s="1"/>
      <c r="P43" s="1"/>
      <c r="Q43" s="1"/>
      <c r="R43" s="1">
        <v>280</v>
      </c>
      <c r="S43" s="1">
        <v>54</v>
      </c>
      <c r="T43" s="1">
        <v>11</v>
      </c>
      <c r="U43" s="1"/>
      <c r="V43" s="1"/>
      <c r="W43" s="1"/>
      <c r="X43" s="1">
        <v>302</v>
      </c>
      <c r="Y43" s="1">
        <v>53</v>
      </c>
      <c r="Z43" s="1">
        <v>12</v>
      </c>
      <c r="AA43" s="1"/>
      <c r="AB43" s="1"/>
      <c r="AC43" s="1"/>
      <c r="AD43" s="1">
        <v>264</v>
      </c>
      <c r="AE43" s="1">
        <v>47</v>
      </c>
      <c r="AF43" s="1">
        <v>8</v>
      </c>
      <c r="AG43" s="1"/>
      <c r="AH43" s="1"/>
      <c r="AI43" s="1"/>
      <c r="AJ43" s="1">
        <v>270</v>
      </c>
      <c r="AK43" s="1">
        <v>51</v>
      </c>
      <c r="AL43" s="1">
        <v>12</v>
      </c>
      <c r="AM43" s="1"/>
      <c r="AN43" s="1"/>
      <c r="AO43" s="1"/>
      <c r="AP43" s="1">
        <v>320</v>
      </c>
      <c r="AQ43" s="1">
        <v>54</v>
      </c>
      <c r="AR43" s="1">
        <v>13</v>
      </c>
      <c r="AS43" s="1"/>
      <c r="AT43" s="1"/>
      <c r="AU43" s="1"/>
      <c r="AV43" s="1">
        <v>250</v>
      </c>
      <c r="AW43" s="1">
        <v>48</v>
      </c>
      <c r="AX43" s="1">
        <v>8</v>
      </c>
      <c r="AY43" s="1"/>
      <c r="AZ43" s="1"/>
      <c r="BA43" s="1"/>
      <c r="BB43" s="1">
        <v>315</v>
      </c>
      <c r="BC43" s="1">
        <v>64</v>
      </c>
      <c r="BD43" s="1">
        <v>14</v>
      </c>
      <c r="BE43" s="1"/>
      <c r="BF43" s="1"/>
      <c r="BG43" s="1"/>
      <c r="BH43" s="1">
        <v>290</v>
      </c>
      <c r="BI43" s="1">
        <v>55</v>
      </c>
      <c r="BJ43" s="1">
        <v>10</v>
      </c>
      <c r="BK43" s="1"/>
      <c r="BL43" s="1"/>
      <c r="BM43" s="1"/>
      <c r="BN43" s="1">
        <v>290</v>
      </c>
      <c r="BO43" s="1">
        <v>57</v>
      </c>
      <c r="BP43" s="1">
        <v>13</v>
      </c>
      <c r="BQ43" s="1"/>
      <c r="BR43" s="1"/>
      <c r="BS43" s="1"/>
      <c r="BT43" s="1">
        <v>310</v>
      </c>
      <c r="BU43" s="1">
        <v>62</v>
      </c>
      <c r="BV43" s="1">
        <v>14</v>
      </c>
      <c r="BW43" s="1"/>
      <c r="BX43" s="1"/>
      <c r="BY43" s="1"/>
      <c r="BZ43" s="1">
        <v>310</v>
      </c>
      <c r="CA43" s="1">
        <v>65</v>
      </c>
      <c r="CB43" s="1">
        <v>13</v>
      </c>
      <c r="CC43" s="1"/>
      <c r="CD43" s="1"/>
      <c r="CE43" s="1"/>
      <c r="CF43" s="1">
        <v>280</v>
      </c>
      <c r="CG43" s="1">
        <v>58</v>
      </c>
      <c r="CH43" s="1">
        <v>11</v>
      </c>
      <c r="CI43" s="1"/>
      <c r="CJ43" s="1"/>
      <c r="CK43" s="1"/>
      <c r="CL43" s="1"/>
      <c r="CM43" s="1"/>
      <c r="CN43" s="1"/>
      <c r="CO43" s="1"/>
      <c r="CP43" s="1"/>
      <c r="CQ43" s="1"/>
    </row>
    <row r="44" spans="1:95" x14ac:dyDescent="0.3">
      <c r="A44" s="13">
        <v>45925</v>
      </c>
      <c r="B44" s="1" t="s">
        <v>100</v>
      </c>
      <c r="C44" s="1" t="s">
        <v>104</v>
      </c>
      <c r="D44" s="1" t="s">
        <v>101</v>
      </c>
      <c r="E44" s="1">
        <v>1</v>
      </c>
      <c r="F44" s="1">
        <v>324</v>
      </c>
      <c r="G44" s="1">
        <v>65</v>
      </c>
      <c r="H44" s="1">
        <v>15</v>
      </c>
      <c r="I44" s="1"/>
      <c r="J44" s="1"/>
      <c r="K44" s="1"/>
      <c r="L44" s="1">
        <v>276</v>
      </c>
      <c r="M44" s="1">
        <v>53</v>
      </c>
      <c r="N44" s="1">
        <v>12</v>
      </c>
      <c r="O44" s="1"/>
      <c r="P44" s="1"/>
      <c r="Q44" s="1"/>
      <c r="R44" s="1">
        <v>341</v>
      </c>
      <c r="S44" s="1">
        <v>64</v>
      </c>
      <c r="T44" s="1">
        <v>14</v>
      </c>
      <c r="U44" s="1"/>
      <c r="V44" s="1"/>
      <c r="W44" s="1"/>
      <c r="X44" s="1">
        <v>320</v>
      </c>
      <c r="Y44" s="1">
        <v>63</v>
      </c>
      <c r="Z44" s="1">
        <v>13</v>
      </c>
      <c r="AA44" s="1"/>
      <c r="AB44" s="1"/>
      <c r="AC44" s="1"/>
      <c r="AD44" s="1">
        <v>334</v>
      </c>
      <c r="AE44" s="1">
        <v>69</v>
      </c>
      <c r="AF44" s="1">
        <v>14</v>
      </c>
      <c r="AG44" s="1"/>
      <c r="AH44" s="1"/>
      <c r="AI44" s="1"/>
      <c r="AJ44" s="1">
        <v>329</v>
      </c>
      <c r="AK44" s="1">
        <v>60</v>
      </c>
      <c r="AL44" s="1">
        <v>12</v>
      </c>
      <c r="AM44" s="1"/>
      <c r="AN44" s="1"/>
      <c r="AO44" s="1"/>
      <c r="AP44" s="1">
        <v>286</v>
      </c>
      <c r="AQ44" s="1">
        <v>56</v>
      </c>
      <c r="AR44" s="1">
        <v>12</v>
      </c>
      <c r="AS44" s="1"/>
      <c r="AT44" s="1"/>
      <c r="AU44" s="1"/>
      <c r="AV44" s="1">
        <v>330</v>
      </c>
      <c r="AW44" s="1">
        <v>67</v>
      </c>
      <c r="AX44" s="1">
        <v>14</v>
      </c>
      <c r="AY44" s="1"/>
      <c r="AZ44" s="1"/>
      <c r="BA44" s="1"/>
      <c r="BB44" s="1">
        <v>344</v>
      </c>
      <c r="BC44" s="1">
        <v>64</v>
      </c>
      <c r="BD44" s="1">
        <v>13</v>
      </c>
      <c r="BE44" s="1"/>
      <c r="BF44" s="1"/>
      <c r="BG44" s="1" t="s">
        <v>118</v>
      </c>
      <c r="BH44" s="1">
        <v>335</v>
      </c>
      <c r="BI44" s="1">
        <v>64</v>
      </c>
      <c r="BJ44" s="1">
        <v>14</v>
      </c>
      <c r="BK44" s="1"/>
      <c r="BL44" s="1"/>
      <c r="BM44" s="1"/>
      <c r="BN44" s="1">
        <v>305</v>
      </c>
      <c r="BO44" s="1">
        <v>61</v>
      </c>
      <c r="BP44" s="1">
        <v>11</v>
      </c>
      <c r="BQ44" s="1"/>
      <c r="BR44" s="1"/>
      <c r="BS44" s="1"/>
      <c r="BT44" s="1">
        <v>295</v>
      </c>
      <c r="BU44" s="1">
        <v>58</v>
      </c>
      <c r="BV44" s="1">
        <v>11</v>
      </c>
      <c r="BW44" s="1"/>
      <c r="BX44" s="1"/>
      <c r="BY44" s="1"/>
      <c r="BZ44" s="1">
        <v>276</v>
      </c>
      <c r="CA44" s="1">
        <v>52</v>
      </c>
      <c r="CB44" s="1">
        <v>10</v>
      </c>
      <c r="CC44" s="1"/>
      <c r="CD44" s="1"/>
      <c r="CE44" s="1"/>
      <c r="CF44" s="1">
        <v>265</v>
      </c>
      <c r="CG44" s="1">
        <v>57</v>
      </c>
      <c r="CH44" s="1">
        <v>12</v>
      </c>
      <c r="CI44" s="1"/>
      <c r="CJ44" s="1"/>
      <c r="CK44" s="1"/>
      <c r="CL44" s="1"/>
      <c r="CM44" s="1"/>
      <c r="CN44" s="1"/>
      <c r="CO44" s="1"/>
      <c r="CP44" s="1"/>
      <c r="CQ44" s="1"/>
    </row>
    <row r="45" spans="1:95" x14ac:dyDescent="0.3">
      <c r="A45" s="13">
        <v>45925</v>
      </c>
      <c r="B45" s="1" t="s">
        <v>100</v>
      </c>
      <c r="C45" s="1" t="s">
        <v>104</v>
      </c>
      <c r="D45" s="1" t="s">
        <v>97</v>
      </c>
      <c r="E45" s="1">
        <v>3</v>
      </c>
      <c r="F45" s="1">
        <v>302</v>
      </c>
      <c r="G45" s="1">
        <v>57</v>
      </c>
      <c r="H45" s="1">
        <v>11</v>
      </c>
      <c r="I45" s="1"/>
      <c r="J45" s="1"/>
      <c r="K45" s="1"/>
      <c r="L45" s="1">
        <v>315</v>
      </c>
      <c r="M45" s="1">
        <v>60</v>
      </c>
      <c r="N45" s="1">
        <v>14</v>
      </c>
      <c r="O45" s="1"/>
      <c r="P45" s="1"/>
      <c r="Q45" s="1"/>
      <c r="R45" s="1">
        <v>324</v>
      </c>
      <c r="S45" s="1">
        <v>67</v>
      </c>
      <c r="T45" s="1">
        <v>14</v>
      </c>
      <c r="U45" s="1"/>
      <c r="V45" s="1"/>
      <c r="W45" s="1"/>
      <c r="X45" s="1">
        <v>325</v>
      </c>
      <c r="Y45" s="1">
        <v>63</v>
      </c>
      <c r="Z45" s="1">
        <v>15</v>
      </c>
      <c r="AA45" s="1"/>
      <c r="AB45" s="1"/>
      <c r="AC45" s="1"/>
      <c r="AD45" s="1">
        <v>280</v>
      </c>
      <c r="AE45" s="1">
        <v>56</v>
      </c>
      <c r="AF45" s="1">
        <v>14</v>
      </c>
      <c r="AG45" s="1"/>
      <c r="AH45" s="1"/>
      <c r="AI45" s="1"/>
      <c r="AJ45" s="1">
        <v>305</v>
      </c>
      <c r="AK45" s="1">
        <v>57</v>
      </c>
      <c r="AL45" s="1">
        <v>12</v>
      </c>
      <c r="AM45" s="1"/>
      <c r="AN45" s="1"/>
      <c r="AO45" s="1"/>
      <c r="AP45" s="1">
        <v>295</v>
      </c>
      <c r="AQ45" s="1">
        <v>60</v>
      </c>
      <c r="AR45" s="1">
        <v>13</v>
      </c>
      <c r="AS45" s="1"/>
      <c r="AT45" s="1"/>
      <c r="AU45" s="1"/>
      <c r="AV45" s="1">
        <v>307</v>
      </c>
      <c r="AW45" s="1">
        <v>60</v>
      </c>
      <c r="AX45" s="1">
        <v>12</v>
      </c>
      <c r="AY45" s="1"/>
      <c r="AZ45" s="1"/>
      <c r="BA45" s="1"/>
      <c r="BB45" s="1">
        <v>306</v>
      </c>
      <c r="BC45" s="1">
        <v>63</v>
      </c>
      <c r="BD45" s="1">
        <v>14</v>
      </c>
      <c r="BE45" s="1"/>
      <c r="BF45" s="1"/>
      <c r="BG45" s="1"/>
      <c r="BH45" s="1">
        <v>235</v>
      </c>
      <c r="BI45" s="1">
        <v>51</v>
      </c>
      <c r="BJ45" s="1">
        <v>8</v>
      </c>
      <c r="BK45" s="1"/>
      <c r="BL45" s="1"/>
      <c r="BM45" s="1"/>
      <c r="BN45" s="1">
        <v>280</v>
      </c>
      <c r="BO45" s="1">
        <v>57</v>
      </c>
      <c r="BP45" s="1">
        <v>10</v>
      </c>
      <c r="BQ45" s="1"/>
      <c r="BR45" s="1"/>
      <c r="BS45" s="1"/>
      <c r="BT45" s="1">
        <v>283</v>
      </c>
      <c r="BU45" s="1">
        <v>50</v>
      </c>
      <c r="BV45" s="1">
        <v>11</v>
      </c>
      <c r="BW45" s="1"/>
      <c r="BX45" s="1"/>
      <c r="BY45" s="1"/>
      <c r="BZ45" s="1">
        <v>253</v>
      </c>
      <c r="CA45" s="1">
        <v>58</v>
      </c>
      <c r="CB45" s="1">
        <v>12</v>
      </c>
      <c r="CC45" s="1"/>
      <c r="CD45" s="1"/>
      <c r="CE45" s="1"/>
      <c r="CF45" s="1">
        <v>278</v>
      </c>
      <c r="CG45" s="1">
        <v>57</v>
      </c>
      <c r="CH45" s="1">
        <v>12</v>
      </c>
      <c r="CI45" s="1"/>
      <c r="CJ45" s="1"/>
      <c r="CK45" s="1"/>
      <c r="CL45" s="1"/>
      <c r="CM45" s="1"/>
      <c r="CN45" s="1"/>
      <c r="CO45" s="1"/>
      <c r="CP45" s="1"/>
      <c r="CQ45" s="1"/>
    </row>
    <row r="46" spans="1:95" x14ac:dyDescent="0.3">
      <c r="A46" s="13">
        <v>45925</v>
      </c>
      <c r="B46" s="1" t="s">
        <v>100</v>
      </c>
      <c r="C46" s="1" t="s">
        <v>104</v>
      </c>
      <c r="D46" s="1" t="s">
        <v>101</v>
      </c>
      <c r="E46" s="1">
        <v>3</v>
      </c>
      <c r="F46" s="1">
        <v>300</v>
      </c>
      <c r="G46" s="1">
        <v>59</v>
      </c>
      <c r="H46" s="1">
        <v>12</v>
      </c>
      <c r="I46" s="1"/>
      <c r="J46" s="1"/>
      <c r="K46" s="1"/>
      <c r="L46" s="1">
        <v>310</v>
      </c>
      <c r="M46" s="1">
        <v>59</v>
      </c>
      <c r="N46" s="1">
        <v>13</v>
      </c>
      <c r="O46" s="1"/>
      <c r="P46" s="1"/>
      <c r="Q46" s="1"/>
      <c r="R46" s="1">
        <v>305</v>
      </c>
      <c r="S46" s="1">
        <v>58</v>
      </c>
      <c r="T46" s="1">
        <v>13</v>
      </c>
      <c r="U46" s="1"/>
      <c r="V46" s="1"/>
      <c r="W46" s="1"/>
      <c r="X46" s="1">
        <v>309</v>
      </c>
      <c r="Y46" s="1">
        <v>59</v>
      </c>
      <c r="Z46" s="1">
        <v>14</v>
      </c>
      <c r="AA46" s="1"/>
      <c r="AB46" s="1"/>
      <c r="AC46" s="1"/>
      <c r="AD46" s="1">
        <v>323</v>
      </c>
      <c r="AE46" s="1">
        <v>56</v>
      </c>
      <c r="AF46" s="1">
        <v>14</v>
      </c>
      <c r="AG46" s="1"/>
      <c r="AH46" s="1"/>
      <c r="AI46" s="1"/>
      <c r="AJ46" s="1">
        <v>303</v>
      </c>
      <c r="AK46" s="1">
        <v>53</v>
      </c>
      <c r="AL46" s="1">
        <v>13</v>
      </c>
      <c r="AM46" s="1"/>
      <c r="AN46" s="1"/>
      <c r="AO46" s="1"/>
      <c r="AP46" s="1">
        <v>286</v>
      </c>
      <c r="AQ46" s="1">
        <v>53</v>
      </c>
      <c r="AR46" s="1">
        <v>13</v>
      </c>
      <c r="AS46" s="1"/>
      <c r="AT46" s="1"/>
      <c r="AU46" s="1"/>
      <c r="AV46" s="1">
        <v>285</v>
      </c>
      <c r="AW46" s="1">
        <v>55</v>
      </c>
      <c r="AX46" s="1">
        <v>11</v>
      </c>
      <c r="AY46" s="1"/>
      <c r="AZ46" s="1"/>
      <c r="BA46" s="1"/>
      <c r="BB46" s="1">
        <v>332</v>
      </c>
      <c r="BC46" s="1">
        <v>64</v>
      </c>
      <c r="BD46" s="1">
        <v>14</v>
      </c>
      <c r="BE46" s="1"/>
      <c r="BF46" s="1"/>
      <c r="BG46" s="1"/>
      <c r="BH46" s="1">
        <v>298</v>
      </c>
      <c r="BI46" s="1">
        <v>54</v>
      </c>
      <c r="BJ46" s="1">
        <v>13</v>
      </c>
      <c r="BK46" s="1"/>
      <c r="BL46" s="1"/>
      <c r="BM46" s="1"/>
      <c r="BN46" s="1">
        <v>272</v>
      </c>
      <c r="BO46" s="1">
        <v>51</v>
      </c>
      <c r="BP46" s="1">
        <v>10</v>
      </c>
      <c r="BQ46" s="1"/>
      <c r="BR46" s="1"/>
      <c r="BS46" s="1"/>
      <c r="BT46" s="1">
        <v>283</v>
      </c>
      <c r="BU46" s="1">
        <v>53</v>
      </c>
      <c r="BV46" s="1">
        <v>11</v>
      </c>
      <c r="BW46" s="1"/>
      <c r="BX46" s="1"/>
      <c r="BY46" s="1"/>
      <c r="BZ46" s="1">
        <v>256</v>
      </c>
      <c r="CA46" s="1">
        <v>47</v>
      </c>
      <c r="CB46" s="1">
        <v>12</v>
      </c>
      <c r="CC46" s="1"/>
      <c r="CD46" s="1"/>
      <c r="CE46" s="1"/>
      <c r="CF46" s="1">
        <v>262</v>
      </c>
      <c r="CG46" s="1">
        <v>57</v>
      </c>
      <c r="CH46" s="1">
        <v>12</v>
      </c>
      <c r="CI46" s="1"/>
      <c r="CJ46" s="1"/>
      <c r="CK46" s="1"/>
      <c r="CL46" s="1"/>
      <c r="CM46" s="1"/>
      <c r="CN46" s="1"/>
      <c r="CO46" s="1"/>
      <c r="CP46" s="1"/>
      <c r="CQ46" s="1"/>
    </row>
    <row r="47" spans="1:95" x14ac:dyDescent="0.3">
      <c r="A47" s="13">
        <v>45925</v>
      </c>
      <c r="B47" s="1" t="s">
        <v>95</v>
      </c>
      <c r="C47" s="1" t="s">
        <v>104</v>
      </c>
      <c r="D47" s="1" t="s">
        <v>99</v>
      </c>
      <c r="E47" s="1">
        <v>3</v>
      </c>
      <c r="F47" s="1">
        <v>330</v>
      </c>
      <c r="G47" s="1">
        <v>62</v>
      </c>
      <c r="H47" s="1">
        <v>13</v>
      </c>
      <c r="I47" s="1"/>
      <c r="J47" s="1"/>
      <c r="K47" s="1"/>
      <c r="L47" s="1">
        <v>320</v>
      </c>
      <c r="M47" s="1">
        <v>67</v>
      </c>
      <c r="N47" s="1">
        <v>15</v>
      </c>
      <c r="O47" s="1"/>
      <c r="P47" s="1"/>
      <c r="Q47" s="1"/>
      <c r="R47" s="1">
        <v>325</v>
      </c>
      <c r="S47" s="1">
        <v>61</v>
      </c>
      <c r="T47" s="1">
        <v>13</v>
      </c>
      <c r="U47" s="1"/>
      <c r="V47" s="1"/>
      <c r="W47" s="1"/>
      <c r="X47" s="1">
        <v>300</v>
      </c>
      <c r="Y47" s="1">
        <v>62</v>
      </c>
      <c r="Z47" s="1">
        <v>13</v>
      </c>
      <c r="AA47" s="1"/>
      <c r="AB47" s="1"/>
      <c r="AC47" s="1"/>
      <c r="AD47" s="1">
        <v>304</v>
      </c>
      <c r="AE47" s="1">
        <v>58</v>
      </c>
      <c r="AF47" s="1">
        <v>11</v>
      </c>
      <c r="AG47" s="1"/>
      <c r="AH47" s="1"/>
      <c r="AI47" s="1"/>
      <c r="AJ47" s="1">
        <v>280</v>
      </c>
      <c r="AK47" s="1">
        <v>55</v>
      </c>
      <c r="AL47" s="1">
        <v>11</v>
      </c>
      <c r="AM47" s="1"/>
      <c r="AN47" s="1"/>
      <c r="AO47" s="1"/>
      <c r="AP47" s="1">
        <v>320</v>
      </c>
      <c r="AQ47" s="1">
        <v>66</v>
      </c>
      <c r="AR47" s="1">
        <v>14</v>
      </c>
      <c r="AS47" s="1"/>
      <c r="AT47" s="1"/>
      <c r="AU47" s="1"/>
      <c r="AV47" s="1">
        <v>340</v>
      </c>
      <c r="AW47" s="1">
        <v>66</v>
      </c>
      <c r="AX47" s="1">
        <v>15</v>
      </c>
      <c r="AY47" s="1"/>
      <c r="AZ47" s="1"/>
      <c r="BA47" s="1"/>
      <c r="BB47" s="1">
        <v>275</v>
      </c>
      <c r="BC47" s="1">
        <v>51</v>
      </c>
      <c r="BD47" s="1">
        <v>10</v>
      </c>
      <c r="BE47" s="1"/>
      <c r="BF47" s="1"/>
      <c r="BG47" s="1"/>
      <c r="BH47" s="1">
        <v>304</v>
      </c>
      <c r="BI47" s="1">
        <v>54</v>
      </c>
      <c r="BJ47" s="1">
        <v>10</v>
      </c>
      <c r="BK47" s="1"/>
      <c r="BL47" s="1"/>
      <c r="BM47" s="1"/>
      <c r="BN47" s="1">
        <v>284</v>
      </c>
      <c r="BO47" s="1">
        <v>54</v>
      </c>
      <c r="BP47" s="1">
        <v>12</v>
      </c>
      <c r="BQ47" s="1"/>
      <c r="BR47" s="1"/>
      <c r="BS47" s="1"/>
      <c r="BT47" s="1">
        <v>315</v>
      </c>
      <c r="BU47" s="1">
        <v>61</v>
      </c>
      <c r="BV47" s="1">
        <v>14</v>
      </c>
      <c r="BW47" s="1"/>
      <c r="BX47" s="1"/>
      <c r="BY47" s="1"/>
      <c r="BZ47" s="1">
        <v>260</v>
      </c>
      <c r="CA47" s="1">
        <v>51</v>
      </c>
      <c r="CB47" s="1">
        <v>10</v>
      </c>
      <c r="CC47" s="1"/>
      <c r="CD47" s="1"/>
      <c r="CE47" s="1" t="s">
        <v>119</v>
      </c>
      <c r="CF47" s="1">
        <v>320</v>
      </c>
      <c r="CG47" s="1">
        <v>60</v>
      </c>
      <c r="CH47" s="1">
        <v>13</v>
      </c>
      <c r="CI47" s="1"/>
      <c r="CJ47" s="1"/>
      <c r="CK47" s="1"/>
      <c r="CL47" s="1"/>
      <c r="CM47" s="1"/>
      <c r="CN47" s="1"/>
      <c r="CO47" s="1"/>
      <c r="CP47" s="1"/>
      <c r="CQ47" s="1"/>
    </row>
    <row r="48" spans="1:95" x14ac:dyDescent="0.3">
      <c r="A48" s="13">
        <v>45925</v>
      </c>
      <c r="B48" s="1" t="s">
        <v>95</v>
      </c>
      <c r="C48" s="1" t="s">
        <v>104</v>
      </c>
      <c r="D48" s="1" t="s">
        <v>109</v>
      </c>
      <c r="E48" s="1">
        <v>1</v>
      </c>
      <c r="F48" s="1">
        <v>296</v>
      </c>
      <c r="G48" s="1">
        <v>56</v>
      </c>
      <c r="H48" s="1">
        <v>12</v>
      </c>
      <c r="I48" s="1"/>
      <c r="J48" s="1"/>
      <c r="K48" s="1"/>
      <c r="L48" s="1">
        <v>320</v>
      </c>
      <c r="M48" s="1">
        <v>60</v>
      </c>
      <c r="N48" s="1">
        <v>11</v>
      </c>
      <c r="O48" s="1"/>
      <c r="P48" s="1"/>
      <c r="Q48" s="1"/>
      <c r="R48" s="1">
        <v>344</v>
      </c>
      <c r="S48" s="1">
        <v>68</v>
      </c>
      <c r="T48" s="1">
        <v>14</v>
      </c>
      <c r="U48" s="1"/>
      <c r="V48" s="1"/>
      <c r="W48" s="1"/>
      <c r="X48" s="1">
        <v>330</v>
      </c>
      <c r="Y48" s="1">
        <v>65</v>
      </c>
      <c r="Z48" s="1">
        <v>15</v>
      </c>
      <c r="AA48" s="1"/>
      <c r="AB48" s="1"/>
      <c r="AC48" s="1" t="s">
        <v>120</v>
      </c>
      <c r="AD48" s="1">
        <v>313</v>
      </c>
      <c r="AE48" s="1">
        <v>57</v>
      </c>
      <c r="AF48" s="1">
        <v>13</v>
      </c>
      <c r="AG48" s="1"/>
      <c r="AH48" s="1"/>
      <c r="AI48" s="1"/>
      <c r="AJ48" s="1">
        <v>313</v>
      </c>
      <c r="AK48" s="1">
        <v>62</v>
      </c>
      <c r="AL48" s="1">
        <v>15</v>
      </c>
      <c r="AM48" s="1"/>
      <c r="AN48" s="1"/>
      <c r="AO48" s="1"/>
      <c r="AP48" s="1">
        <v>315</v>
      </c>
      <c r="AQ48" s="1">
        <v>66</v>
      </c>
      <c r="AR48" s="1">
        <v>12</v>
      </c>
      <c r="AS48" s="1"/>
      <c r="AT48" s="1"/>
      <c r="AU48" s="1"/>
      <c r="AV48" s="1">
        <v>330</v>
      </c>
      <c r="AW48" s="1">
        <v>59</v>
      </c>
      <c r="AX48" s="1">
        <v>12</v>
      </c>
      <c r="AY48" s="1"/>
      <c r="AZ48" s="1"/>
      <c r="BA48" s="1"/>
      <c r="BB48" s="1">
        <v>310</v>
      </c>
      <c r="BC48" s="1">
        <v>64</v>
      </c>
      <c r="BD48" s="1">
        <v>14</v>
      </c>
      <c r="BE48" s="1"/>
      <c r="BF48" s="1"/>
      <c r="BG48" s="1"/>
      <c r="BH48" s="1">
        <v>295</v>
      </c>
      <c r="BI48" s="1">
        <v>57</v>
      </c>
      <c r="BJ48" s="1">
        <v>11</v>
      </c>
      <c r="BK48" s="1"/>
      <c r="BL48" s="1"/>
      <c r="BM48" s="1"/>
      <c r="BN48" s="1">
        <v>333</v>
      </c>
      <c r="BO48" s="1">
        <v>66</v>
      </c>
      <c r="BP48" s="1">
        <v>12</v>
      </c>
      <c r="BQ48" s="1"/>
      <c r="BR48" s="1"/>
      <c r="BS48" s="1"/>
      <c r="BT48" s="1">
        <v>287</v>
      </c>
      <c r="BU48" s="1">
        <v>54</v>
      </c>
      <c r="BV48" s="1">
        <v>10</v>
      </c>
      <c r="BW48" s="1"/>
      <c r="BX48" s="1"/>
      <c r="BY48" s="1"/>
      <c r="BZ48" s="1">
        <v>320</v>
      </c>
      <c r="CA48" s="1">
        <v>65</v>
      </c>
      <c r="CB48" s="1">
        <v>13</v>
      </c>
      <c r="CC48" s="1"/>
      <c r="CD48" s="1"/>
      <c r="CE48" s="1"/>
      <c r="CF48" s="1">
        <v>295</v>
      </c>
      <c r="CG48" s="1">
        <v>55</v>
      </c>
      <c r="CH48" s="1">
        <v>10</v>
      </c>
      <c r="CI48" s="1"/>
      <c r="CJ48" s="1"/>
      <c r="CK48" s="1"/>
      <c r="CL48" s="1"/>
      <c r="CM48" s="1"/>
      <c r="CN48" s="1"/>
      <c r="CO48" s="1"/>
      <c r="CP48" s="1"/>
      <c r="CQ48" s="1"/>
    </row>
    <row r="49" spans="1:95" x14ac:dyDescent="0.3">
      <c r="A49" s="13">
        <v>45925</v>
      </c>
      <c r="B49" s="1" t="s">
        <v>95</v>
      </c>
      <c r="C49" s="1" t="s">
        <v>104</v>
      </c>
      <c r="D49" s="1" t="s">
        <v>97</v>
      </c>
      <c r="E49" s="1">
        <v>2</v>
      </c>
      <c r="F49" s="1">
        <v>330</v>
      </c>
      <c r="G49" s="1">
        <v>60</v>
      </c>
      <c r="H49" s="1">
        <v>14</v>
      </c>
      <c r="I49" s="1"/>
      <c r="J49" s="1"/>
      <c r="K49" s="1"/>
      <c r="L49" s="1">
        <v>340</v>
      </c>
      <c r="M49" s="1">
        <v>61</v>
      </c>
      <c r="N49" s="1">
        <v>12</v>
      </c>
      <c r="O49" s="1"/>
      <c r="P49" s="1"/>
      <c r="Q49" s="1"/>
      <c r="R49" s="1">
        <v>288</v>
      </c>
      <c r="S49" s="1">
        <v>52</v>
      </c>
      <c r="T49" s="1">
        <v>10</v>
      </c>
      <c r="U49" s="1"/>
      <c r="V49" s="1"/>
      <c r="W49" s="1"/>
      <c r="X49" s="1">
        <v>304</v>
      </c>
      <c r="Y49" s="1">
        <v>60</v>
      </c>
      <c r="Z49" s="1">
        <v>13</v>
      </c>
      <c r="AA49" s="1"/>
      <c r="AB49" s="1"/>
      <c r="AC49" s="1"/>
      <c r="AD49" s="1">
        <v>290</v>
      </c>
      <c r="AE49" s="1">
        <v>53</v>
      </c>
      <c r="AF49" s="1">
        <v>12</v>
      </c>
      <c r="AG49" s="1"/>
      <c r="AH49" s="1"/>
      <c r="AI49" s="1"/>
      <c r="AJ49" s="1">
        <v>286</v>
      </c>
      <c r="AK49" s="1">
        <v>60</v>
      </c>
      <c r="AL49" s="1">
        <v>12</v>
      </c>
      <c r="AM49" s="1"/>
      <c r="AN49" s="1"/>
      <c r="AO49" s="1"/>
      <c r="AP49" s="1">
        <v>285</v>
      </c>
      <c r="AQ49" s="1">
        <v>54</v>
      </c>
      <c r="AR49" s="1">
        <v>11</v>
      </c>
      <c r="AS49" s="1"/>
      <c r="AT49" s="1"/>
      <c r="AU49" s="1"/>
      <c r="AV49" s="1">
        <v>270</v>
      </c>
      <c r="AW49" s="1">
        <v>48</v>
      </c>
      <c r="AX49" s="1">
        <v>11</v>
      </c>
      <c r="AY49" s="1"/>
      <c r="AZ49" s="1"/>
      <c r="BA49" s="1"/>
      <c r="BB49" s="1">
        <v>335</v>
      </c>
      <c r="BC49" s="1">
        <v>64</v>
      </c>
      <c r="BD49" s="1">
        <v>14</v>
      </c>
      <c r="BE49" s="1"/>
      <c r="BF49" s="1"/>
      <c r="BG49" s="1"/>
      <c r="BH49" s="1">
        <v>305</v>
      </c>
      <c r="BI49" s="1">
        <v>58</v>
      </c>
      <c r="BJ49" s="1">
        <v>11</v>
      </c>
      <c r="BK49" s="1"/>
      <c r="BL49" s="1"/>
      <c r="BM49" s="1"/>
      <c r="BN49" s="1">
        <v>303</v>
      </c>
      <c r="BO49" s="1">
        <v>53</v>
      </c>
      <c r="BP49" s="1">
        <v>11</v>
      </c>
      <c r="BQ49" s="1"/>
      <c r="BR49" s="1"/>
      <c r="BS49" s="1"/>
      <c r="BT49" s="1">
        <v>330</v>
      </c>
      <c r="BU49" s="1">
        <v>61</v>
      </c>
      <c r="BV49" s="1">
        <v>12</v>
      </c>
      <c r="BW49" s="1"/>
      <c r="BX49" s="1"/>
      <c r="BY49" s="1"/>
      <c r="BZ49" s="1">
        <v>310</v>
      </c>
      <c r="CA49" s="1">
        <v>58</v>
      </c>
      <c r="CB49" s="1">
        <v>12</v>
      </c>
      <c r="CC49" s="1"/>
      <c r="CD49" s="1"/>
      <c r="CE49" s="1"/>
      <c r="CF49" s="1">
        <v>350</v>
      </c>
      <c r="CG49" s="1">
        <v>60</v>
      </c>
      <c r="CH49" s="1">
        <v>13</v>
      </c>
      <c r="CI49" s="1"/>
      <c r="CJ49" s="1"/>
      <c r="CK49" s="1"/>
      <c r="CL49" s="1"/>
      <c r="CM49" s="1"/>
      <c r="CN49" s="1"/>
      <c r="CO49" s="1"/>
      <c r="CP49" s="1"/>
      <c r="CQ49" s="1"/>
    </row>
    <row r="50" spans="1:95" x14ac:dyDescent="0.3">
      <c r="A50" s="13">
        <v>45923</v>
      </c>
      <c r="B50" s="1" t="s">
        <v>100</v>
      </c>
      <c r="C50" s="1" t="s">
        <v>104</v>
      </c>
      <c r="D50" s="1" t="s">
        <v>101</v>
      </c>
      <c r="E50" s="1">
        <v>2</v>
      </c>
      <c r="F50" s="1">
        <v>300</v>
      </c>
      <c r="G50" s="1">
        <v>58</v>
      </c>
      <c r="H50" s="1">
        <v>13</v>
      </c>
      <c r="I50" s="1"/>
      <c r="J50" s="1"/>
      <c r="K50" s="1"/>
      <c r="L50" s="1">
        <v>297</v>
      </c>
      <c r="M50" s="1">
        <v>56</v>
      </c>
      <c r="N50" s="1">
        <v>15</v>
      </c>
      <c r="O50" s="1"/>
      <c r="P50" s="1"/>
      <c r="Q50" s="1"/>
      <c r="R50" s="1">
        <v>292</v>
      </c>
      <c r="S50" s="1">
        <v>55</v>
      </c>
      <c r="T50" s="1">
        <v>13</v>
      </c>
      <c r="U50" s="1"/>
      <c r="V50" s="1"/>
      <c r="W50" s="1"/>
      <c r="X50" s="1">
        <v>301</v>
      </c>
      <c r="Y50" s="1">
        <v>59</v>
      </c>
      <c r="Z50" s="1">
        <v>14</v>
      </c>
      <c r="AA50" s="1"/>
      <c r="AB50" s="1"/>
      <c r="AC50" s="1"/>
      <c r="AD50" s="1">
        <v>308</v>
      </c>
      <c r="AE50" s="1">
        <v>52</v>
      </c>
      <c r="AF50" s="1">
        <v>14</v>
      </c>
      <c r="AG50" s="1"/>
      <c r="AH50" s="1"/>
      <c r="AI50" s="1"/>
      <c r="AJ50" s="1">
        <v>332</v>
      </c>
      <c r="AK50" s="1">
        <v>63</v>
      </c>
      <c r="AL50" s="1">
        <v>13</v>
      </c>
      <c r="AM50" s="1"/>
      <c r="AN50" s="1"/>
      <c r="AO50" s="1"/>
      <c r="AP50" s="1">
        <v>290</v>
      </c>
      <c r="AQ50" s="1">
        <v>56</v>
      </c>
      <c r="AR50" s="1">
        <v>12</v>
      </c>
      <c r="AS50" s="1"/>
      <c r="AT50" s="1"/>
      <c r="AU50" s="1"/>
      <c r="AV50" s="1">
        <v>309</v>
      </c>
      <c r="AW50" s="1">
        <v>62</v>
      </c>
      <c r="AX50" s="1">
        <v>15</v>
      </c>
      <c r="AY50" s="1"/>
      <c r="AZ50" s="1"/>
      <c r="BA50" s="1"/>
      <c r="BB50" s="1">
        <v>296</v>
      </c>
      <c r="BC50" s="1">
        <v>60</v>
      </c>
      <c r="BD50" s="1">
        <v>14</v>
      </c>
      <c r="BE50" s="1"/>
      <c r="BF50" s="1"/>
      <c r="BG50" s="1"/>
      <c r="BH50" s="1">
        <v>283</v>
      </c>
      <c r="BI50" s="1">
        <v>53</v>
      </c>
      <c r="BJ50" s="1">
        <v>10</v>
      </c>
      <c r="BK50" s="1"/>
      <c r="BL50" s="1"/>
      <c r="BM50" s="1"/>
      <c r="BN50" s="1">
        <v>280</v>
      </c>
      <c r="BO50" s="1">
        <v>51</v>
      </c>
      <c r="BP50" s="1">
        <v>12</v>
      </c>
      <c r="BQ50" s="1"/>
      <c r="BR50" s="1"/>
      <c r="BS50" s="1"/>
      <c r="BT50" s="1">
        <v>268</v>
      </c>
      <c r="BU50" s="1">
        <v>50</v>
      </c>
      <c r="BV50" s="1">
        <v>11</v>
      </c>
      <c r="BW50" s="1"/>
      <c r="BX50" s="1"/>
      <c r="BY50" s="1"/>
      <c r="BZ50" s="1">
        <v>241</v>
      </c>
      <c r="CA50" s="1">
        <v>48</v>
      </c>
      <c r="CB50" s="1">
        <v>10</v>
      </c>
      <c r="CC50" s="1"/>
      <c r="CD50" s="1"/>
      <c r="CE50" s="1"/>
      <c r="CF50" s="1">
        <v>242</v>
      </c>
      <c r="CG50" s="1">
        <v>42</v>
      </c>
      <c r="CH50" s="1">
        <v>12</v>
      </c>
      <c r="CI50" s="1"/>
      <c r="CJ50" s="1"/>
      <c r="CK50" s="1"/>
      <c r="CL50" s="1"/>
      <c r="CM50" s="1"/>
      <c r="CN50" s="1"/>
      <c r="CO50" s="1"/>
      <c r="CP50" s="1"/>
      <c r="CQ50" s="1"/>
    </row>
    <row r="51" spans="1:95" x14ac:dyDescent="0.3">
      <c r="A51" s="13">
        <v>45923</v>
      </c>
      <c r="B51" s="1" t="s">
        <v>100</v>
      </c>
      <c r="C51" s="1" t="s">
        <v>104</v>
      </c>
      <c r="D51" s="1" t="s">
        <v>109</v>
      </c>
      <c r="E51" s="1">
        <v>2</v>
      </c>
      <c r="F51" s="1">
        <v>322</v>
      </c>
      <c r="G51" s="1">
        <v>52</v>
      </c>
      <c r="H51" s="1">
        <v>11</v>
      </c>
      <c r="I51" s="1"/>
      <c r="J51" s="1"/>
      <c r="K51" s="1"/>
      <c r="L51" s="1">
        <v>280</v>
      </c>
      <c r="M51" s="1">
        <v>51</v>
      </c>
      <c r="N51" s="1">
        <v>10</v>
      </c>
      <c r="O51" s="1"/>
      <c r="P51" s="1"/>
      <c r="Q51" s="1"/>
      <c r="R51" s="1">
        <v>320</v>
      </c>
      <c r="S51" s="1">
        <v>56</v>
      </c>
      <c r="T51" s="1">
        <v>12</v>
      </c>
      <c r="U51" s="1"/>
      <c r="V51" s="1"/>
      <c r="W51" s="1"/>
      <c r="X51" s="1">
        <v>294</v>
      </c>
      <c r="Y51" s="1">
        <v>57</v>
      </c>
      <c r="Z51" s="1">
        <v>12</v>
      </c>
      <c r="AA51" s="1"/>
      <c r="AB51" s="1"/>
      <c r="AC51" s="1"/>
      <c r="AD51" s="1">
        <v>303</v>
      </c>
      <c r="AE51" s="1">
        <v>52</v>
      </c>
      <c r="AF51" s="1">
        <v>13</v>
      </c>
      <c r="AG51" s="1"/>
      <c r="AH51" s="1"/>
      <c r="AI51" s="1"/>
      <c r="AJ51" s="1">
        <v>322</v>
      </c>
      <c r="AK51" s="1">
        <v>62</v>
      </c>
      <c r="AL51" s="1">
        <v>14</v>
      </c>
      <c r="AM51" s="1"/>
      <c r="AN51" s="1"/>
      <c r="AO51" s="1"/>
      <c r="AP51" s="1">
        <v>335</v>
      </c>
      <c r="AQ51" s="1">
        <v>67</v>
      </c>
      <c r="AR51" s="1">
        <v>15</v>
      </c>
      <c r="AS51" s="1"/>
      <c r="AT51" s="1"/>
      <c r="AU51" s="1"/>
      <c r="AV51" s="1">
        <v>334</v>
      </c>
      <c r="AW51" s="1">
        <v>62</v>
      </c>
      <c r="AX51" s="1">
        <v>14</v>
      </c>
      <c r="AY51" s="1"/>
      <c r="AZ51" s="1"/>
      <c r="BA51" s="1"/>
      <c r="BB51" s="1">
        <v>317</v>
      </c>
      <c r="BC51" s="1">
        <v>65</v>
      </c>
      <c r="BD51" s="1">
        <v>13</v>
      </c>
      <c r="BE51" s="1"/>
      <c r="BF51" s="1"/>
      <c r="BG51" s="1"/>
      <c r="BH51" s="1">
        <v>311</v>
      </c>
      <c r="BI51" s="1">
        <v>60</v>
      </c>
      <c r="BJ51" s="1">
        <v>15</v>
      </c>
      <c r="BK51" s="1"/>
      <c r="BL51" s="1"/>
      <c r="BM51" s="1"/>
      <c r="BN51" s="1">
        <v>297</v>
      </c>
      <c r="BO51" s="1">
        <v>57</v>
      </c>
      <c r="BP51" s="1">
        <v>13</v>
      </c>
      <c r="BQ51" s="1"/>
      <c r="BR51" s="1"/>
      <c r="BS51" s="1"/>
      <c r="BT51" s="1">
        <v>270</v>
      </c>
      <c r="BU51" s="1">
        <v>47</v>
      </c>
      <c r="BV51" s="1">
        <v>9</v>
      </c>
      <c r="BW51" s="1"/>
      <c r="BX51" s="1"/>
      <c r="BY51" s="1"/>
      <c r="BZ51" s="1">
        <v>270</v>
      </c>
      <c r="CA51" s="1">
        <v>49</v>
      </c>
      <c r="CB51" s="1">
        <v>11</v>
      </c>
      <c r="CC51" s="1"/>
      <c r="CD51" s="1"/>
      <c r="CE51" s="1"/>
      <c r="CF51" s="1">
        <v>301</v>
      </c>
      <c r="CG51" s="1">
        <v>60</v>
      </c>
      <c r="CH51" s="1">
        <v>13</v>
      </c>
      <c r="CI51" s="1"/>
      <c r="CJ51" s="1"/>
      <c r="CK51" s="1"/>
      <c r="CL51" s="1"/>
      <c r="CM51" s="1"/>
      <c r="CN51" s="1"/>
      <c r="CO51" s="1"/>
      <c r="CP51" s="1"/>
      <c r="CQ51" s="1"/>
    </row>
    <row r="52" spans="1:95" x14ac:dyDescent="0.3">
      <c r="A52" s="13">
        <v>45923</v>
      </c>
      <c r="B52" s="1" t="s">
        <v>100</v>
      </c>
      <c r="C52" s="1" t="s">
        <v>104</v>
      </c>
      <c r="D52" s="1" t="s">
        <v>109</v>
      </c>
      <c r="E52" s="1">
        <v>3</v>
      </c>
      <c r="F52" s="1">
        <v>306</v>
      </c>
      <c r="G52" s="1">
        <v>59</v>
      </c>
      <c r="H52" s="1">
        <v>12</v>
      </c>
      <c r="I52" s="1"/>
      <c r="J52" s="1"/>
      <c r="K52" s="1" t="s">
        <v>113</v>
      </c>
      <c r="L52" s="1">
        <v>313</v>
      </c>
      <c r="M52" s="1">
        <v>54</v>
      </c>
      <c r="N52" s="1">
        <v>12</v>
      </c>
      <c r="O52" s="1"/>
      <c r="P52" s="1"/>
      <c r="Q52" s="1" t="s">
        <v>113</v>
      </c>
      <c r="R52" s="1">
        <v>286</v>
      </c>
      <c r="S52" s="1">
        <v>57</v>
      </c>
      <c r="T52" s="1">
        <v>12</v>
      </c>
      <c r="U52" s="1"/>
      <c r="V52" s="1"/>
      <c r="W52" s="1" t="s">
        <v>113</v>
      </c>
      <c r="X52" s="1">
        <v>323</v>
      </c>
      <c r="Y52" s="1">
        <v>60</v>
      </c>
      <c r="Z52" s="1">
        <v>14</v>
      </c>
      <c r="AA52" s="1"/>
      <c r="AB52" s="1"/>
      <c r="AC52" s="1" t="s">
        <v>113</v>
      </c>
      <c r="AD52" s="1">
        <v>318</v>
      </c>
      <c r="AE52" s="1">
        <v>64</v>
      </c>
      <c r="AF52" s="1">
        <v>12</v>
      </c>
      <c r="AG52" s="1"/>
      <c r="AH52" s="1"/>
      <c r="AI52" s="1" t="s">
        <v>113</v>
      </c>
      <c r="AJ52" s="1">
        <v>317</v>
      </c>
      <c r="AK52" s="1">
        <v>64</v>
      </c>
      <c r="AL52" s="1">
        <v>12</v>
      </c>
      <c r="AM52" s="1"/>
      <c r="AN52" s="1"/>
      <c r="AO52" s="1" t="s">
        <v>113</v>
      </c>
      <c r="AP52" s="1">
        <v>293</v>
      </c>
      <c r="AQ52" s="1">
        <v>57</v>
      </c>
      <c r="AR52" s="1">
        <v>14</v>
      </c>
      <c r="AS52" s="1"/>
      <c r="AT52" s="1"/>
      <c r="AU52" s="1" t="s">
        <v>113</v>
      </c>
      <c r="AV52" s="1">
        <v>325</v>
      </c>
      <c r="AW52" s="1">
        <v>60</v>
      </c>
      <c r="AX52" s="1">
        <v>14</v>
      </c>
      <c r="AY52" s="1"/>
      <c r="AZ52" s="1"/>
      <c r="BA52" s="1" t="s">
        <v>113</v>
      </c>
      <c r="BB52" s="1">
        <v>330</v>
      </c>
      <c r="BC52" s="1">
        <v>64</v>
      </c>
      <c r="BD52" s="1">
        <v>13</v>
      </c>
      <c r="BE52" s="1"/>
      <c r="BF52" s="1"/>
      <c r="BG52" s="1" t="s">
        <v>121</v>
      </c>
      <c r="BH52" s="1">
        <v>293</v>
      </c>
      <c r="BI52" s="1">
        <v>54</v>
      </c>
      <c r="BJ52" s="1">
        <v>13</v>
      </c>
      <c r="BK52" s="1"/>
      <c r="BL52" s="1"/>
      <c r="BM52" s="1" t="s">
        <v>121</v>
      </c>
      <c r="BN52" s="1">
        <v>290</v>
      </c>
      <c r="BO52" s="1">
        <v>52</v>
      </c>
      <c r="BP52" s="1">
        <v>13</v>
      </c>
      <c r="BQ52" s="1"/>
      <c r="BR52" s="1"/>
      <c r="BS52" s="1" t="s">
        <v>121</v>
      </c>
      <c r="BT52" s="1">
        <v>303</v>
      </c>
      <c r="BU52" s="1">
        <v>57</v>
      </c>
      <c r="BV52" s="1">
        <v>11</v>
      </c>
      <c r="BW52" s="1"/>
      <c r="BX52" s="1"/>
      <c r="BY52" s="1" t="s">
        <v>121</v>
      </c>
      <c r="BZ52" s="1">
        <v>271</v>
      </c>
      <c r="CA52" s="1">
        <v>51</v>
      </c>
      <c r="CB52" s="1">
        <v>14</v>
      </c>
      <c r="CC52" s="1"/>
      <c r="CD52" s="1"/>
      <c r="CE52" s="1" t="s">
        <v>113</v>
      </c>
      <c r="CF52" s="1">
        <v>305</v>
      </c>
      <c r="CG52" s="1">
        <v>60</v>
      </c>
      <c r="CH52" s="1">
        <v>14</v>
      </c>
      <c r="CI52" s="1"/>
      <c r="CJ52" s="1"/>
      <c r="CK52" s="1" t="s">
        <v>121</v>
      </c>
      <c r="CL52" s="1"/>
      <c r="CM52" s="1"/>
      <c r="CN52" s="1"/>
      <c r="CO52" s="1"/>
      <c r="CP52" s="1"/>
      <c r="CQ52" s="1"/>
    </row>
    <row r="53" spans="1:95" x14ac:dyDescent="0.3">
      <c r="A53" s="13">
        <v>45923</v>
      </c>
      <c r="B53" s="1" t="s">
        <v>95</v>
      </c>
      <c r="C53" s="1" t="s">
        <v>104</v>
      </c>
      <c r="D53" s="1" t="s">
        <v>97</v>
      </c>
      <c r="E53" s="1">
        <v>1</v>
      </c>
      <c r="F53" s="1">
        <v>308</v>
      </c>
      <c r="G53" s="1">
        <v>55</v>
      </c>
      <c r="H53" s="1">
        <v>11</v>
      </c>
      <c r="I53" s="1"/>
      <c r="J53" s="1"/>
      <c r="K53" s="1"/>
      <c r="L53" s="1">
        <v>270</v>
      </c>
      <c r="M53" s="1">
        <v>46</v>
      </c>
      <c r="N53" s="1">
        <v>9</v>
      </c>
      <c r="O53" s="1"/>
      <c r="P53" s="1"/>
      <c r="Q53" s="1"/>
      <c r="R53" s="1">
        <v>290</v>
      </c>
      <c r="S53" s="1">
        <v>54</v>
      </c>
      <c r="T53" s="1">
        <v>12</v>
      </c>
      <c r="U53" s="1"/>
      <c r="V53" s="1"/>
      <c r="W53" s="1"/>
      <c r="X53" s="1">
        <v>325</v>
      </c>
      <c r="Y53" s="1">
        <v>63</v>
      </c>
      <c r="Z53" s="1">
        <v>13</v>
      </c>
      <c r="AA53" s="1"/>
      <c r="AB53" s="1"/>
      <c r="AC53" s="1"/>
      <c r="AD53" s="1">
        <v>337</v>
      </c>
      <c r="AE53" s="1">
        <v>60</v>
      </c>
      <c r="AF53" s="1">
        <v>13</v>
      </c>
      <c r="AG53" s="1"/>
      <c r="AH53" s="1"/>
      <c r="AI53" s="1"/>
      <c r="AJ53" s="1">
        <v>330</v>
      </c>
      <c r="AK53" s="1">
        <v>64</v>
      </c>
      <c r="AL53" s="1">
        <v>13</v>
      </c>
      <c r="AM53" s="1"/>
      <c r="AN53" s="1"/>
      <c r="AO53" s="1"/>
      <c r="AP53" s="1">
        <v>300</v>
      </c>
      <c r="AQ53" s="1">
        <v>53</v>
      </c>
      <c r="AR53" s="1">
        <v>11</v>
      </c>
      <c r="AS53" s="1"/>
      <c r="AT53" s="1"/>
      <c r="AU53" s="1"/>
      <c r="AV53" s="1">
        <v>338</v>
      </c>
      <c r="AW53" s="1">
        <v>69</v>
      </c>
      <c r="AX53" s="1">
        <v>14</v>
      </c>
      <c r="AY53" s="1"/>
      <c r="AZ53" s="1"/>
      <c r="BA53" s="1"/>
      <c r="BB53" s="1">
        <v>329</v>
      </c>
      <c r="BC53" s="1">
        <v>65</v>
      </c>
      <c r="BD53" s="1">
        <v>12</v>
      </c>
      <c r="BE53" s="1"/>
      <c r="BF53" s="1"/>
      <c r="BG53" s="1"/>
      <c r="BH53" s="1">
        <v>290</v>
      </c>
      <c r="BI53" s="1">
        <v>53</v>
      </c>
      <c r="BJ53" s="1">
        <v>13</v>
      </c>
      <c r="BK53" s="1"/>
      <c r="BL53" s="1"/>
      <c r="BM53" s="1"/>
      <c r="BN53" s="1">
        <v>320</v>
      </c>
      <c r="BO53" s="1">
        <v>57</v>
      </c>
      <c r="BP53" s="1">
        <v>13</v>
      </c>
      <c r="BQ53" s="1"/>
      <c r="BR53" s="1"/>
      <c r="BS53" s="1"/>
      <c r="BT53" s="1">
        <v>311</v>
      </c>
      <c r="BU53" s="1">
        <v>55</v>
      </c>
      <c r="BV53" s="1">
        <v>13</v>
      </c>
      <c r="BW53" s="1"/>
      <c r="BX53" s="1"/>
      <c r="BY53" s="1"/>
      <c r="BZ53" s="1">
        <v>308</v>
      </c>
      <c r="CA53" s="1">
        <v>53</v>
      </c>
      <c r="CB53" s="1">
        <v>13</v>
      </c>
      <c r="CC53" s="1"/>
      <c r="CD53" s="1"/>
      <c r="CE53" s="1"/>
      <c r="CF53" s="1">
        <v>332</v>
      </c>
      <c r="CG53" s="1">
        <v>61</v>
      </c>
      <c r="CH53" s="1">
        <v>14</v>
      </c>
      <c r="CI53" s="1"/>
      <c r="CJ53" s="1"/>
      <c r="CK53" s="1"/>
      <c r="CL53" s="1"/>
      <c r="CM53" s="1"/>
      <c r="CN53" s="1"/>
      <c r="CO53" s="1"/>
      <c r="CP53" s="1"/>
      <c r="CQ53" s="1"/>
    </row>
    <row r="54" spans="1:95" x14ac:dyDescent="0.3">
      <c r="A54" s="13">
        <v>45923</v>
      </c>
      <c r="B54" s="1" t="s">
        <v>95</v>
      </c>
      <c r="C54" s="1" t="s">
        <v>104</v>
      </c>
      <c r="D54" s="1" t="s">
        <v>99</v>
      </c>
      <c r="E54" s="1">
        <v>1</v>
      </c>
      <c r="F54" s="1">
        <v>342</v>
      </c>
      <c r="G54" s="1">
        <v>66</v>
      </c>
      <c r="H54" s="1">
        <v>15</v>
      </c>
      <c r="I54" s="1"/>
      <c r="J54" s="1"/>
      <c r="K54" s="1"/>
      <c r="L54" s="1">
        <v>318</v>
      </c>
      <c r="M54" s="1">
        <v>59</v>
      </c>
      <c r="N54" s="1">
        <v>12</v>
      </c>
      <c r="O54" s="1"/>
      <c r="P54" s="1"/>
      <c r="Q54" s="1"/>
      <c r="R54" s="1">
        <v>307</v>
      </c>
      <c r="S54" s="1">
        <v>57</v>
      </c>
      <c r="T54" s="1">
        <v>13</v>
      </c>
      <c r="U54" s="1"/>
      <c r="V54" s="1"/>
      <c r="W54" s="1"/>
      <c r="X54" s="1">
        <v>303</v>
      </c>
      <c r="Y54" s="1">
        <v>50</v>
      </c>
      <c r="Z54" s="1">
        <v>11</v>
      </c>
      <c r="AA54" s="1"/>
      <c r="AB54" s="1"/>
      <c r="AC54" s="1"/>
      <c r="AD54" s="1">
        <v>360</v>
      </c>
      <c r="AE54" s="1">
        <v>58</v>
      </c>
      <c r="AF54" s="1">
        <v>11</v>
      </c>
      <c r="AG54" s="1"/>
      <c r="AH54" s="1"/>
      <c r="AI54" s="1"/>
      <c r="AJ54" s="1">
        <v>338</v>
      </c>
      <c r="AK54" s="1">
        <v>60</v>
      </c>
      <c r="AL54" s="1">
        <v>12</v>
      </c>
      <c r="AM54" s="1"/>
      <c r="AN54" s="1"/>
      <c r="AO54" s="1"/>
      <c r="AP54" s="1">
        <v>325</v>
      </c>
      <c r="AQ54" s="1">
        <v>59</v>
      </c>
      <c r="AR54" s="1">
        <v>11</v>
      </c>
      <c r="AS54" s="1"/>
      <c r="AT54" s="1"/>
      <c r="AU54" s="1"/>
      <c r="AV54" s="1">
        <v>310</v>
      </c>
      <c r="AW54" s="1">
        <v>50</v>
      </c>
      <c r="AX54" s="1">
        <v>11</v>
      </c>
      <c r="AY54" s="1"/>
      <c r="AZ54" s="1"/>
      <c r="BA54" s="1"/>
      <c r="BB54" s="1">
        <v>335</v>
      </c>
      <c r="BC54" s="1">
        <v>59</v>
      </c>
      <c r="BD54" s="1">
        <v>12</v>
      </c>
      <c r="BE54" s="1"/>
      <c r="BF54" s="1"/>
      <c r="BG54" s="1"/>
      <c r="BH54" s="1">
        <v>280</v>
      </c>
      <c r="BI54" s="1">
        <v>49</v>
      </c>
      <c r="BJ54" s="1">
        <v>10</v>
      </c>
      <c r="BK54" s="1"/>
      <c r="BL54" s="1"/>
      <c r="BM54" s="1"/>
      <c r="BN54" s="1">
        <v>286</v>
      </c>
      <c r="BO54" s="1">
        <v>52</v>
      </c>
      <c r="BP54" s="1">
        <v>11</v>
      </c>
      <c r="BQ54" s="1"/>
      <c r="BR54" s="1"/>
      <c r="BS54" s="1"/>
      <c r="BT54" s="1">
        <v>300</v>
      </c>
      <c r="BU54" s="1">
        <v>50</v>
      </c>
      <c r="BV54" s="1">
        <v>12</v>
      </c>
      <c r="BW54" s="1"/>
      <c r="BX54" s="1"/>
      <c r="BY54" s="1"/>
      <c r="BZ54" s="1">
        <v>290</v>
      </c>
      <c r="CA54" s="1">
        <v>56</v>
      </c>
      <c r="CB54" s="1">
        <v>12</v>
      </c>
      <c r="CC54" s="1"/>
      <c r="CD54" s="1"/>
      <c r="CE54" s="1"/>
      <c r="CF54" s="1">
        <v>290</v>
      </c>
      <c r="CG54" s="1">
        <v>53</v>
      </c>
      <c r="CH54" s="1">
        <v>12</v>
      </c>
      <c r="CI54" s="1"/>
      <c r="CJ54" s="1"/>
      <c r="CK54" s="1"/>
      <c r="CL54" s="1"/>
      <c r="CM54" s="1"/>
      <c r="CN54" s="1"/>
      <c r="CO54" s="1"/>
      <c r="CP54" s="1"/>
      <c r="CQ54" s="1"/>
    </row>
    <row r="55" spans="1:95" x14ac:dyDescent="0.3">
      <c r="A55" s="13">
        <v>45923</v>
      </c>
      <c r="B55" s="1" t="s">
        <v>95</v>
      </c>
      <c r="C55" s="1" t="s">
        <v>104</v>
      </c>
      <c r="D55" s="1" t="s">
        <v>99</v>
      </c>
      <c r="E55" s="1">
        <v>2</v>
      </c>
      <c r="F55" s="1">
        <v>300</v>
      </c>
      <c r="G55" s="1">
        <v>52</v>
      </c>
      <c r="H55" s="1">
        <v>10</v>
      </c>
      <c r="I55" s="1"/>
      <c r="J55" s="1"/>
      <c r="K55" s="1"/>
      <c r="L55" s="1">
        <v>333</v>
      </c>
      <c r="M55" s="1">
        <v>60</v>
      </c>
      <c r="N55" s="1">
        <v>15</v>
      </c>
      <c r="O55" s="1"/>
      <c r="P55" s="1"/>
      <c r="Q55" s="1"/>
      <c r="R55" s="1">
        <v>293</v>
      </c>
      <c r="S55" s="1">
        <v>51</v>
      </c>
      <c r="T55" s="1">
        <v>12</v>
      </c>
      <c r="U55" s="1"/>
      <c r="V55" s="1"/>
      <c r="W55" s="1"/>
      <c r="X55" s="1">
        <v>320</v>
      </c>
      <c r="Y55" s="1">
        <v>60</v>
      </c>
      <c r="Z55" s="1">
        <v>12</v>
      </c>
      <c r="AA55" s="1"/>
      <c r="AB55" s="1"/>
      <c r="AC55" s="1"/>
      <c r="AD55" s="1">
        <v>320</v>
      </c>
      <c r="AE55" s="1">
        <v>57</v>
      </c>
      <c r="AF55" s="1">
        <v>10</v>
      </c>
      <c r="AG55" s="1"/>
      <c r="AH55" s="1"/>
      <c r="AI55" s="1"/>
      <c r="AJ55" s="1">
        <v>303</v>
      </c>
      <c r="AK55" s="1">
        <v>55</v>
      </c>
      <c r="AL55" s="1">
        <v>12</v>
      </c>
      <c r="AM55" s="1"/>
      <c r="AN55" s="1"/>
      <c r="AO55" s="1"/>
      <c r="AP55" s="1">
        <v>323</v>
      </c>
      <c r="AQ55" s="1">
        <v>65</v>
      </c>
      <c r="AR55" s="1">
        <v>14</v>
      </c>
      <c r="AS55" s="1"/>
      <c r="AT55" s="1"/>
      <c r="AU55" s="1"/>
      <c r="AV55" s="1">
        <v>302</v>
      </c>
      <c r="AW55" s="1">
        <v>51</v>
      </c>
      <c r="AX55" s="1">
        <v>10</v>
      </c>
      <c r="AY55" s="1"/>
      <c r="AZ55" s="1"/>
      <c r="BA55" s="1"/>
      <c r="BB55" s="1">
        <v>325</v>
      </c>
      <c r="BC55" s="1">
        <v>59</v>
      </c>
      <c r="BD55" s="1">
        <v>11</v>
      </c>
      <c r="BE55" s="1"/>
      <c r="BF55" s="1"/>
      <c r="BG55" s="1"/>
      <c r="BH55" s="1">
        <v>302</v>
      </c>
      <c r="BI55" s="1">
        <v>48</v>
      </c>
      <c r="BJ55" s="1">
        <v>10</v>
      </c>
      <c r="BK55" s="1"/>
      <c r="BL55" s="1"/>
      <c r="BM55" s="1"/>
      <c r="BN55" s="1">
        <v>333</v>
      </c>
      <c r="BO55" s="1">
        <v>58</v>
      </c>
      <c r="BP55" s="1">
        <v>13</v>
      </c>
      <c r="BQ55" s="1"/>
      <c r="BR55" s="1"/>
      <c r="BS55" s="1"/>
      <c r="BT55" s="1">
        <v>310</v>
      </c>
      <c r="BU55" s="1">
        <v>54</v>
      </c>
      <c r="BV55" s="1">
        <v>11</v>
      </c>
      <c r="BW55" s="1"/>
      <c r="BX55" s="1"/>
      <c r="BY55" s="1"/>
      <c r="BZ55" s="1">
        <v>337</v>
      </c>
      <c r="CA55" s="1">
        <v>68</v>
      </c>
      <c r="CB55" s="1">
        <v>12</v>
      </c>
      <c r="CC55" s="1"/>
      <c r="CD55" s="1"/>
      <c r="CE55" s="1"/>
      <c r="CF55" s="1">
        <v>303</v>
      </c>
      <c r="CG55" s="1">
        <v>52</v>
      </c>
      <c r="CH55" s="1">
        <v>10</v>
      </c>
      <c r="CI55" s="1"/>
      <c r="CJ55" s="1"/>
      <c r="CK55" s="1"/>
      <c r="CL55" s="1"/>
      <c r="CM55" s="1"/>
      <c r="CN55" s="1"/>
      <c r="CO55" s="1"/>
      <c r="CP55" s="1"/>
      <c r="CQ55" s="1"/>
    </row>
    <row r="56" spans="1:95" x14ac:dyDescent="0.3">
      <c r="A56" s="13">
        <v>45933</v>
      </c>
      <c r="B56" s="1" t="s">
        <v>100</v>
      </c>
      <c r="C56" s="1" t="s">
        <v>96</v>
      </c>
      <c r="D56" s="1" t="s">
        <v>109</v>
      </c>
      <c r="E56" s="1">
        <v>1</v>
      </c>
      <c r="F56" s="1">
        <v>340</v>
      </c>
      <c r="G56" s="1">
        <v>64</v>
      </c>
      <c r="H56" s="1">
        <v>9</v>
      </c>
      <c r="I56" s="1"/>
      <c r="J56" s="1"/>
      <c r="K56" s="1"/>
      <c r="L56" s="1">
        <v>302</v>
      </c>
      <c r="M56" s="1">
        <v>59</v>
      </c>
      <c r="N56" s="1">
        <v>11</v>
      </c>
      <c r="O56" s="1"/>
      <c r="P56" s="1"/>
      <c r="Q56" s="1"/>
      <c r="R56" s="1">
        <v>310</v>
      </c>
      <c r="S56" s="1">
        <v>61</v>
      </c>
      <c r="T56" s="1">
        <v>12</v>
      </c>
      <c r="U56" s="1"/>
      <c r="V56" s="1"/>
      <c r="W56" s="1"/>
      <c r="X56" s="1">
        <v>300</v>
      </c>
      <c r="Y56" s="1">
        <v>56</v>
      </c>
      <c r="Z56" s="1">
        <v>11</v>
      </c>
      <c r="AA56" s="1"/>
      <c r="AB56" s="1"/>
      <c r="AC56" s="1"/>
      <c r="AD56" s="1">
        <v>305</v>
      </c>
      <c r="AE56" s="1">
        <v>58</v>
      </c>
      <c r="AF56" s="1">
        <v>12</v>
      </c>
      <c r="AG56" s="1"/>
      <c r="AH56" s="1"/>
      <c r="AI56" s="1"/>
      <c r="AJ56" s="1">
        <v>353</v>
      </c>
      <c r="AK56" s="1">
        <v>67</v>
      </c>
      <c r="AL56" s="1">
        <v>15</v>
      </c>
      <c r="AM56" s="1"/>
      <c r="AN56" s="1"/>
      <c r="AO56" s="1"/>
      <c r="AP56" s="1">
        <v>304</v>
      </c>
      <c r="AQ56" s="1">
        <v>56</v>
      </c>
      <c r="AR56" s="1">
        <v>11</v>
      </c>
      <c r="AS56" s="1"/>
      <c r="AT56" s="1"/>
      <c r="AU56" s="1"/>
      <c r="AV56" s="1">
        <v>291</v>
      </c>
      <c r="AW56" s="1">
        <v>56</v>
      </c>
      <c r="AX56" s="1">
        <v>10</v>
      </c>
      <c r="AY56" s="1"/>
      <c r="AZ56" s="1"/>
      <c r="BA56" s="1"/>
      <c r="BB56" s="1">
        <v>350</v>
      </c>
      <c r="BC56" s="1">
        <v>68</v>
      </c>
      <c r="BD56" s="1">
        <v>13</v>
      </c>
      <c r="BE56" s="1"/>
      <c r="BF56" s="1"/>
      <c r="BG56" s="1"/>
      <c r="BH56" s="1">
        <v>306</v>
      </c>
      <c r="BI56" s="1">
        <v>58</v>
      </c>
      <c r="BJ56" s="1">
        <v>12</v>
      </c>
      <c r="BK56" s="1"/>
      <c r="BL56" s="1"/>
      <c r="BM56" s="1"/>
      <c r="BN56" s="1">
        <v>320</v>
      </c>
      <c r="BO56" s="1">
        <v>62</v>
      </c>
      <c r="BP56" s="1">
        <v>11</v>
      </c>
      <c r="BQ56" s="1"/>
      <c r="BR56" s="1"/>
      <c r="BS56" s="1"/>
      <c r="BT56" s="1">
        <v>300</v>
      </c>
      <c r="BU56" s="1">
        <v>60</v>
      </c>
      <c r="BV56" s="1">
        <v>12</v>
      </c>
      <c r="BW56" s="1"/>
      <c r="BX56" s="1"/>
      <c r="BY56" s="1"/>
      <c r="BZ56" s="1">
        <v>313</v>
      </c>
      <c r="CA56" s="1">
        <v>58</v>
      </c>
      <c r="CB56" s="1">
        <v>10</v>
      </c>
      <c r="CC56" s="1"/>
      <c r="CD56" s="1"/>
      <c r="CE56" s="1"/>
      <c r="CF56" s="1">
        <v>290</v>
      </c>
      <c r="CG56" s="1">
        <v>51</v>
      </c>
      <c r="CH56" s="1">
        <v>10</v>
      </c>
      <c r="CI56" s="1"/>
      <c r="CJ56" s="1"/>
      <c r="CK56" s="1"/>
      <c r="CL56" s="1"/>
      <c r="CM56" s="1"/>
      <c r="CN56" s="1"/>
      <c r="CO56" s="1"/>
      <c r="CP56" s="1"/>
      <c r="CQ56" s="1"/>
    </row>
    <row r="57" spans="1:95" x14ac:dyDescent="0.3">
      <c r="A57" s="13">
        <v>45933</v>
      </c>
      <c r="B57" s="1" t="s">
        <v>100</v>
      </c>
      <c r="C57" s="1" t="s">
        <v>96</v>
      </c>
      <c r="D57" s="1" t="s">
        <v>97</v>
      </c>
      <c r="E57" s="1">
        <v>3</v>
      </c>
      <c r="F57" s="1">
        <v>295</v>
      </c>
      <c r="G57" s="1">
        <v>51</v>
      </c>
      <c r="H57" s="1">
        <v>7</v>
      </c>
      <c r="I57" s="1"/>
      <c r="J57" s="1"/>
      <c r="K57" s="1"/>
      <c r="L57" s="1">
        <v>283</v>
      </c>
      <c r="M57" s="1">
        <v>54</v>
      </c>
      <c r="N57" s="1">
        <v>11</v>
      </c>
      <c r="O57" s="1"/>
      <c r="P57" s="1"/>
      <c r="Q57" s="1"/>
      <c r="R57" s="1">
        <v>319</v>
      </c>
      <c r="S57" s="1">
        <v>63</v>
      </c>
      <c r="T57" s="1">
        <v>12</v>
      </c>
      <c r="U57" s="1"/>
      <c r="V57" s="1"/>
      <c r="W57" s="1"/>
      <c r="X57" s="1">
        <v>286</v>
      </c>
      <c r="Y57" s="1">
        <v>56</v>
      </c>
      <c r="Z57" s="1">
        <v>10</v>
      </c>
      <c r="AA57" s="1"/>
      <c r="AB57" s="1"/>
      <c r="AC57" s="1"/>
      <c r="AD57" s="1">
        <v>313</v>
      </c>
      <c r="AE57" s="1">
        <v>58</v>
      </c>
      <c r="AF57" s="1">
        <v>13</v>
      </c>
      <c r="AG57" s="1"/>
      <c r="AH57" s="1"/>
      <c r="AI57" s="1"/>
      <c r="AJ57" s="1">
        <v>300</v>
      </c>
      <c r="AK57" s="1">
        <v>56</v>
      </c>
      <c r="AL57" s="1">
        <v>11</v>
      </c>
      <c r="AM57" s="1"/>
      <c r="AN57" s="1"/>
      <c r="AO57" s="1"/>
      <c r="AP57" s="1">
        <v>320</v>
      </c>
      <c r="AQ57" s="1">
        <v>62</v>
      </c>
      <c r="AR57" s="1">
        <v>12</v>
      </c>
      <c r="AS57" s="1"/>
      <c r="AT57" s="1"/>
      <c r="AU57" s="1"/>
      <c r="AV57" s="1">
        <v>320</v>
      </c>
      <c r="AW57" s="1">
        <v>62</v>
      </c>
      <c r="AX57" s="1">
        <v>13</v>
      </c>
      <c r="AY57" s="1"/>
      <c r="AZ57" s="1"/>
      <c r="BA57" s="1"/>
      <c r="BB57" s="1">
        <v>312</v>
      </c>
      <c r="BC57" s="1">
        <v>59</v>
      </c>
      <c r="BD57" s="1">
        <v>12</v>
      </c>
      <c r="BE57" s="1"/>
      <c r="BF57" s="1"/>
      <c r="BG57" s="1"/>
      <c r="BH57" s="1">
        <v>310</v>
      </c>
      <c r="BI57" s="1">
        <v>61</v>
      </c>
      <c r="BJ57" s="1">
        <v>11</v>
      </c>
      <c r="BK57" s="1"/>
      <c r="BL57" s="1"/>
      <c r="BM57" s="1"/>
      <c r="BN57" s="1">
        <v>295</v>
      </c>
      <c r="BO57" s="1">
        <v>55</v>
      </c>
      <c r="BP57" s="1">
        <v>11</v>
      </c>
      <c r="BQ57" s="1"/>
      <c r="BR57" s="1"/>
      <c r="BS57" s="1"/>
      <c r="BT57" s="1">
        <v>340</v>
      </c>
      <c r="BU57" s="1">
        <v>67</v>
      </c>
      <c r="BV57" s="1">
        <v>13</v>
      </c>
      <c r="BW57" s="1"/>
      <c r="BX57" s="1"/>
      <c r="BY57" s="1"/>
      <c r="BZ57" s="1">
        <v>330</v>
      </c>
      <c r="CA57" s="1">
        <v>64</v>
      </c>
      <c r="CB57" s="1">
        <v>14</v>
      </c>
      <c r="CC57" s="1"/>
      <c r="CD57" s="1"/>
      <c r="CE57" s="1"/>
      <c r="CF57" s="1">
        <v>330</v>
      </c>
      <c r="CG57" s="1">
        <v>59</v>
      </c>
      <c r="CH57" s="1">
        <v>12</v>
      </c>
      <c r="CI57" s="1"/>
      <c r="CJ57" s="1"/>
      <c r="CK57" s="1"/>
      <c r="CL57" s="1"/>
      <c r="CM57" s="1"/>
      <c r="CN57" s="1"/>
      <c r="CO57" s="1"/>
      <c r="CP57" s="1"/>
      <c r="CQ57" s="1"/>
    </row>
    <row r="58" spans="1:95" x14ac:dyDescent="0.3">
      <c r="A58" s="13">
        <v>45932</v>
      </c>
      <c r="B58" s="1" t="s">
        <v>100</v>
      </c>
      <c r="C58" s="1" t="s">
        <v>96</v>
      </c>
      <c r="D58" s="1" t="s">
        <v>101</v>
      </c>
      <c r="E58" s="1">
        <v>1</v>
      </c>
      <c r="F58" s="1">
        <v>310</v>
      </c>
      <c r="G58" s="1">
        <v>62</v>
      </c>
      <c r="H58" s="1">
        <v>12</v>
      </c>
      <c r="I58" s="1"/>
      <c r="J58" s="1"/>
      <c r="K58" s="1"/>
      <c r="L58" s="1">
        <v>265</v>
      </c>
      <c r="M58" s="1">
        <v>56</v>
      </c>
      <c r="N58" s="1">
        <v>9</v>
      </c>
      <c r="O58" s="1"/>
      <c r="P58" s="1"/>
      <c r="Q58" s="1"/>
      <c r="R58" s="1">
        <v>320</v>
      </c>
      <c r="S58" s="1">
        <v>57</v>
      </c>
      <c r="T58" s="1">
        <v>10</v>
      </c>
      <c r="U58" s="1"/>
      <c r="V58" s="1"/>
      <c r="W58" s="1"/>
      <c r="X58" s="1">
        <v>270</v>
      </c>
      <c r="Y58" s="1">
        <v>56</v>
      </c>
      <c r="Z58" s="1">
        <v>9</v>
      </c>
      <c r="AA58" s="1"/>
      <c r="AB58" s="1"/>
      <c r="AC58" s="1"/>
      <c r="AD58" s="1">
        <v>302</v>
      </c>
      <c r="AE58" s="1">
        <v>62</v>
      </c>
      <c r="AF58" s="1">
        <v>11</v>
      </c>
      <c r="AG58" s="1"/>
      <c r="AH58" s="1"/>
      <c r="AI58" s="1"/>
      <c r="AJ58" s="1">
        <v>300</v>
      </c>
      <c r="AK58" s="1">
        <v>57</v>
      </c>
      <c r="AL58" s="1">
        <v>10</v>
      </c>
      <c r="AM58" s="1"/>
      <c r="AN58" s="1"/>
      <c r="AO58" s="1"/>
      <c r="AP58" s="1">
        <v>304</v>
      </c>
      <c r="AQ58" s="1">
        <v>62</v>
      </c>
      <c r="AR58" s="1">
        <v>12</v>
      </c>
      <c r="AS58" s="1"/>
      <c r="AT58" s="1"/>
      <c r="AU58" s="1"/>
      <c r="AV58" s="1">
        <v>284</v>
      </c>
      <c r="AW58" s="1">
        <v>58</v>
      </c>
      <c r="AX58" s="1">
        <v>11</v>
      </c>
      <c r="AY58" s="1"/>
      <c r="AZ58" s="1"/>
      <c r="BA58" s="1"/>
      <c r="BB58" s="1">
        <v>250</v>
      </c>
      <c r="BC58" s="1">
        <v>51</v>
      </c>
      <c r="BD58" s="1">
        <v>10</v>
      </c>
      <c r="BE58" s="1"/>
      <c r="BF58" s="1"/>
      <c r="BG58" s="1"/>
      <c r="BH58" s="1">
        <v>310</v>
      </c>
      <c r="BI58" s="1">
        <v>64</v>
      </c>
      <c r="BJ58" s="1">
        <v>12</v>
      </c>
      <c r="BK58" s="1"/>
      <c r="BL58" s="1"/>
      <c r="BM58" s="1"/>
      <c r="BN58" s="1">
        <v>310</v>
      </c>
      <c r="BO58" s="1">
        <v>60</v>
      </c>
      <c r="BP58" s="1">
        <v>12</v>
      </c>
      <c r="BQ58" s="1"/>
      <c r="BR58" s="1"/>
      <c r="BS58" s="1"/>
      <c r="BT58" s="1">
        <v>290</v>
      </c>
      <c r="BU58" s="1">
        <v>54</v>
      </c>
      <c r="BV58" s="1">
        <v>13</v>
      </c>
      <c r="BW58" s="1"/>
      <c r="BX58" s="1"/>
      <c r="BY58" s="1"/>
      <c r="BZ58" s="1">
        <v>252</v>
      </c>
      <c r="CA58" s="1">
        <v>50</v>
      </c>
      <c r="CB58" s="1">
        <v>11</v>
      </c>
      <c r="CC58" s="1"/>
      <c r="CD58" s="1"/>
      <c r="CE58" s="1"/>
      <c r="CF58" s="1">
        <v>254</v>
      </c>
      <c r="CG58" s="1">
        <v>53</v>
      </c>
      <c r="CH58" s="1">
        <v>10</v>
      </c>
      <c r="CI58" s="1"/>
      <c r="CJ58" s="1"/>
      <c r="CK58" s="1"/>
      <c r="CL58" s="1"/>
      <c r="CM58" s="1"/>
      <c r="CN58" s="1"/>
      <c r="CO58" s="1"/>
      <c r="CP58" s="1"/>
      <c r="CQ58" s="1"/>
    </row>
    <row r="59" spans="1:95" x14ac:dyDescent="0.3">
      <c r="A59" s="13">
        <v>45932</v>
      </c>
      <c r="B59" s="1" t="s">
        <v>100</v>
      </c>
      <c r="C59" s="1" t="s">
        <v>96</v>
      </c>
      <c r="D59" s="1" t="s">
        <v>99</v>
      </c>
      <c r="E59" s="1">
        <v>3</v>
      </c>
      <c r="F59" s="1">
        <v>300</v>
      </c>
      <c r="G59" s="1">
        <v>54</v>
      </c>
      <c r="H59" s="1">
        <v>10</v>
      </c>
      <c r="I59" s="1"/>
      <c r="J59" s="1"/>
      <c r="K59" s="1"/>
      <c r="L59" s="1">
        <v>310</v>
      </c>
      <c r="M59" s="1">
        <v>57</v>
      </c>
      <c r="N59" s="1">
        <v>10</v>
      </c>
      <c r="O59" s="1"/>
      <c r="P59" s="1"/>
      <c r="Q59" s="1"/>
      <c r="R59" s="1">
        <v>275</v>
      </c>
      <c r="S59" s="1">
        <v>55</v>
      </c>
      <c r="T59" s="1">
        <v>11</v>
      </c>
      <c r="U59" s="1"/>
      <c r="V59" s="1"/>
      <c r="W59" s="1"/>
      <c r="X59" s="1">
        <v>276</v>
      </c>
      <c r="Y59" s="1">
        <v>54</v>
      </c>
      <c r="Z59" s="1">
        <v>10</v>
      </c>
      <c r="AA59" s="1"/>
      <c r="AB59" s="1"/>
      <c r="AC59" s="1"/>
      <c r="AD59" s="1">
        <v>270</v>
      </c>
      <c r="AE59" s="1">
        <v>54</v>
      </c>
      <c r="AF59" s="1">
        <v>9</v>
      </c>
      <c r="AG59" s="1"/>
      <c r="AH59" s="1"/>
      <c r="AI59" s="1"/>
      <c r="AJ59" s="1">
        <v>292</v>
      </c>
      <c r="AK59" s="1">
        <v>59</v>
      </c>
      <c r="AL59" s="1">
        <v>11</v>
      </c>
      <c r="AM59" s="1"/>
      <c r="AN59" s="1"/>
      <c r="AO59" s="1"/>
      <c r="AP59" s="1">
        <v>290</v>
      </c>
      <c r="AQ59" s="1">
        <v>57</v>
      </c>
      <c r="AR59" s="1">
        <v>9</v>
      </c>
      <c r="AS59" s="1"/>
      <c r="AT59" s="1"/>
      <c r="AU59" s="1"/>
      <c r="AV59" s="1">
        <v>285</v>
      </c>
      <c r="AW59" s="1">
        <v>57</v>
      </c>
      <c r="AX59" s="1">
        <v>9</v>
      </c>
      <c r="AY59" s="1"/>
      <c r="AZ59" s="1"/>
      <c r="BA59" s="1"/>
      <c r="BB59" s="1">
        <v>330</v>
      </c>
      <c r="BC59" s="1">
        <v>64</v>
      </c>
      <c r="BD59" s="1">
        <v>13</v>
      </c>
      <c r="BE59" s="1"/>
      <c r="BF59" s="1"/>
      <c r="BG59" s="1" t="s">
        <v>122</v>
      </c>
      <c r="BH59" s="1">
        <v>300</v>
      </c>
      <c r="BI59" s="1">
        <v>55</v>
      </c>
      <c r="BJ59" s="1">
        <v>7</v>
      </c>
      <c r="BK59" s="1"/>
      <c r="BL59" s="1"/>
      <c r="BM59" s="1"/>
      <c r="BN59" s="1">
        <v>260</v>
      </c>
      <c r="BO59" s="1">
        <v>57</v>
      </c>
      <c r="BP59" s="1">
        <v>10</v>
      </c>
      <c r="BQ59" s="1"/>
      <c r="BR59" s="1"/>
      <c r="BS59" s="1"/>
      <c r="BT59" s="1">
        <v>284</v>
      </c>
      <c r="BU59" s="1">
        <v>52</v>
      </c>
      <c r="BV59" s="1">
        <v>9</v>
      </c>
      <c r="BW59" s="1"/>
      <c r="BX59" s="1"/>
      <c r="BY59" s="1"/>
      <c r="BZ59" s="1">
        <v>293</v>
      </c>
      <c r="CA59" s="1">
        <v>62</v>
      </c>
      <c r="CB59" s="1">
        <v>10</v>
      </c>
      <c r="CC59" s="1"/>
      <c r="CD59" s="1"/>
      <c r="CE59" s="1"/>
      <c r="CF59" s="1">
        <v>280</v>
      </c>
      <c r="CG59" s="1">
        <v>59</v>
      </c>
      <c r="CH59" s="1">
        <v>11</v>
      </c>
      <c r="CI59" s="1"/>
      <c r="CJ59" s="1"/>
      <c r="CK59" s="1"/>
      <c r="CL59" s="1"/>
      <c r="CM59" s="1"/>
      <c r="CN59" s="1"/>
      <c r="CO59" s="1"/>
      <c r="CP59" s="1"/>
      <c r="CQ59" s="1"/>
    </row>
    <row r="60" spans="1:95" x14ac:dyDescent="0.3">
      <c r="A60" s="13">
        <v>45931</v>
      </c>
      <c r="B60" s="1" t="s">
        <v>95</v>
      </c>
      <c r="C60" s="1" t="s">
        <v>96</v>
      </c>
      <c r="D60" s="1" t="s">
        <v>97</v>
      </c>
      <c r="E60" s="1">
        <v>2</v>
      </c>
      <c r="F60" s="1">
        <v>292</v>
      </c>
      <c r="G60" s="1">
        <v>59</v>
      </c>
      <c r="H60" s="1">
        <v>8</v>
      </c>
      <c r="I60" s="1"/>
      <c r="J60" s="1"/>
      <c r="K60" s="1"/>
      <c r="L60" s="1">
        <v>322</v>
      </c>
      <c r="M60" s="1">
        <v>61</v>
      </c>
      <c r="N60" s="1">
        <v>11</v>
      </c>
      <c r="O60" s="1"/>
      <c r="P60" s="1"/>
      <c r="Q60" s="1"/>
      <c r="R60" s="1">
        <v>302</v>
      </c>
      <c r="S60" s="1">
        <v>58</v>
      </c>
      <c r="T60" s="1">
        <v>11</v>
      </c>
      <c r="U60" s="1"/>
      <c r="V60" s="1"/>
      <c r="W60" s="1"/>
      <c r="X60" s="1">
        <v>320</v>
      </c>
      <c r="Y60" s="1">
        <v>62</v>
      </c>
      <c r="Z60" s="1">
        <v>10</v>
      </c>
      <c r="AA60" s="1"/>
      <c r="AB60" s="1"/>
      <c r="AC60" s="1"/>
      <c r="AD60" s="1">
        <v>285</v>
      </c>
      <c r="AE60" s="1">
        <v>55</v>
      </c>
      <c r="AF60" s="1">
        <v>9</v>
      </c>
      <c r="AG60" s="1"/>
      <c r="AH60" s="1"/>
      <c r="AI60" s="1"/>
      <c r="AJ60" s="1">
        <v>350</v>
      </c>
      <c r="AK60" s="1">
        <v>62</v>
      </c>
      <c r="AL60" s="1">
        <v>11</v>
      </c>
      <c r="AM60" s="1"/>
      <c r="AN60" s="1"/>
      <c r="AO60" s="1"/>
      <c r="AP60" s="1">
        <v>300</v>
      </c>
      <c r="AQ60" s="1">
        <v>52</v>
      </c>
      <c r="AR60" s="1">
        <v>9</v>
      </c>
      <c r="AS60" s="1"/>
      <c r="AT60" s="1"/>
      <c r="AU60" s="1"/>
      <c r="AV60" s="1">
        <v>312</v>
      </c>
      <c r="AW60" s="1">
        <v>56</v>
      </c>
      <c r="AX60" s="1">
        <v>9</v>
      </c>
      <c r="AY60" s="1"/>
      <c r="AZ60" s="1"/>
      <c r="BA60" s="1"/>
      <c r="BB60" s="1">
        <v>300</v>
      </c>
      <c r="BC60" s="1">
        <v>55</v>
      </c>
      <c r="BD60" s="1">
        <v>11</v>
      </c>
      <c r="BE60" s="1"/>
      <c r="BF60" s="1"/>
      <c r="BG60" s="1"/>
      <c r="BH60" s="1">
        <v>306</v>
      </c>
      <c r="BI60" s="1">
        <v>59</v>
      </c>
      <c r="BJ60" s="1">
        <v>12</v>
      </c>
      <c r="BK60" s="1"/>
      <c r="BL60" s="1"/>
      <c r="BM60" s="1"/>
      <c r="BN60" s="1">
        <v>305</v>
      </c>
      <c r="BO60" s="1">
        <v>58</v>
      </c>
      <c r="BP60" s="1">
        <v>11</v>
      </c>
      <c r="BQ60" s="1"/>
      <c r="BR60" s="1"/>
      <c r="BS60" s="1"/>
      <c r="BT60" s="1">
        <v>300</v>
      </c>
      <c r="BU60" s="1">
        <v>56</v>
      </c>
      <c r="BV60" s="1">
        <v>11</v>
      </c>
      <c r="BW60" s="1"/>
      <c r="BX60" s="1"/>
      <c r="BY60" s="1"/>
      <c r="BZ60" s="1">
        <v>312</v>
      </c>
      <c r="CA60" s="1">
        <v>61</v>
      </c>
      <c r="CB60" s="1">
        <v>12</v>
      </c>
      <c r="CC60" s="1"/>
      <c r="CD60" s="1"/>
      <c r="CE60" s="1"/>
      <c r="CF60" s="1">
        <v>255</v>
      </c>
      <c r="CG60" s="1">
        <v>50</v>
      </c>
      <c r="CH60" s="1">
        <v>11</v>
      </c>
      <c r="CI60" s="1"/>
      <c r="CJ60" s="1"/>
      <c r="CK60" s="1"/>
      <c r="CL60" s="1"/>
      <c r="CM60" s="1"/>
      <c r="CN60" s="1"/>
      <c r="CO60" s="1"/>
      <c r="CP60" s="1"/>
      <c r="CQ60" s="1"/>
    </row>
    <row r="61" spans="1:95" x14ac:dyDescent="0.3">
      <c r="A61" s="13">
        <v>45931</v>
      </c>
      <c r="B61" s="1" t="s">
        <v>95</v>
      </c>
      <c r="C61" s="1" t="s">
        <v>96</v>
      </c>
      <c r="D61" s="1" t="s">
        <v>99</v>
      </c>
      <c r="E61" s="1">
        <v>2</v>
      </c>
      <c r="F61" s="1">
        <v>345</v>
      </c>
      <c r="G61" s="1">
        <v>70</v>
      </c>
      <c r="H61" s="1">
        <v>14</v>
      </c>
      <c r="I61" s="1"/>
      <c r="J61" s="1"/>
      <c r="K61" s="1"/>
      <c r="L61" s="1">
        <v>300</v>
      </c>
      <c r="M61" s="1">
        <v>55</v>
      </c>
      <c r="N61" s="1">
        <v>11</v>
      </c>
      <c r="O61" s="1"/>
      <c r="P61" s="1"/>
      <c r="Q61" s="1"/>
      <c r="R61" s="1">
        <v>330</v>
      </c>
      <c r="S61" s="1">
        <v>59</v>
      </c>
      <c r="T61" s="1">
        <v>9</v>
      </c>
      <c r="U61" s="1"/>
      <c r="V61" s="1"/>
      <c r="W61" s="1"/>
      <c r="X61" s="1">
        <v>335</v>
      </c>
      <c r="Y61" s="1">
        <v>59</v>
      </c>
      <c r="Z61" s="1">
        <v>9</v>
      </c>
      <c r="AA61" s="1"/>
      <c r="AB61" s="1"/>
      <c r="AC61" s="1"/>
      <c r="AD61" s="1">
        <v>330</v>
      </c>
      <c r="AE61" s="1">
        <v>60</v>
      </c>
      <c r="AF61" s="1">
        <v>10</v>
      </c>
      <c r="AG61" s="1"/>
      <c r="AH61" s="1"/>
      <c r="AI61" s="1"/>
      <c r="AJ61" s="1">
        <v>320</v>
      </c>
      <c r="AK61" s="1">
        <v>57</v>
      </c>
      <c r="AL61" s="1">
        <v>11</v>
      </c>
      <c r="AM61" s="1"/>
      <c r="AN61" s="1"/>
      <c r="AO61" s="1"/>
      <c r="AP61" s="1">
        <v>353</v>
      </c>
      <c r="AQ61" s="1">
        <v>64</v>
      </c>
      <c r="AR61" s="1">
        <v>11</v>
      </c>
      <c r="AS61" s="1"/>
      <c r="AT61" s="1"/>
      <c r="AU61" s="1"/>
      <c r="AV61" s="1">
        <v>330</v>
      </c>
      <c r="AW61" s="1">
        <v>60</v>
      </c>
      <c r="AX61" s="1">
        <v>12</v>
      </c>
      <c r="AY61" s="1"/>
      <c r="AZ61" s="1"/>
      <c r="BA61" s="1"/>
      <c r="BB61" s="1">
        <v>327</v>
      </c>
      <c r="BC61" s="1">
        <v>65</v>
      </c>
      <c r="BD61" s="1">
        <v>11</v>
      </c>
      <c r="BE61" s="1"/>
      <c r="BF61" s="1"/>
      <c r="BG61" s="1"/>
      <c r="BH61" s="1">
        <v>314</v>
      </c>
      <c r="BI61" s="1">
        <v>64</v>
      </c>
      <c r="BJ61" s="1">
        <v>10</v>
      </c>
      <c r="BK61" s="1"/>
      <c r="BL61" s="1"/>
      <c r="BM61" s="1"/>
      <c r="BN61" s="1">
        <v>307</v>
      </c>
      <c r="BO61" s="1">
        <v>59</v>
      </c>
      <c r="BP61" s="1">
        <v>11</v>
      </c>
      <c r="BQ61" s="1"/>
      <c r="BR61" s="1"/>
      <c r="BS61" s="1"/>
      <c r="BT61" s="1">
        <v>260</v>
      </c>
      <c r="BU61" s="1">
        <v>49</v>
      </c>
      <c r="BV61" s="1">
        <v>10</v>
      </c>
      <c r="BW61" s="1"/>
      <c r="BX61" s="1"/>
      <c r="BY61" s="1"/>
      <c r="BZ61" s="1">
        <v>274</v>
      </c>
      <c r="CA61" s="1">
        <v>54</v>
      </c>
      <c r="CB61" s="1">
        <v>9</v>
      </c>
      <c r="CC61" s="1"/>
      <c r="CD61" s="1"/>
      <c r="CE61" s="1"/>
      <c r="CF61" s="1">
        <v>265</v>
      </c>
      <c r="CG61" s="1">
        <v>52</v>
      </c>
      <c r="CH61" s="1">
        <v>11</v>
      </c>
      <c r="CI61" s="1"/>
      <c r="CJ61" s="1"/>
      <c r="CK61" s="1"/>
      <c r="CL61" s="1"/>
      <c r="CM61" s="1"/>
      <c r="CN61" s="1"/>
      <c r="CO61" s="1"/>
      <c r="CP61" s="1"/>
      <c r="CQ61" s="1"/>
    </row>
    <row r="62" spans="1:95" x14ac:dyDescent="0.3">
      <c r="A62" s="13">
        <v>45931</v>
      </c>
      <c r="B62" s="1" t="s">
        <v>95</v>
      </c>
      <c r="C62" s="1" t="s">
        <v>96</v>
      </c>
      <c r="D62" s="1" t="s">
        <v>99</v>
      </c>
      <c r="E62" s="1">
        <v>1</v>
      </c>
      <c r="F62" s="1">
        <v>340</v>
      </c>
      <c r="G62" s="1">
        <v>65</v>
      </c>
      <c r="H62" s="1">
        <v>12</v>
      </c>
      <c r="I62" s="1"/>
      <c r="J62" s="1"/>
      <c r="K62" s="1"/>
      <c r="L62" s="1">
        <v>308</v>
      </c>
      <c r="M62" s="1">
        <v>60</v>
      </c>
      <c r="N62" s="1">
        <v>11</v>
      </c>
      <c r="O62" s="1"/>
      <c r="P62" s="1"/>
      <c r="Q62" s="1"/>
      <c r="R62" s="1">
        <v>355</v>
      </c>
      <c r="S62" s="1">
        <v>69</v>
      </c>
      <c r="T62" s="1">
        <v>12</v>
      </c>
      <c r="U62" s="1"/>
      <c r="V62" s="1"/>
      <c r="W62" s="1"/>
      <c r="X62" s="1">
        <v>320</v>
      </c>
      <c r="Y62" s="1">
        <v>62</v>
      </c>
      <c r="Z62" s="1">
        <v>11</v>
      </c>
      <c r="AA62" s="1"/>
      <c r="AB62" s="1"/>
      <c r="AC62" s="1"/>
      <c r="AD62" s="1">
        <v>370</v>
      </c>
      <c r="AE62" s="1">
        <v>68</v>
      </c>
      <c r="AF62" s="1">
        <v>12</v>
      </c>
      <c r="AG62" s="1"/>
      <c r="AH62" s="1"/>
      <c r="AI62" s="1"/>
      <c r="AJ62" s="1">
        <v>370</v>
      </c>
      <c r="AK62" s="1">
        <v>68</v>
      </c>
      <c r="AL62" s="1">
        <v>12</v>
      </c>
      <c r="AM62" s="1"/>
      <c r="AN62" s="1"/>
      <c r="AO62" s="1"/>
      <c r="AP62" s="1">
        <v>340</v>
      </c>
      <c r="AQ62" s="1">
        <v>62</v>
      </c>
      <c r="AR62" s="1">
        <v>11</v>
      </c>
      <c r="AS62" s="1"/>
      <c r="AT62" s="1"/>
      <c r="AU62" s="1"/>
      <c r="AV62" s="1">
        <v>326</v>
      </c>
      <c r="AW62" s="1">
        <v>62</v>
      </c>
      <c r="AX62" s="1">
        <v>11</v>
      </c>
      <c r="AY62" s="1"/>
      <c r="AZ62" s="1"/>
      <c r="BA62" s="1"/>
      <c r="BB62" s="1">
        <v>315</v>
      </c>
      <c r="BC62" s="1">
        <v>55</v>
      </c>
      <c r="BD62" s="1">
        <v>10</v>
      </c>
      <c r="BE62" s="1"/>
      <c r="BF62" s="1"/>
      <c r="BG62" s="1"/>
      <c r="BH62" s="1">
        <v>300</v>
      </c>
      <c r="BI62" s="1">
        <v>53</v>
      </c>
      <c r="BJ62" s="1">
        <v>12</v>
      </c>
      <c r="BK62" s="1"/>
      <c r="BL62" s="1"/>
      <c r="BM62" s="1"/>
      <c r="BN62" s="1">
        <v>300</v>
      </c>
      <c r="BO62" s="1">
        <v>53</v>
      </c>
      <c r="BP62" s="1">
        <v>10</v>
      </c>
      <c r="BQ62" s="1"/>
      <c r="BR62" s="1"/>
      <c r="BS62" s="1"/>
      <c r="BT62" s="1">
        <v>332</v>
      </c>
      <c r="BU62" s="1">
        <v>60</v>
      </c>
      <c r="BV62" s="1">
        <v>13</v>
      </c>
      <c r="BW62" s="1"/>
      <c r="BX62" s="1"/>
      <c r="BY62" s="1"/>
      <c r="BZ62" s="1">
        <v>345</v>
      </c>
      <c r="CA62" s="1">
        <v>67</v>
      </c>
      <c r="CB62" s="1">
        <v>12</v>
      </c>
      <c r="CC62" s="1"/>
      <c r="CD62" s="1"/>
      <c r="CE62" s="1"/>
      <c r="CF62" s="1">
        <v>333</v>
      </c>
      <c r="CG62" s="1">
        <v>63</v>
      </c>
      <c r="CH62" s="1">
        <v>12</v>
      </c>
      <c r="CI62" s="1"/>
      <c r="CJ62" s="1"/>
      <c r="CK62" s="1"/>
      <c r="CL62" s="1"/>
      <c r="CM62" s="1"/>
      <c r="CN62" s="1"/>
      <c r="CO62" s="1"/>
      <c r="CP62" s="1"/>
      <c r="CQ62" s="1"/>
    </row>
    <row r="63" spans="1:95" x14ac:dyDescent="0.3">
      <c r="A63" s="13">
        <v>45931</v>
      </c>
      <c r="B63" s="1" t="s">
        <v>100</v>
      </c>
      <c r="C63" s="1" t="s">
        <v>96</v>
      </c>
      <c r="D63" s="1" t="s">
        <v>101</v>
      </c>
      <c r="E63" s="1">
        <v>3</v>
      </c>
      <c r="F63" s="1">
        <v>325</v>
      </c>
      <c r="G63" s="1">
        <v>65</v>
      </c>
      <c r="H63" s="1">
        <v>12</v>
      </c>
      <c r="I63" s="1"/>
      <c r="J63" s="1"/>
      <c r="K63" s="1"/>
      <c r="L63" s="1">
        <v>290</v>
      </c>
      <c r="M63" s="1">
        <v>54</v>
      </c>
      <c r="N63" s="1">
        <v>12</v>
      </c>
      <c r="O63" s="1"/>
      <c r="P63" s="1"/>
      <c r="Q63" s="1"/>
      <c r="R63" s="1">
        <v>320</v>
      </c>
      <c r="S63" s="1">
        <v>65</v>
      </c>
      <c r="T63" s="1">
        <v>14</v>
      </c>
      <c r="U63" s="1"/>
      <c r="V63" s="1"/>
      <c r="W63" s="1"/>
      <c r="X63" s="1">
        <v>280</v>
      </c>
      <c r="Y63" s="1">
        <v>56</v>
      </c>
      <c r="Z63" s="1">
        <v>11</v>
      </c>
      <c r="AA63" s="1"/>
      <c r="AB63" s="1"/>
      <c r="AC63" s="1"/>
      <c r="AD63" s="1">
        <v>325</v>
      </c>
      <c r="AE63" s="1">
        <v>63</v>
      </c>
      <c r="AF63" s="1">
        <v>10</v>
      </c>
      <c r="AG63" s="1"/>
      <c r="AH63" s="1"/>
      <c r="AI63" s="1"/>
      <c r="AJ63" s="1">
        <v>280</v>
      </c>
      <c r="AK63" s="1">
        <v>53</v>
      </c>
      <c r="AL63" s="1">
        <v>10</v>
      </c>
      <c r="AM63" s="1"/>
      <c r="AN63" s="1"/>
      <c r="AO63" s="1"/>
      <c r="AP63" s="1">
        <v>330</v>
      </c>
      <c r="AQ63" s="1">
        <v>63</v>
      </c>
      <c r="AR63" s="1">
        <v>12</v>
      </c>
      <c r="AS63" s="1"/>
      <c r="AT63" s="1"/>
      <c r="AU63" s="1"/>
      <c r="AV63" s="1">
        <v>255</v>
      </c>
      <c r="AW63" s="1">
        <v>55</v>
      </c>
      <c r="AX63" s="1">
        <v>9</v>
      </c>
      <c r="AY63" s="1"/>
      <c r="AZ63" s="1"/>
      <c r="BA63" s="1"/>
      <c r="BB63" s="1">
        <v>330</v>
      </c>
      <c r="BC63" s="1">
        <v>67</v>
      </c>
      <c r="BD63" s="1">
        <v>12</v>
      </c>
      <c r="BE63" s="1"/>
      <c r="BF63" s="1"/>
      <c r="BG63" s="1"/>
      <c r="BH63" s="1">
        <v>290</v>
      </c>
      <c r="BI63" s="1">
        <v>55</v>
      </c>
      <c r="BJ63" s="1">
        <v>10</v>
      </c>
      <c r="BK63" s="1"/>
      <c r="BL63" s="1"/>
      <c r="BM63" s="1"/>
      <c r="BN63" s="1">
        <v>340</v>
      </c>
      <c r="BO63" s="1">
        <v>64</v>
      </c>
      <c r="BP63" s="1">
        <v>12</v>
      </c>
      <c r="BQ63" s="1"/>
      <c r="BR63" s="1"/>
      <c r="BS63" s="1"/>
      <c r="BT63" s="1">
        <v>345</v>
      </c>
      <c r="BU63" s="1">
        <v>70</v>
      </c>
      <c r="BV63" s="1">
        <v>13</v>
      </c>
      <c r="BW63" s="1"/>
      <c r="BX63" s="1"/>
      <c r="BY63" s="1"/>
      <c r="BZ63" s="1">
        <v>330</v>
      </c>
      <c r="CA63" s="1">
        <v>69</v>
      </c>
      <c r="CB63" s="1">
        <v>12</v>
      </c>
      <c r="CC63" s="1"/>
      <c r="CD63" s="1"/>
      <c r="CE63" s="1"/>
      <c r="CF63" s="1">
        <v>335</v>
      </c>
      <c r="CG63" s="1">
        <v>60</v>
      </c>
      <c r="CH63" s="1">
        <v>10</v>
      </c>
      <c r="CI63" s="1"/>
      <c r="CJ63" s="1"/>
      <c r="CK63" s="1"/>
      <c r="CL63" s="1"/>
      <c r="CM63" s="1"/>
      <c r="CN63" s="1"/>
      <c r="CO63" s="1"/>
      <c r="CP63" s="1"/>
      <c r="CQ63" s="1"/>
    </row>
    <row r="64" spans="1:95" x14ac:dyDescent="0.3">
      <c r="A64" s="13">
        <v>45931</v>
      </c>
      <c r="B64" s="1" t="s">
        <v>100</v>
      </c>
      <c r="C64" s="1" t="s">
        <v>96</v>
      </c>
      <c r="D64" s="1" t="s">
        <v>109</v>
      </c>
      <c r="E64" s="1">
        <v>3</v>
      </c>
      <c r="F64" s="1">
        <v>368</v>
      </c>
      <c r="G64" s="1">
        <v>72</v>
      </c>
      <c r="H64" s="1">
        <v>15</v>
      </c>
      <c r="I64" s="1"/>
      <c r="J64" s="1"/>
      <c r="K64" s="1"/>
      <c r="L64" s="1">
        <v>335</v>
      </c>
      <c r="M64" s="1">
        <v>59</v>
      </c>
      <c r="N64" s="1">
        <v>14</v>
      </c>
      <c r="O64" s="1"/>
      <c r="P64" s="1"/>
      <c r="Q64" s="1"/>
      <c r="R64" s="1">
        <v>330</v>
      </c>
      <c r="S64" s="1">
        <v>65</v>
      </c>
      <c r="T64" s="1">
        <v>12</v>
      </c>
      <c r="U64" s="1"/>
      <c r="V64" s="1"/>
      <c r="W64" s="1"/>
      <c r="X64" s="1">
        <v>340</v>
      </c>
      <c r="Y64" s="1">
        <v>70</v>
      </c>
      <c r="Z64" s="1">
        <v>14</v>
      </c>
      <c r="AA64" s="1"/>
      <c r="AB64" s="1"/>
      <c r="AC64" s="1" t="s">
        <v>122</v>
      </c>
      <c r="AD64" s="1">
        <v>340</v>
      </c>
      <c r="AE64" s="1">
        <v>64</v>
      </c>
      <c r="AF64" s="1">
        <v>12</v>
      </c>
      <c r="AG64" s="1"/>
      <c r="AH64" s="1"/>
      <c r="AI64" s="1" t="s">
        <v>122</v>
      </c>
      <c r="AJ64" s="1">
        <v>300</v>
      </c>
      <c r="AK64" s="1">
        <v>59</v>
      </c>
      <c r="AL64" s="1">
        <v>12</v>
      </c>
      <c r="AM64" s="1"/>
      <c r="AN64" s="1"/>
      <c r="AO64" s="1"/>
      <c r="AP64" s="1">
        <v>338</v>
      </c>
      <c r="AQ64" s="1">
        <v>64</v>
      </c>
      <c r="AR64" s="1">
        <v>13</v>
      </c>
      <c r="AS64" s="1"/>
      <c r="AT64" s="1"/>
      <c r="AU64" s="1" t="s">
        <v>123</v>
      </c>
      <c r="AV64" s="1">
        <v>350</v>
      </c>
      <c r="AW64" s="1">
        <v>69</v>
      </c>
      <c r="AX64" s="1">
        <v>11</v>
      </c>
      <c r="AY64" s="1"/>
      <c r="AZ64" s="1"/>
      <c r="BA64" s="1"/>
      <c r="BB64" s="1">
        <v>351</v>
      </c>
      <c r="BC64" s="1">
        <v>69</v>
      </c>
      <c r="BD64" s="1">
        <v>13</v>
      </c>
      <c r="BE64" s="1"/>
      <c r="BF64" s="1"/>
      <c r="BG64" s="1"/>
      <c r="BH64" s="1">
        <v>275</v>
      </c>
      <c r="BI64" s="1">
        <v>52</v>
      </c>
      <c r="BJ64" s="1">
        <v>10</v>
      </c>
      <c r="BK64" s="1"/>
      <c r="BL64" s="1"/>
      <c r="BM64" s="1"/>
      <c r="BN64" s="1">
        <v>340</v>
      </c>
      <c r="BO64" s="1">
        <v>65</v>
      </c>
      <c r="BP64" s="1">
        <v>12</v>
      </c>
      <c r="BQ64" s="1"/>
      <c r="BR64" s="1"/>
      <c r="BS64" s="1"/>
      <c r="BT64" s="1">
        <v>335</v>
      </c>
      <c r="BU64" s="1">
        <v>64</v>
      </c>
      <c r="BV64" s="1">
        <v>11</v>
      </c>
      <c r="BW64" s="1"/>
      <c r="BX64" s="1"/>
      <c r="BY64" s="1"/>
      <c r="BZ64" s="1">
        <v>356</v>
      </c>
      <c r="CA64" s="1">
        <v>68</v>
      </c>
      <c r="CB64" s="1">
        <v>13</v>
      </c>
      <c r="CC64" s="1"/>
      <c r="CD64" s="1"/>
      <c r="CE64" s="1"/>
      <c r="CF64" s="1">
        <v>350</v>
      </c>
      <c r="CG64" s="1">
        <v>69</v>
      </c>
      <c r="CH64" s="1">
        <v>13</v>
      </c>
      <c r="CI64" s="1"/>
      <c r="CJ64" s="1"/>
      <c r="CK64" s="1" t="s">
        <v>122</v>
      </c>
      <c r="CL64" s="1"/>
      <c r="CM64" s="1"/>
      <c r="CN64" s="1"/>
      <c r="CO64" s="1"/>
      <c r="CP64" s="1"/>
      <c r="CQ64" s="1"/>
    </row>
    <row r="65" spans="1:95" x14ac:dyDescent="0.3">
      <c r="A65" s="13">
        <v>45931</v>
      </c>
      <c r="B65" s="1" t="s">
        <v>100</v>
      </c>
      <c r="C65" s="1" t="s">
        <v>96</v>
      </c>
      <c r="D65" s="1" t="s">
        <v>101</v>
      </c>
      <c r="E65" s="1">
        <v>2</v>
      </c>
      <c r="F65" s="1">
        <v>280</v>
      </c>
      <c r="G65" s="1">
        <v>51</v>
      </c>
      <c r="H65" s="1">
        <v>12</v>
      </c>
      <c r="I65" s="1"/>
      <c r="J65" s="1"/>
      <c r="K65" s="1"/>
      <c r="L65" s="1">
        <v>320</v>
      </c>
      <c r="M65" s="1">
        <v>62</v>
      </c>
      <c r="N65" s="1">
        <v>13</v>
      </c>
      <c r="O65" s="1"/>
      <c r="P65" s="1"/>
      <c r="Q65" s="1"/>
      <c r="R65" s="1">
        <v>270</v>
      </c>
      <c r="S65" s="1">
        <v>49</v>
      </c>
      <c r="T65" s="1">
        <v>11</v>
      </c>
      <c r="U65" s="1"/>
      <c r="V65" s="1"/>
      <c r="W65" s="1"/>
      <c r="X65" s="1">
        <v>260</v>
      </c>
      <c r="Y65" s="1">
        <v>54</v>
      </c>
      <c r="Z65" s="1">
        <v>9</v>
      </c>
      <c r="AA65" s="1"/>
      <c r="AB65" s="1"/>
      <c r="AC65" s="1"/>
      <c r="AD65" s="1">
        <v>270</v>
      </c>
      <c r="AE65" s="1">
        <v>51</v>
      </c>
      <c r="AF65" s="1">
        <v>12</v>
      </c>
      <c r="AG65" s="1"/>
      <c r="AH65" s="1"/>
      <c r="AI65" s="1"/>
      <c r="AJ65" s="1">
        <v>270</v>
      </c>
      <c r="AK65" s="1">
        <v>51</v>
      </c>
      <c r="AL65" s="1">
        <v>10</v>
      </c>
      <c r="AM65" s="1"/>
      <c r="AN65" s="1"/>
      <c r="AO65" s="1"/>
      <c r="AP65" s="1">
        <v>290</v>
      </c>
      <c r="AQ65" s="1">
        <v>55</v>
      </c>
      <c r="AR65" s="1">
        <v>13</v>
      </c>
      <c r="AS65" s="1"/>
      <c r="AT65" s="1"/>
      <c r="AU65" s="1"/>
      <c r="AV65" s="1">
        <v>305</v>
      </c>
      <c r="AW65" s="1">
        <v>57</v>
      </c>
      <c r="AX65" s="1">
        <v>12</v>
      </c>
      <c r="AY65" s="1"/>
      <c r="AZ65" s="1"/>
      <c r="BA65" s="1"/>
      <c r="BB65" s="1">
        <v>310</v>
      </c>
      <c r="BC65" s="1">
        <v>58</v>
      </c>
      <c r="BD65" s="1">
        <v>10</v>
      </c>
      <c r="BE65" s="1"/>
      <c r="BF65" s="1"/>
      <c r="BG65" s="1"/>
      <c r="BH65" s="1">
        <v>260</v>
      </c>
      <c r="BI65" s="1">
        <v>53</v>
      </c>
      <c r="BJ65" s="1">
        <v>10</v>
      </c>
      <c r="BK65" s="1"/>
      <c r="BL65" s="1"/>
      <c r="BM65" s="1"/>
      <c r="BN65" s="1">
        <v>285</v>
      </c>
      <c r="BO65" s="1">
        <v>56</v>
      </c>
      <c r="BP65" s="1">
        <v>11</v>
      </c>
      <c r="BQ65" s="1"/>
      <c r="BR65" s="1"/>
      <c r="BS65" s="1"/>
      <c r="BT65" s="1">
        <v>310</v>
      </c>
      <c r="BU65" s="1">
        <v>58</v>
      </c>
      <c r="BV65" s="1">
        <v>9</v>
      </c>
      <c r="BW65" s="1"/>
      <c r="BX65" s="1"/>
      <c r="BY65" s="1"/>
      <c r="BZ65" s="1">
        <v>330</v>
      </c>
      <c r="CA65" s="1">
        <v>68</v>
      </c>
      <c r="CB65" s="1">
        <v>12</v>
      </c>
      <c r="CC65" s="1"/>
      <c r="CD65" s="1"/>
      <c r="CE65" s="1"/>
      <c r="CF65" s="1">
        <v>320</v>
      </c>
      <c r="CG65" s="1">
        <v>62</v>
      </c>
      <c r="CH65" s="1">
        <v>12</v>
      </c>
      <c r="CI65" s="1"/>
      <c r="CJ65" s="1"/>
      <c r="CK65" s="1"/>
      <c r="CL65" s="1"/>
      <c r="CM65" s="1"/>
      <c r="CN65" s="1"/>
      <c r="CO65" s="1"/>
      <c r="CP65" s="1"/>
      <c r="CQ65" s="1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B4BAD-93E4-4583-AF81-B7C264830EA1}">
  <dimension ref="A1:S337"/>
  <sheetViews>
    <sheetView workbookViewId="0">
      <selection activeCell="F14" sqref="F14"/>
    </sheetView>
  </sheetViews>
  <sheetFormatPr baseColWidth="10" defaultRowHeight="14.4" x14ac:dyDescent="0.3"/>
  <cols>
    <col min="1" max="16384" width="11.5546875" style="3"/>
  </cols>
  <sheetData>
    <row r="1" spans="1:19" ht="43.2" x14ac:dyDescent="0.3">
      <c r="A1" s="16" t="s">
        <v>161</v>
      </c>
      <c r="B1" s="17" t="s">
        <v>162</v>
      </c>
      <c r="C1" s="18" t="s">
        <v>163</v>
      </c>
      <c r="D1" s="18" t="s">
        <v>164</v>
      </c>
      <c r="E1" s="18" t="s">
        <v>165</v>
      </c>
      <c r="F1" s="18" t="s">
        <v>166</v>
      </c>
      <c r="G1" s="18" t="s">
        <v>167</v>
      </c>
      <c r="H1" s="18" t="s">
        <v>168</v>
      </c>
      <c r="I1" s="18" t="s">
        <v>169</v>
      </c>
      <c r="J1" s="19" t="s">
        <v>124</v>
      </c>
      <c r="K1" s="20" t="s">
        <v>125</v>
      </c>
      <c r="L1" s="18" t="s">
        <v>126</v>
      </c>
      <c r="M1" s="18" t="s">
        <v>127</v>
      </c>
      <c r="N1" s="18" t="s">
        <v>128</v>
      </c>
      <c r="O1" s="18" t="s">
        <v>129</v>
      </c>
      <c r="P1" s="18" t="s">
        <v>130</v>
      </c>
      <c r="Q1" s="18" t="s">
        <v>131</v>
      </c>
      <c r="R1" s="19" t="s">
        <v>132</v>
      </c>
      <c r="S1" s="19" t="s">
        <v>133</v>
      </c>
    </row>
    <row r="2" spans="1:19" x14ac:dyDescent="0.3">
      <c r="A2" s="1" t="s">
        <v>96</v>
      </c>
      <c r="B2" s="21" t="s">
        <v>172</v>
      </c>
      <c r="C2" s="21">
        <v>2</v>
      </c>
      <c r="D2" s="4">
        <v>1</v>
      </c>
      <c r="E2" s="1">
        <v>300</v>
      </c>
      <c r="F2" s="1">
        <v>59</v>
      </c>
      <c r="G2" s="1">
        <v>10</v>
      </c>
      <c r="H2" s="1">
        <v>76</v>
      </c>
      <c r="I2" s="1" t="s">
        <v>181</v>
      </c>
      <c r="J2" s="1">
        <v>1</v>
      </c>
      <c r="K2" s="1">
        <v>10</v>
      </c>
      <c r="L2" s="1"/>
      <c r="M2" s="1"/>
      <c r="N2" s="1"/>
      <c r="O2" s="1"/>
      <c r="P2" s="1"/>
      <c r="Q2" s="1"/>
      <c r="R2" s="1"/>
      <c r="S2" s="1"/>
    </row>
    <row r="3" spans="1:19" x14ac:dyDescent="0.3">
      <c r="A3" s="1" t="s">
        <v>96</v>
      </c>
      <c r="B3" s="21" t="s">
        <v>172</v>
      </c>
      <c r="C3" s="21">
        <v>2</v>
      </c>
      <c r="D3" s="4">
        <v>2</v>
      </c>
      <c r="E3" s="1">
        <v>340</v>
      </c>
      <c r="F3" s="1">
        <v>70</v>
      </c>
      <c r="G3" s="1">
        <v>14</v>
      </c>
      <c r="H3" s="1">
        <v>120</v>
      </c>
      <c r="I3" s="1" t="s">
        <v>173</v>
      </c>
      <c r="J3" s="1">
        <v>47</v>
      </c>
      <c r="K3" s="1">
        <v>5</v>
      </c>
      <c r="L3" s="1">
        <v>11</v>
      </c>
      <c r="M3" s="1">
        <v>184</v>
      </c>
      <c r="N3" s="1">
        <v>6</v>
      </c>
      <c r="O3" s="1">
        <v>48</v>
      </c>
      <c r="P3" s="1">
        <v>38</v>
      </c>
      <c r="Q3" s="1">
        <v>8</v>
      </c>
      <c r="R3" s="1">
        <v>8.1999999999999993</v>
      </c>
      <c r="S3" s="22">
        <f>2.4*0.96*0.8*N3*0.662</f>
        <v>7.3211904000000008</v>
      </c>
    </row>
    <row r="4" spans="1:19" x14ac:dyDescent="0.3">
      <c r="A4" s="1" t="s">
        <v>96</v>
      </c>
      <c r="B4" s="21" t="s">
        <v>172</v>
      </c>
      <c r="C4" s="21">
        <v>2</v>
      </c>
      <c r="D4" s="4">
        <v>3</v>
      </c>
      <c r="E4" s="1">
        <v>330</v>
      </c>
      <c r="F4" s="1">
        <v>63</v>
      </c>
      <c r="G4" s="1">
        <v>11</v>
      </c>
      <c r="H4" s="1">
        <v>138</v>
      </c>
      <c r="I4" s="1" t="s">
        <v>174</v>
      </c>
      <c r="J4" s="1">
        <v>42</v>
      </c>
      <c r="K4" s="1">
        <v>52</v>
      </c>
      <c r="L4" s="1">
        <v>11</v>
      </c>
      <c r="M4" s="1">
        <v>160</v>
      </c>
      <c r="N4" s="1">
        <v>7</v>
      </c>
      <c r="O4" s="1">
        <v>42</v>
      </c>
      <c r="P4" s="1">
        <v>39</v>
      </c>
      <c r="Q4" s="1">
        <v>7</v>
      </c>
      <c r="R4" s="1">
        <v>8</v>
      </c>
      <c r="S4" s="22">
        <f>2.1*0.8*0.8*N4*0.662</f>
        <v>6.2280960000000007</v>
      </c>
    </row>
    <row r="5" spans="1:19" x14ac:dyDescent="0.3">
      <c r="A5" s="1" t="s">
        <v>96</v>
      </c>
      <c r="B5" s="21" t="s">
        <v>172</v>
      </c>
      <c r="C5" s="21">
        <v>2</v>
      </c>
      <c r="D5" s="4">
        <v>4</v>
      </c>
      <c r="E5" s="1">
        <v>265</v>
      </c>
      <c r="F5" s="1">
        <v>55</v>
      </c>
      <c r="G5" s="1">
        <v>11</v>
      </c>
      <c r="H5" s="1">
        <v>96</v>
      </c>
      <c r="I5" s="1" t="s">
        <v>179</v>
      </c>
      <c r="J5" s="1">
        <v>49</v>
      </c>
      <c r="K5" s="1">
        <v>7</v>
      </c>
      <c r="L5" s="1"/>
      <c r="M5" s="1"/>
      <c r="N5" s="1"/>
      <c r="O5" s="1"/>
      <c r="P5" s="1"/>
      <c r="Q5" s="1"/>
      <c r="R5" s="1"/>
      <c r="S5" s="22"/>
    </row>
    <row r="6" spans="1:19" x14ac:dyDescent="0.3">
      <c r="A6" s="1" t="s">
        <v>96</v>
      </c>
      <c r="B6" s="21" t="s">
        <v>172</v>
      </c>
      <c r="C6" s="21">
        <v>2</v>
      </c>
      <c r="D6" s="4">
        <v>5</v>
      </c>
      <c r="E6" s="1">
        <v>275</v>
      </c>
      <c r="F6" s="1">
        <v>54</v>
      </c>
      <c r="G6" s="1">
        <v>10</v>
      </c>
      <c r="H6" s="1">
        <v>90</v>
      </c>
      <c r="I6" s="1" t="s">
        <v>175</v>
      </c>
      <c r="J6" s="1">
        <v>51</v>
      </c>
      <c r="K6" s="1">
        <v>9</v>
      </c>
      <c r="L6" s="1"/>
      <c r="M6" s="1"/>
      <c r="N6" s="1"/>
      <c r="O6" s="1"/>
      <c r="P6" s="1"/>
      <c r="Q6" s="1"/>
      <c r="R6" s="1"/>
      <c r="S6" s="22"/>
    </row>
    <row r="7" spans="1:19" x14ac:dyDescent="0.3">
      <c r="A7" s="1" t="s">
        <v>96</v>
      </c>
      <c r="B7" s="21" t="s">
        <v>172</v>
      </c>
      <c r="C7" s="21">
        <v>2</v>
      </c>
      <c r="D7" s="4">
        <v>6</v>
      </c>
      <c r="E7" s="1">
        <v>270</v>
      </c>
      <c r="F7" s="1">
        <v>56</v>
      </c>
      <c r="G7" s="1">
        <v>10</v>
      </c>
      <c r="H7" s="1">
        <v>68</v>
      </c>
      <c r="I7" s="1" t="s">
        <v>181</v>
      </c>
      <c r="J7" s="1">
        <v>1</v>
      </c>
      <c r="K7" s="1">
        <v>10</v>
      </c>
      <c r="L7" s="1"/>
      <c r="M7" s="1"/>
      <c r="N7" s="1"/>
      <c r="O7" s="1"/>
      <c r="P7" s="1"/>
      <c r="Q7" s="1"/>
      <c r="R7" s="1"/>
      <c r="S7" s="22"/>
    </row>
    <row r="8" spans="1:19" x14ac:dyDescent="0.3">
      <c r="A8" s="1" t="s">
        <v>96</v>
      </c>
      <c r="B8" s="21" t="s">
        <v>172</v>
      </c>
      <c r="C8" s="21">
        <v>2</v>
      </c>
      <c r="D8" s="4">
        <v>7</v>
      </c>
      <c r="E8" s="1">
        <v>310</v>
      </c>
      <c r="F8" s="1">
        <v>65</v>
      </c>
      <c r="G8" s="1">
        <v>11</v>
      </c>
      <c r="H8" s="1">
        <v>153</v>
      </c>
      <c r="I8" s="1" t="s">
        <v>175</v>
      </c>
      <c r="J8" s="1">
        <v>51</v>
      </c>
      <c r="K8" s="1">
        <v>9</v>
      </c>
      <c r="L8" s="1"/>
      <c r="M8" s="1"/>
      <c r="N8" s="1"/>
      <c r="O8" s="1"/>
      <c r="P8" s="1"/>
      <c r="Q8" s="1"/>
      <c r="R8" s="23"/>
      <c r="S8" s="22"/>
    </row>
    <row r="9" spans="1:19" x14ac:dyDescent="0.3">
      <c r="A9" s="1" t="s">
        <v>96</v>
      </c>
      <c r="B9" s="21" t="s">
        <v>172</v>
      </c>
      <c r="C9" s="21">
        <v>2</v>
      </c>
      <c r="D9" s="4">
        <v>8</v>
      </c>
      <c r="E9" s="1">
        <v>300</v>
      </c>
      <c r="F9" s="1">
        <v>59</v>
      </c>
      <c r="G9" s="1">
        <v>13</v>
      </c>
      <c r="H9" s="1">
        <v>122</v>
      </c>
      <c r="I9" s="1" t="s">
        <v>173</v>
      </c>
      <c r="J9" s="1">
        <v>47</v>
      </c>
      <c r="K9" s="1">
        <v>5</v>
      </c>
      <c r="L9" s="1">
        <v>12</v>
      </c>
      <c r="M9" s="1">
        <v>167</v>
      </c>
      <c r="N9" s="1">
        <v>5</v>
      </c>
      <c r="O9" s="1">
        <v>27</v>
      </c>
      <c r="P9" s="1">
        <v>37</v>
      </c>
      <c r="Q9" s="1">
        <v>6</v>
      </c>
      <c r="R9" s="1">
        <v>7.2</v>
      </c>
      <c r="S9" s="22">
        <f>1.95*0.82*0.8*N9*0.662</f>
        <v>4.2341520000000008</v>
      </c>
    </row>
    <row r="10" spans="1:19" x14ac:dyDescent="0.3">
      <c r="A10" s="1" t="s">
        <v>96</v>
      </c>
      <c r="B10" s="21" t="s">
        <v>172</v>
      </c>
      <c r="C10" s="21">
        <v>2</v>
      </c>
      <c r="D10" s="4">
        <v>9</v>
      </c>
      <c r="E10" s="1">
        <v>300</v>
      </c>
      <c r="F10" s="1">
        <v>64</v>
      </c>
      <c r="G10" s="1">
        <v>11</v>
      </c>
      <c r="H10" s="1">
        <v>87</v>
      </c>
      <c r="I10" s="1" t="s">
        <v>174</v>
      </c>
      <c r="J10" s="1">
        <v>50</v>
      </c>
      <c r="K10" s="1">
        <v>8</v>
      </c>
      <c r="L10" s="1"/>
      <c r="M10" s="1"/>
      <c r="N10" s="1"/>
      <c r="O10" s="1"/>
      <c r="P10" s="1"/>
      <c r="Q10" s="1"/>
      <c r="R10" s="1"/>
      <c r="S10" s="22"/>
    </row>
    <row r="11" spans="1:19" x14ac:dyDescent="0.3">
      <c r="A11" s="1" t="s">
        <v>96</v>
      </c>
      <c r="B11" s="21" t="s">
        <v>172</v>
      </c>
      <c r="C11" s="21">
        <v>2</v>
      </c>
      <c r="D11" s="4">
        <v>10</v>
      </c>
      <c r="E11" s="1">
        <v>272</v>
      </c>
      <c r="F11" s="1">
        <v>56</v>
      </c>
      <c r="G11" s="1">
        <v>12</v>
      </c>
      <c r="H11" s="1">
        <v>70</v>
      </c>
      <c r="I11" s="1" t="s">
        <v>175</v>
      </c>
      <c r="J11" s="1">
        <v>51</v>
      </c>
      <c r="K11" s="1">
        <v>9</v>
      </c>
      <c r="L11" s="1"/>
      <c r="M11" s="1"/>
      <c r="N11" s="1"/>
      <c r="O11" s="1"/>
      <c r="P11" s="1"/>
      <c r="Q11" s="1"/>
      <c r="R11" s="1"/>
      <c r="S11" s="22"/>
    </row>
    <row r="12" spans="1:19" x14ac:dyDescent="0.3">
      <c r="A12" s="1" t="s">
        <v>96</v>
      </c>
      <c r="B12" s="21" t="s">
        <v>172</v>
      </c>
      <c r="C12" s="21">
        <v>2</v>
      </c>
      <c r="D12" s="4">
        <v>11</v>
      </c>
      <c r="E12" s="1">
        <v>290</v>
      </c>
      <c r="F12" s="1">
        <v>57</v>
      </c>
      <c r="G12" s="1">
        <v>12</v>
      </c>
      <c r="H12" s="1">
        <v>80</v>
      </c>
      <c r="I12" s="1" t="s">
        <v>174</v>
      </c>
      <c r="J12" s="1">
        <v>42</v>
      </c>
      <c r="K12" s="1">
        <v>52</v>
      </c>
      <c r="L12" s="1">
        <v>11</v>
      </c>
      <c r="M12" s="1">
        <v>150</v>
      </c>
      <c r="N12" s="1">
        <v>6</v>
      </c>
      <c r="O12" s="1">
        <v>37</v>
      </c>
      <c r="P12" s="1">
        <v>39</v>
      </c>
      <c r="Q12" s="1">
        <v>6</v>
      </c>
      <c r="R12" s="1">
        <v>7.8</v>
      </c>
      <c r="S12" s="22">
        <f>2.1*0.8*0.8*N12*0.662</f>
        <v>5.3383680000000018</v>
      </c>
    </row>
    <row r="13" spans="1:19" x14ac:dyDescent="0.3">
      <c r="A13" s="1" t="s">
        <v>96</v>
      </c>
      <c r="B13" s="21" t="s">
        <v>172</v>
      </c>
      <c r="C13" s="21">
        <v>2</v>
      </c>
      <c r="D13" s="4">
        <v>12</v>
      </c>
      <c r="E13" s="1">
        <v>330</v>
      </c>
      <c r="F13" s="1">
        <v>65</v>
      </c>
      <c r="G13" s="1">
        <v>13</v>
      </c>
      <c r="H13" s="1">
        <v>95</v>
      </c>
      <c r="I13" s="1" t="s">
        <v>174</v>
      </c>
      <c r="J13" s="1">
        <v>50</v>
      </c>
      <c r="K13" s="1">
        <v>8</v>
      </c>
      <c r="L13" s="1"/>
      <c r="M13" s="1"/>
      <c r="N13" s="1"/>
      <c r="O13" s="1"/>
      <c r="P13" s="1"/>
      <c r="Q13" s="1"/>
      <c r="R13" s="1"/>
      <c r="S13" s="22"/>
    </row>
    <row r="14" spans="1:19" x14ac:dyDescent="0.3">
      <c r="A14" s="1" t="s">
        <v>96</v>
      </c>
      <c r="B14" s="21" t="s">
        <v>172</v>
      </c>
      <c r="C14" s="21">
        <v>2</v>
      </c>
      <c r="D14" s="4">
        <v>13</v>
      </c>
      <c r="E14" s="1">
        <v>354</v>
      </c>
      <c r="F14" s="1">
        <v>70</v>
      </c>
      <c r="G14" s="1">
        <v>11</v>
      </c>
      <c r="H14" s="1">
        <v>172</v>
      </c>
      <c r="I14" s="1" t="s">
        <v>175</v>
      </c>
      <c r="J14" s="1">
        <v>43</v>
      </c>
      <c r="K14" s="1">
        <v>1</v>
      </c>
      <c r="L14" s="1">
        <v>11</v>
      </c>
      <c r="M14" s="1">
        <v>230</v>
      </c>
      <c r="N14" s="1">
        <v>6</v>
      </c>
      <c r="O14" s="1">
        <v>51</v>
      </c>
      <c r="P14" s="1">
        <v>39</v>
      </c>
      <c r="Q14" s="1">
        <v>8</v>
      </c>
      <c r="R14" s="1">
        <v>7.6</v>
      </c>
      <c r="S14" s="22">
        <f>2.25*0.86*0.8*N14*0.662</f>
        <v>6.1486560000000008</v>
      </c>
    </row>
    <row r="15" spans="1:19" x14ac:dyDescent="0.3">
      <c r="A15" s="1" t="s">
        <v>96</v>
      </c>
      <c r="B15" s="21" t="s">
        <v>172</v>
      </c>
      <c r="C15" s="21">
        <v>2</v>
      </c>
      <c r="D15" s="4">
        <v>14</v>
      </c>
      <c r="E15" s="1">
        <v>340</v>
      </c>
      <c r="F15" s="1">
        <v>63</v>
      </c>
      <c r="G15" s="1">
        <v>13</v>
      </c>
      <c r="H15" s="1">
        <v>155</v>
      </c>
      <c r="I15" s="1" t="s">
        <v>176</v>
      </c>
      <c r="J15" s="1">
        <v>45</v>
      </c>
      <c r="K15" s="1">
        <v>3</v>
      </c>
      <c r="L15" s="1">
        <v>11</v>
      </c>
      <c r="M15" s="1">
        <v>215</v>
      </c>
      <c r="N15" s="1">
        <v>5</v>
      </c>
      <c r="O15" s="1">
        <v>43</v>
      </c>
      <c r="P15" s="1">
        <v>39</v>
      </c>
      <c r="Q15" s="1">
        <v>7</v>
      </c>
      <c r="R15" s="1">
        <v>8</v>
      </c>
      <c r="S15" s="22">
        <f>2.5*0.93*0.8*N15*0.662</f>
        <v>6.156600000000001</v>
      </c>
    </row>
    <row r="16" spans="1:19" x14ac:dyDescent="0.3">
      <c r="A16" s="1" t="s">
        <v>96</v>
      </c>
      <c r="B16" s="21" t="s">
        <v>97</v>
      </c>
      <c r="C16" s="24">
        <v>1</v>
      </c>
      <c r="D16" s="4">
        <v>1</v>
      </c>
      <c r="E16" s="1">
        <v>308</v>
      </c>
      <c r="F16" s="1">
        <v>61</v>
      </c>
      <c r="G16" s="1">
        <v>13</v>
      </c>
      <c r="H16" s="1">
        <v>95</v>
      </c>
      <c r="I16" s="1" t="s">
        <v>180</v>
      </c>
      <c r="J16" s="1">
        <v>48</v>
      </c>
      <c r="K16" s="1">
        <v>6</v>
      </c>
      <c r="L16" s="1"/>
      <c r="M16" s="1"/>
      <c r="N16" s="1"/>
      <c r="O16" s="1"/>
      <c r="P16" s="1"/>
      <c r="Q16" s="1"/>
      <c r="R16" s="1"/>
      <c r="S16" s="22"/>
    </row>
    <row r="17" spans="1:19" x14ac:dyDescent="0.3">
      <c r="A17" s="1" t="s">
        <v>96</v>
      </c>
      <c r="B17" s="21" t="s">
        <v>97</v>
      </c>
      <c r="C17" s="24">
        <v>1</v>
      </c>
      <c r="D17" s="4">
        <v>2</v>
      </c>
      <c r="E17" s="1">
        <v>370</v>
      </c>
      <c r="F17" s="1">
        <v>71</v>
      </c>
      <c r="G17" s="1">
        <v>14</v>
      </c>
      <c r="H17" s="1">
        <v>153</v>
      </c>
      <c r="I17" s="1" t="s">
        <v>183</v>
      </c>
      <c r="J17" s="1">
        <v>44</v>
      </c>
      <c r="K17" s="1">
        <v>2</v>
      </c>
      <c r="L17" s="1">
        <v>11</v>
      </c>
      <c r="M17" s="1">
        <v>245</v>
      </c>
      <c r="N17" s="1">
        <v>6</v>
      </c>
      <c r="O17" s="1">
        <v>51.5</v>
      </c>
      <c r="P17" s="1">
        <v>39</v>
      </c>
      <c r="Q17" s="1">
        <v>8</v>
      </c>
      <c r="R17" s="1">
        <v>8.1999999999999993</v>
      </c>
      <c r="S17" s="22">
        <f>2.48*0.84*0.8*N17*0.662</f>
        <v>6.6195763200000002</v>
      </c>
    </row>
    <row r="18" spans="1:19" x14ac:dyDescent="0.3">
      <c r="A18" s="1" t="s">
        <v>96</v>
      </c>
      <c r="B18" s="21" t="s">
        <v>97</v>
      </c>
      <c r="C18" s="24">
        <v>1</v>
      </c>
      <c r="D18" s="4">
        <v>3</v>
      </c>
      <c r="E18" s="1">
        <v>300</v>
      </c>
      <c r="F18" s="1">
        <v>60</v>
      </c>
      <c r="G18" s="1">
        <v>12</v>
      </c>
      <c r="H18" s="1">
        <v>90</v>
      </c>
      <c r="I18" s="1" t="s">
        <v>180</v>
      </c>
      <c r="J18" s="1">
        <v>48</v>
      </c>
      <c r="K18" s="1">
        <v>6</v>
      </c>
      <c r="L18" s="1"/>
      <c r="M18" s="1"/>
      <c r="N18" s="1"/>
      <c r="O18" s="1"/>
      <c r="P18" s="1"/>
      <c r="Q18" s="1"/>
      <c r="R18" s="1"/>
      <c r="S18" s="22"/>
    </row>
    <row r="19" spans="1:19" x14ac:dyDescent="0.3">
      <c r="A19" s="1" t="s">
        <v>96</v>
      </c>
      <c r="B19" s="21" t="s">
        <v>97</v>
      </c>
      <c r="C19" s="24">
        <v>1</v>
      </c>
      <c r="D19" s="4">
        <v>4</v>
      </c>
      <c r="E19" s="1">
        <v>310</v>
      </c>
      <c r="F19" s="1">
        <v>61</v>
      </c>
      <c r="G19" s="1">
        <v>10</v>
      </c>
      <c r="H19" s="1">
        <v>100</v>
      </c>
      <c r="I19" s="1" t="s">
        <v>181</v>
      </c>
      <c r="J19" s="1">
        <v>1</v>
      </c>
      <c r="K19" s="1">
        <v>10</v>
      </c>
      <c r="L19" s="1"/>
      <c r="M19" s="1"/>
      <c r="N19" s="1"/>
      <c r="O19" s="1"/>
      <c r="P19" s="1"/>
      <c r="Q19" s="1"/>
      <c r="R19" s="1"/>
      <c r="S19" s="22"/>
    </row>
    <row r="20" spans="1:19" x14ac:dyDescent="0.3">
      <c r="A20" s="1" t="s">
        <v>96</v>
      </c>
      <c r="B20" s="21" t="s">
        <v>97</v>
      </c>
      <c r="C20" s="24">
        <v>1</v>
      </c>
      <c r="D20" s="4">
        <v>5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22"/>
    </row>
    <row r="21" spans="1:19" x14ac:dyDescent="0.3">
      <c r="A21" s="1" t="s">
        <v>96</v>
      </c>
      <c r="B21" s="21" t="s">
        <v>97</v>
      </c>
      <c r="C21" s="24">
        <v>1</v>
      </c>
      <c r="D21" s="4">
        <v>6</v>
      </c>
      <c r="E21" s="1">
        <v>307</v>
      </c>
      <c r="F21" s="1">
        <v>63</v>
      </c>
      <c r="G21" s="1">
        <v>9</v>
      </c>
      <c r="H21" s="1">
        <v>80</v>
      </c>
      <c r="I21" s="1" t="s">
        <v>178</v>
      </c>
      <c r="J21" s="1">
        <v>2</v>
      </c>
      <c r="K21" s="1">
        <v>11</v>
      </c>
      <c r="L21" s="1"/>
      <c r="M21" s="1"/>
      <c r="N21" s="1"/>
      <c r="O21" s="1"/>
      <c r="P21" s="1"/>
      <c r="Q21" s="1"/>
      <c r="R21" s="1"/>
      <c r="S21" s="22"/>
    </row>
    <row r="22" spans="1:19" x14ac:dyDescent="0.3">
      <c r="A22" s="1" t="s">
        <v>96</v>
      </c>
      <c r="B22" s="21" t="s">
        <v>97</v>
      </c>
      <c r="C22" s="24">
        <v>1</v>
      </c>
      <c r="D22" s="4">
        <v>7</v>
      </c>
      <c r="E22" s="1">
        <v>292</v>
      </c>
      <c r="F22" s="1">
        <v>61</v>
      </c>
      <c r="G22" s="1">
        <v>10</v>
      </c>
      <c r="H22" s="1">
        <v>67</v>
      </c>
      <c r="I22" s="1" t="s">
        <v>178</v>
      </c>
      <c r="J22" s="1">
        <v>2</v>
      </c>
      <c r="K22" s="1">
        <v>11</v>
      </c>
      <c r="L22" s="1"/>
      <c r="M22" s="1"/>
      <c r="N22" s="1"/>
      <c r="O22" s="1"/>
      <c r="P22" s="1"/>
      <c r="Q22" s="1"/>
      <c r="R22" s="1"/>
      <c r="S22" s="22"/>
    </row>
    <row r="23" spans="1:19" x14ac:dyDescent="0.3">
      <c r="A23" s="1" t="s">
        <v>96</v>
      </c>
      <c r="B23" s="21" t="s">
        <v>97</v>
      </c>
      <c r="C23" s="24">
        <v>1</v>
      </c>
      <c r="D23" s="4">
        <v>8</v>
      </c>
      <c r="E23" s="1">
        <v>260</v>
      </c>
      <c r="F23" s="1">
        <v>53</v>
      </c>
      <c r="G23" s="1">
        <v>9</v>
      </c>
      <c r="H23" s="1">
        <v>78</v>
      </c>
      <c r="I23" s="1" t="s">
        <v>181</v>
      </c>
      <c r="J23" s="1">
        <v>1</v>
      </c>
      <c r="K23" s="1">
        <v>10</v>
      </c>
      <c r="L23" s="1"/>
      <c r="M23" s="1"/>
      <c r="N23" s="1"/>
      <c r="O23" s="1"/>
      <c r="P23" s="1"/>
      <c r="Q23" s="1"/>
      <c r="R23" s="1"/>
      <c r="S23" s="22"/>
    </row>
    <row r="24" spans="1:19" x14ac:dyDescent="0.3">
      <c r="A24" s="1" t="s">
        <v>96</v>
      </c>
      <c r="B24" s="21" t="s">
        <v>97</v>
      </c>
      <c r="C24" s="24">
        <v>1</v>
      </c>
      <c r="D24" s="4">
        <v>9</v>
      </c>
      <c r="E24" s="1">
        <v>330</v>
      </c>
      <c r="F24" s="1">
        <v>64</v>
      </c>
      <c r="G24" s="1">
        <v>12</v>
      </c>
      <c r="H24" s="1">
        <v>120</v>
      </c>
      <c r="I24" s="1" t="s">
        <v>175</v>
      </c>
      <c r="J24" s="1">
        <v>43</v>
      </c>
      <c r="K24" s="1">
        <v>1</v>
      </c>
      <c r="L24" s="1">
        <v>11</v>
      </c>
      <c r="M24" s="1">
        <v>205</v>
      </c>
      <c r="N24" s="1">
        <v>6</v>
      </c>
      <c r="O24" s="1">
        <v>42.2</v>
      </c>
      <c r="P24" s="1">
        <v>38</v>
      </c>
      <c r="Q24" s="1">
        <v>8</v>
      </c>
      <c r="R24" s="1">
        <v>7.6</v>
      </c>
      <c r="S24" s="22">
        <f>2.2*0.9*0.8*N24*0.662</f>
        <v>6.2916480000000012</v>
      </c>
    </row>
    <row r="25" spans="1:19" x14ac:dyDescent="0.3">
      <c r="A25" s="1" t="s">
        <v>96</v>
      </c>
      <c r="B25" s="21" t="s">
        <v>97</v>
      </c>
      <c r="C25" s="24">
        <v>1</v>
      </c>
      <c r="D25" s="4">
        <v>10</v>
      </c>
      <c r="E25" s="1">
        <v>310</v>
      </c>
      <c r="F25" s="1">
        <v>62</v>
      </c>
      <c r="G25" s="1">
        <v>10</v>
      </c>
      <c r="H25" s="1">
        <v>110</v>
      </c>
      <c r="I25" s="1" t="s">
        <v>174</v>
      </c>
      <c r="J25" s="1">
        <v>50</v>
      </c>
      <c r="K25" s="1">
        <v>8</v>
      </c>
      <c r="L25" s="1"/>
      <c r="M25" s="1"/>
      <c r="N25" s="1"/>
      <c r="O25" s="1"/>
      <c r="P25" s="1"/>
      <c r="Q25" s="1"/>
      <c r="R25" s="1"/>
      <c r="S25" s="22"/>
    </row>
    <row r="26" spans="1:19" x14ac:dyDescent="0.3">
      <c r="A26" s="1" t="s">
        <v>96</v>
      </c>
      <c r="B26" s="21" t="s">
        <v>97</v>
      </c>
      <c r="C26" s="24">
        <v>1</v>
      </c>
      <c r="D26" s="4">
        <v>11</v>
      </c>
      <c r="E26" s="1">
        <v>305</v>
      </c>
      <c r="F26" s="1">
        <v>60</v>
      </c>
      <c r="G26" s="1">
        <v>13</v>
      </c>
      <c r="H26" s="1">
        <v>60</v>
      </c>
      <c r="I26" s="1" t="s">
        <v>183</v>
      </c>
      <c r="J26" s="1">
        <v>44</v>
      </c>
      <c r="K26" s="1">
        <v>2</v>
      </c>
      <c r="L26" s="1">
        <v>11</v>
      </c>
      <c r="M26" s="1">
        <v>160</v>
      </c>
      <c r="N26" s="1">
        <v>5</v>
      </c>
      <c r="O26" s="1">
        <v>41.5</v>
      </c>
      <c r="P26" s="1">
        <v>38</v>
      </c>
      <c r="Q26" s="1">
        <v>7</v>
      </c>
      <c r="R26" s="1">
        <v>7.8</v>
      </c>
      <c r="S26" s="22">
        <f>2.2*0.8*0.8*N26*0.662</f>
        <v>4.6604800000000015</v>
      </c>
    </row>
    <row r="27" spans="1:19" x14ac:dyDescent="0.3">
      <c r="A27" s="1" t="s">
        <v>96</v>
      </c>
      <c r="B27" s="21" t="s">
        <v>97</v>
      </c>
      <c r="C27" s="24">
        <v>1</v>
      </c>
      <c r="D27" s="4">
        <v>12</v>
      </c>
      <c r="E27" s="1">
        <v>330</v>
      </c>
      <c r="F27" s="1">
        <v>63</v>
      </c>
      <c r="G27" s="1">
        <v>12</v>
      </c>
      <c r="H27" s="1">
        <v>100</v>
      </c>
      <c r="I27" s="1" t="s">
        <v>183</v>
      </c>
      <c r="J27" s="1">
        <v>44</v>
      </c>
      <c r="K27" s="1">
        <v>2</v>
      </c>
      <c r="L27" s="1">
        <v>11</v>
      </c>
      <c r="M27" s="1">
        <v>166</v>
      </c>
      <c r="N27" s="1">
        <v>5</v>
      </c>
      <c r="O27" s="1">
        <v>39.5</v>
      </c>
      <c r="P27" s="1">
        <v>39</v>
      </c>
      <c r="Q27" s="1">
        <v>7</v>
      </c>
      <c r="R27" s="1">
        <v>7.8</v>
      </c>
      <c r="S27" s="22">
        <f>2.2*0.91*0.8*N27*0.662</f>
        <v>5.3012960000000025</v>
      </c>
    </row>
    <row r="28" spans="1:19" x14ac:dyDescent="0.3">
      <c r="A28" s="1" t="s">
        <v>96</v>
      </c>
      <c r="B28" s="21" t="s">
        <v>97</v>
      </c>
      <c r="C28" s="24">
        <v>1</v>
      </c>
      <c r="D28" s="4">
        <v>13</v>
      </c>
      <c r="E28" s="1">
        <v>330</v>
      </c>
      <c r="F28" s="1">
        <v>65</v>
      </c>
      <c r="G28" s="1">
        <v>13</v>
      </c>
      <c r="H28" s="1">
        <v>132</v>
      </c>
      <c r="I28" s="1" t="s">
        <v>183</v>
      </c>
      <c r="J28" s="1">
        <v>44</v>
      </c>
      <c r="K28" s="1">
        <v>2</v>
      </c>
      <c r="L28" s="1">
        <v>11</v>
      </c>
      <c r="M28" s="1">
        <v>220</v>
      </c>
      <c r="N28" s="1">
        <v>5</v>
      </c>
      <c r="O28" s="1">
        <v>42</v>
      </c>
      <c r="P28" s="1">
        <v>39</v>
      </c>
      <c r="Q28" s="1">
        <v>7</v>
      </c>
      <c r="R28" s="1">
        <v>8</v>
      </c>
      <c r="S28" s="22">
        <f>2.25*0.89*0.8*N28*0.662</f>
        <v>5.3026200000000001</v>
      </c>
    </row>
    <row r="29" spans="1:19" x14ac:dyDescent="0.3">
      <c r="A29" s="1" t="s">
        <v>96</v>
      </c>
      <c r="B29" s="21" t="s">
        <v>97</v>
      </c>
      <c r="C29" s="24">
        <v>1</v>
      </c>
      <c r="D29" s="4">
        <v>14</v>
      </c>
      <c r="E29" s="1">
        <v>295</v>
      </c>
      <c r="F29" s="1">
        <v>59</v>
      </c>
      <c r="G29" s="1">
        <v>11</v>
      </c>
      <c r="H29" s="1">
        <v>105</v>
      </c>
      <c r="I29" s="1" t="s">
        <v>178</v>
      </c>
      <c r="J29" s="1">
        <v>46</v>
      </c>
      <c r="K29" s="1">
        <v>4</v>
      </c>
      <c r="L29" s="1">
        <v>11</v>
      </c>
      <c r="M29" s="1">
        <v>182</v>
      </c>
      <c r="N29" s="1">
        <v>5</v>
      </c>
      <c r="O29" s="1">
        <v>36</v>
      </c>
      <c r="P29" s="1">
        <v>38</v>
      </c>
      <c r="Q29" s="1">
        <v>6</v>
      </c>
      <c r="R29" s="1">
        <v>7.8</v>
      </c>
      <c r="S29" s="22">
        <f>2.1*0.8*0.8*N29*0.662</f>
        <v>4.448640000000001</v>
      </c>
    </row>
    <row r="30" spans="1:19" x14ac:dyDescent="0.3">
      <c r="A30" s="1" t="s">
        <v>96</v>
      </c>
      <c r="B30" s="21" t="s">
        <v>109</v>
      </c>
      <c r="C30" s="21">
        <v>2</v>
      </c>
      <c r="D30" s="4">
        <v>1</v>
      </c>
      <c r="E30" s="1">
        <v>360</v>
      </c>
      <c r="F30" s="1">
        <v>67</v>
      </c>
      <c r="G30" s="1">
        <v>13</v>
      </c>
      <c r="H30" s="1">
        <v>118</v>
      </c>
      <c r="I30" s="1" t="s">
        <v>183</v>
      </c>
      <c r="J30" s="1">
        <v>44</v>
      </c>
      <c r="K30" s="1">
        <v>2</v>
      </c>
      <c r="L30" s="1">
        <v>11</v>
      </c>
      <c r="M30" s="1">
        <v>190</v>
      </c>
      <c r="N30" s="1">
        <v>6</v>
      </c>
      <c r="O30" s="1">
        <v>48</v>
      </c>
      <c r="P30" s="1">
        <v>38</v>
      </c>
      <c r="Q30" s="1">
        <v>8</v>
      </c>
      <c r="R30" s="1">
        <v>8.4</v>
      </c>
      <c r="S30" s="22">
        <f>2.4*0.92*0.8*N30*0.662</f>
        <v>7.0161408000000014</v>
      </c>
    </row>
    <row r="31" spans="1:19" x14ac:dyDescent="0.3">
      <c r="A31" s="1" t="s">
        <v>96</v>
      </c>
      <c r="B31" s="21" t="s">
        <v>109</v>
      </c>
      <c r="C31" s="21">
        <v>2</v>
      </c>
      <c r="D31" s="4">
        <v>2</v>
      </c>
      <c r="E31" s="1">
        <v>330</v>
      </c>
      <c r="F31" s="1">
        <v>60</v>
      </c>
      <c r="G31" s="1">
        <v>12</v>
      </c>
      <c r="H31" s="1">
        <v>80</v>
      </c>
      <c r="I31" s="1" t="s">
        <v>176</v>
      </c>
      <c r="J31" s="1">
        <v>45</v>
      </c>
      <c r="K31" s="1">
        <v>3</v>
      </c>
      <c r="L31" s="1">
        <v>11</v>
      </c>
      <c r="M31" s="1">
        <v>170</v>
      </c>
      <c r="N31" s="1">
        <v>5</v>
      </c>
      <c r="O31" s="1">
        <v>40</v>
      </c>
      <c r="P31" s="1">
        <v>39</v>
      </c>
      <c r="Q31" s="1">
        <v>7</v>
      </c>
      <c r="R31" s="1">
        <v>8.1999999999999993</v>
      </c>
      <c r="S31" s="22">
        <f>2.3*0.9*0.8*N31*0.662</f>
        <v>5.4813599999999996</v>
      </c>
    </row>
    <row r="32" spans="1:19" x14ac:dyDescent="0.3">
      <c r="A32" s="1" t="s">
        <v>96</v>
      </c>
      <c r="B32" s="21" t="s">
        <v>109</v>
      </c>
      <c r="C32" s="21">
        <v>2</v>
      </c>
      <c r="D32" s="4">
        <v>3</v>
      </c>
      <c r="E32" s="1">
        <v>300</v>
      </c>
      <c r="F32" s="1">
        <v>62</v>
      </c>
      <c r="G32" s="1">
        <v>8</v>
      </c>
      <c r="H32" s="1">
        <v>125</v>
      </c>
      <c r="I32" s="1" t="s">
        <v>174</v>
      </c>
      <c r="J32" s="1">
        <v>50</v>
      </c>
      <c r="K32" s="1">
        <v>8</v>
      </c>
      <c r="L32" s="1"/>
      <c r="M32" s="1"/>
      <c r="N32" s="1"/>
      <c r="O32" s="1"/>
      <c r="P32" s="1"/>
      <c r="Q32" s="1"/>
      <c r="R32" s="1"/>
      <c r="S32" s="1"/>
    </row>
    <row r="33" spans="1:19" x14ac:dyDescent="0.3">
      <c r="A33" s="1" t="s">
        <v>96</v>
      </c>
      <c r="B33" s="21" t="s">
        <v>109</v>
      </c>
      <c r="C33" s="21">
        <v>2</v>
      </c>
      <c r="D33" s="4">
        <v>4</v>
      </c>
      <c r="E33" s="1">
        <v>357</v>
      </c>
      <c r="F33" s="1">
        <v>72</v>
      </c>
      <c r="G33" s="1">
        <v>13</v>
      </c>
      <c r="H33" s="1">
        <v>125</v>
      </c>
      <c r="I33" s="1" t="s">
        <v>176</v>
      </c>
      <c r="J33" s="1">
        <v>45</v>
      </c>
      <c r="K33" s="1">
        <v>3</v>
      </c>
      <c r="L33" s="1">
        <v>11</v>
      </c>
      <c r="M33" s="1">
        <v>235</v>
      </c>
      <c r="N33" s="1">
        <v>5</v>
      </c>
      <c r="O33" s="1">
        <v>50</v>
      </c>
      <c r="P33" s="1">
        <v>39</v>
      </c>
      <c r="Q33" s="1">
        <v>8</v>
      </c>
      <c r="R33" s="1">
        <v>8.1999999999999993</v>
      </c>
      <c r="S33" s="22">
        <f>2.5*0.95*0.8*N33*0.662</f>
        <v>6.2890000000000006</v>
      </c>
    </row>
    <row r="34" spans="1:19" x14ac:dyDescent="0.3">
      <c r="A34" s="1" t="s">
        <v>96</v>
      </c>
      <c r="B34" s="21" t="s">
        <v>109</v>
      </c>
      <c r="C34" s="21">
        <v>2</v>
      </c>
      <c r="D34" s="4">
        <v>5</v>
      </c>
      <c r="E34" s="1">
        <v>355</v>
      </c>
      <c r="F34" s="1">
        <v>64</v>
      </c>
      <c r="G34" s="1">
        <v>13</v>
      </c>
      <c r="H34" s="1">
        <v>125</v>
      </c>
      <c r="I34" s="1" t="s">
        <v>174</v>
      </c>
      <c r="J34" s="1">
        <v>42</v>
      </c>
      <c r="K34" s="1">
        <v>52</v>
      </c>
      <c r="L34" s="1">
        <v>11</v>
      </c>
      <c r="M34" s="1">
        <v>213</v>
      </c>
      <c r="N34" s="1">
        <v>5</v>
      </c>
      <c r="O34" s="1">
        <v>46.2</v>
      </c>
      <c r="P34" s="1">
        <v>40</v>
      </c>
      <c r="Q34" s="1">
        <v>8</v>
      </c>
      <c r="R34" s="1">
        <v>8.4</v>
      </c>
      <c r="S34" s="22">
        <f>2.26*0.9*0.8*N34*0.662</f>
        <v>5.3860320000000002</v>
      </c>
    </row>
    <row r="35" spans="1:19" x14ac:dyDescent="0.3">
      <c r="A35" s="1" t="s">
        <v>96</v>
      </c>
      <c r="B35" s="21" t="s">
        <v>109</v>
      </c>
      <c r="C35" s="21">
        <v>2</v>
      </c>
      <c r="D35" s="4">
        <v>6</v>
      </c>
      <c r="E35" s="1">
        <v>345</v>
      </c>
      <c r="F35" s="1">
        <v>66</v>
      </c>
      <c r="G35" s="1">
        <v>13</v>
      </c>
      <c r="H35" s="1">
        <v>148</v>
      </c>
      <c r="I35" s="1" t="s">
        <v>175</v>
      </c>
      <c r="J35" s="1">
        <v>43</v>
      </c>
      <c r="K35" s="1">
        <v>1</v>
      </c>
      <c r="L35" s="1">
        <v>11</v>
      </c>
      <c r="M35" s="1">
        <v>215</v>
      </c>
      <c r="N35" s="1">
        <v>6</v>
      </c>
      <c r="O35" s="1">
        <v>42.2</v>
      </c>
      <c r="P35" s="1">
        <v>39</v>
      </c>
      <c r="Q35" s="1">
        <v>8</v>
      </c>
      <c r="R35" s="1">
        <v>7.6</v>
      </c>
      <c r="S35" s="22">
        <f>2.6*0.9*0.8*N35*0.662</f>
        <v>7.4355840000000022</v>
      </c>
    </row>
    <row r="36" spans="1:19" x14ac:dyDescent="0.3">
      <c r="A36" s="1" t="s">
        <v>96</v>
      </c>
      <c r="B36" s="21" t="s">
        <v>109</v>
      </c>
      <c r="C36" s="21">
        <v>2</v>
      </c>
      <c r="D36" s="4">
        <v>7</v>
      </c>
      <c r="E36" s="1">
        <v>360</v>
      </c>
      <c r="F36" s="1">
        <v>70</v>
      </c>
      <c r="G36" s="1">
        <v>10</v>
      </c>
      <c r="H36" s="1">
        <v>164</v>
      </c>
      <c r="I36" s="1" t="s">
        <v>179</v>
      </c>
      <c r="J36" s="1">
        <v>49</v>
      </c>
      <c r="K36" s="1">
        <v>7</v>
      </c>
      <c r="L36" s="1"/>
      <c r="M36" s="1"/>
      <c r="N36" s="1"/>
      <c r="O36" s="1"/>
      <c r="P36" s="1"/>
      <c r="Q36" s="1"/>
      <c r="R36" s="1"/>
      <c r="S36" s="22"/>
    </row>
    <row r="37" spans="1:19" x14ac:dyDescent="0.3">
      <c r="A37" s="1" t="s">
        <v>96</v>
      </c>
      <c r="B37" s="21" t="s">
        <v>109</v>
      </c>
      <c r="C37" s="21">
        <v>2</v>
      </c>
      <c r="D37" s="4">
        <v>8</v>
      </c>
      <c r="E37" s="1">
        <v>344</v>
      </c>
      <c r="F37" s="1">
        <v>69</v>
      </c>
      <c r="G37" s="1">
        <v>10</v>
      </c>
      <c r="H37" s="1">
        <v>128</v>
      </c>
      <c r="I37" s="1" t="s">
        <v>179</v>
      </c>
      <c r="J37" s="1">
        <v>49</v>
      </c>
      <c r="K37" s="1">
        <v>7</v>
      </c>
      <c r="L37" s="1"/>
      <c r="M37" s="1"/>
      <c r="N37" s="1"/>
      <c r="O37" s="1"/>
      <c r="P37" s="1"/>
      <c r="Q37" s="1"/>
      <c r="R37" s="1"/>
      <c r="S37" s="22"/>
    </row>
    <row r="38" spans="1:19" x14ac:dyDescent="0.3">
      <c r="A38" s="1" t="s">
        <v>96</v>
      </c>
      <c r="B38" s="21" t="s">
        <v>109</v>
      </c>
      <c r="C38" s="21">
        <v>2</v>
      </c>
      <c r="D38" s="4">
        <v>9</v>
      </c>
      <c r="E38" s="1">
        <v>315</v>
      </c>
      <c r="F38" s="1">
        <v>60</v>
      </c>
      <c r="G38" s="1">
        <v>12</v>
      </c>
      <c r="H38" s="1">
        <v>122</v>
      </c>
      <c r="I38" s="1" t="s">
        <v>180</v>
      </c>
      <c r="J38" s="1">
        <v>48</v>
      </c>
      <c r="K38" s="1">
        <v>6</v>
      </c>
      <c r="L38" s="1"/>
      <c r="M38" s="1"/>
      <c r="N38" s="1"/>
      <c r="O38" s="1"/>
      <c r="P38" s="1"/>
      <c r="Q38" s="1"/>
      <c r="R38" s="1"/>
      <c r="S38" s="22"/>
    </row>
    <row r="39" spans="1:19" x14ac:dyDescent="0.3">
      <c r="A39" s="1" t="s">
        <v>96</v>
      </c>
      <c r="B39" s="21" t="s">
        <v>109</v>
      </c>
      <c r="C39" s="21">
        <v>2</v>
      </c>
      <c r="D39" s="4">
        <v>10</v>
      </c>
      <c r="E39" s="1">
        <v>336</v>
      </c>
      <c r="F39" s="1">
        <v>67</v>
      </c>
      <c r="G39" s="1">
        <v>12</v>
      </c>
      <c r="H39" s="1">
        <v>124</v>
      </c>
      <c r="I39" s="1" t="s">
        <v>179</v>
      </c>
      <c r="J39" s="1">
        <v>41</v>
      </c>
      <c r="K39" s="1">
        <v>51</v>
      </c>
      <c r="L39" s="1">
        <v>11</v>
      </c>
      <c r="M39" s="1">
        <v>190</v>
      </c>
      <c r="N39" s="1">
        <v>7</v>
      </c>
      <c r="O39" s="1">
        <v>52</v>
      </c>
      <c r="P39" s="1">
        <v>40</v>
      </c>
      <c r="Q39" s="1">
        <v>8</v>
      </c>
      <c r="R39" s="1">
        <v>8</v>
      </c>
      <c r="S39" s="22">
        <f>2.3*0.9*0.8*N39*0.662</f>
        <v>7.6739039999999994</v>
      </c>
    </row>
    <row r="40" spans="1:19" x14ac:dyDescent="0.3">
      <c r="A40" s="1" t="s">
        <v>96</v>
      </c>
      <c r="B40" s="21" t="s">
        <v>109</v>
      </c>
      <c r="C40" s="21">
        <v>2</v>
      </c>
      <c r="D40" s="4">
        <v>11</v>
      </c>
      <c r="E40" s="1">
        <v>305</v>
      </c>
      <c r="F40" s="1">
        <v>62</v>
      </c>
      <c r="G40" s="1">
        <v>13</v>
      </c>
      <c r="H40" s="1">
        <v>110</v>
      </c>
      <c r="I40" s="1" t="s">
        <v>178</v>
      </c>
      <c r="J40" s="1">
        <v>46</v>
      </c>
      <c r="K40" s="1">
        <v>4</v>
      </c>
      <c r="L40" s="1">
        <v>11</v>
      </c>
      <c r="M40" s="1">
        <v>173</v>
      </c>
      <c r="N40" s="1">
        <v>5</v>
      </c>
      <c r="O40" s="1">
        <v>39</v>
      </c>
      <c r="P40" s="1">
        <v>38</v>
      </c>
      <c r="Q40" s="1">
        <v>7</v>
      </c>
      <c r="R40" s="1">
        <v>7.8</v>
      </c>
      <c r="S40" s="22">
        <f>2.1*0.8*0.8*N40*0.662</f>
        <v>4.448640000000001</v>
      </c>
    </row>
    <row r="41" spans="1:19" x14ac:dyDescent="0.3">
      <c r="A41" s="1" t="s">
        <v>96</v>
      </c>
      <c r="B41" s="21" t="s">
        <v>109</v>
      </c>
      <c r="C41" s="21">
        <v>2</v>
      </c>
      <c r="D41" s="4">
        <v>12</v>
      </c>
      <c r="E41" s="1">
        <v>305</v>
      </c>
      <c r="F41" s="1">
        <v>62</v>
      </c>
      <c r="G41" s="1">
        <v>13</v>
      </c>
      <c r="H41" s="1">
        <v>110</v>
      </c>
      <c r="I41" s="1" t="s">
        <v>178</v>
      </c>
      <c r="J41" s="1">
        <v>46</v>
      </c>
      <c r="K41" s="1">
        <v>4</v>
      </c>
      <c r="L41" s="1">
        <v>11</v>
      </c>
      <c r="M41" s="1">
        <v>184</v>
      </c>
      <c r="N41" s="1">
        <v>4</v>
      </c>
      <c r="O41" s="1">
        <v>38.9</v>
      </c>
      <c r="P41" s="1">
        <v>37</v>
      </c>
      <c r="Q41" s="1">
        <v>7</v>
      </c>
      <c r="R41" s="1">
        <v>8.1999999999999993</v>
      </c>
      <c r="S41" s="22">
        <f>2.28*0.91*0.8*N41*0.662</f>
        <v>4.3952563200000005</v>
      </c>
    </row>
    <row r="42" spans="1:19" x14ac:dyDescent="0.3">
      <c r="A42" s="1" t="s">
        <v>96</v>
      </c>
      <c r="B42" s="21" t="s">
        <v>109</v>
      </c>
      <c r="C42" s="21">
        <v>2</v>
      </c>
      <c r="D42" s="4">
        <v>13</v>
      </c>
      <c r="E42" s="1">
        <v>298</v>
      </c>
      <c r="F42" s="1">
        <v>58</v>
      </c>
      <c r="G42" s="1">
        <v>13</v>
      </c>
      <c r="H42" s="1">
        <v>102</v>
      </c>
      <c r="I42" s="1" t="s">
        <v>176</v>
      </c>
      <c r="J42" s="1">
        <v>45</v>
      </c>
      <c r="K42" s="1">
        <v>3</v>
      </c>
      <c r="L42" s="1">
        <v>11</v>
      </c>
      <c r="M42" s="1">
        <v>160</v>
      </c>
      <c r="N42" s="1">
        <v>5</v>
      </c>
      <c r="O42" s="1">
        <v>36</v>
      </c>
      <c r="P42" s="1">
        <v>38</v>
      </c>
      <c r="Q42" s="1">
        <v>6</v>
      </c>
      <c r="R42" s="1">
        <v>7.8</v>
      </c>
      <c r="S42" s="22">
        <f>2.5*0.8*0.8*N42*0.662</f>
        <v>5.2960000000000003</v>
      </c>
    </row>
    <row r="43" spans="1:19" x14ac:dyDescent="0.3">
      <c r="A43" s="1" t="s">
        <v>96</v>
      </c>
      <c r="B43" s="21" t="s">
        <v>109</v>
      </c>
      <c r="C43" s="21">
        <v>2</v>
      </c>
      <c r="D43" s="4">
        <v>14</v>
      </c>
      <c r="E43" s="1">
        <v>318</v>
      </c>
      <c r="F43" s="1">
        <v>65</v>
      </c>
      <c r="G43" s="1">
        <v>13</v>
      </c>
      <c r="H43" s="1">
        <v>105</v>
      </c>
      <c r="I43" s="1" t="s">
        <v>176</v>
      </c>
      <c r="J43" s="1">
        <v>45</v>
      </c>
      <c r="K43" s="1">
        <v>3</v>
      </c>
      <c r="L43" s="1">
        <v>10</v>
      </c>
      <c r="M43" s="1">
        <v>175</v>
      </c>
      <c r="N43" s="1">
        <v>6</v>
      </c>
      <c r="O43" s="1">
        <v>42.7</v>
      </c>
      <c r="P43" s="1">
        <v>37</v>
      </c>
      <c r="Q43" s="1">
        <v>7</v>
      </c>
      <c r="R43" s="1">
        <v>7.8</v>
      </c>
      <c r="S43" s="22">
        <f>2.3*0.92*0.8*N43*0.662</f>
        <v>6.7238016000000007</v>
      </c>
    </row>
    <row r="44" spans="1:19" x14ac:dyDescent="0.3">
      <c r="A44" s="1" t="s">
        <v>96</v>
      </c>
      <c r="B44" s="21" t="s">
        <v>184</v>
      </c>
      <c r="C44" s="21">
        <v>1</v>
      </c>
      <c r="D44" s="4">
        <v>1</v>
      </c>
      <c r="E44" s="1">
        <v>380</v>
      </c>
      <c r="F44" s="1">
        <v>73</v>
      </c>
      <c r="G44" s="1">
        <v>12</v>
      </c>
      <c r="H44" s="1">
        <v>185</v>
      </c>
      <c r="I44" s="1" t="s">
        <v>173</v>
      </c>
      <c r="J44" s="1">
        <v>47</v>
      </c>
      <c r="K44" s="1">
        <v>5</v>
      </c>
      <c r="L44" s="1">
        <v>11</v>
      </c>
      <c r="M44" s="1">
        <v>235</v>
      </c>
      <c r="N44" s="1">
        <v>7</v>
      </c>
      <c r="O44" s="1">
        <v>50</v>
      </c>
      <c r="P44" s="1">
        <v>37</v>
      </c>
      <c r="Q44" s="1">
        <v>8</v>
      </c>
      <c r="R44" s="1">
        <v>8</v>
      </c>
      <c r="S44" s="22">
        <f>2.3*0.9*0.8*N44*0.662</f>
        <v>7.6739039999999994</v>
      </c>
    </row>
    <row r="45" spans="1:19" x14ac:dyDescent="0.3">
      <c r="A45" s="1" t="s">
        <v>96</v>
      </c>
      <c r="B45" s="21" t="s">
        <v>184</v>
      </c>
      <c r="C45" s="21">
        <v>1</v>
      </c>
      <c r="D45" s="4">
        <v>2</v>
      </c>
      <c r="E45" s="1">
        <v>327</v>
      </c>
      <c r="F45" s="1">
        <v>66</v>
      </c>
      <c r="G45" s="1">
        <v>12</v>
      </c>
      <c r="H45" s="1">
        <v>88</v>
      </c>
      <c r="I45" s="1" t="s">
        <v>180</v>
      </c>
      <c r="J45" s="1">
        <v>48</v>
      </c>
      <c r="K45" s="1">
        <v>6</v>
      </c>
      <c r="L45" s="1">
        <v>11</v>
      </c>
      <c r="M45" s="1">
        <v>140</v>
      </c>
      <c r="N45" s="1">
        <v>7</v>
      </c>
      <c r="O45" s="1">
        <v>40</v>
      </c>
      <c r="P45" s="1">
        <v>39</v>
      </c>
      <c r="Q45" s="1">
        <v>8</v>
      </c>
      <c r="R45" s="1">
        <v>8</v>
      </c>
      <c r="S45" s="22">
        <f>2.3*0.97*0.8*N45*0.662</f>
        <v>8.2707631999999993</v>
      </c>
    </row>
    <row r="46" spans="1:19" x14ac:dyDescent="0.3">
      <c r="A46" s="1" t="s">
        <v>96</v>
      </c>
      <c r="B46" s="21" t="s">
        <v>184</v>
      </c>
      <c r="C46" s="21">
        <v>1</v>
      </c>
      <c r="D46" s="4">
        <v>3</v>
      </c>
      <c r="E46" s="1">
        <v>378</v>
      </c>
      <c r="F46" s="1">
        <v>74</v>
      </c>
      <c r="G46" s="1">
        <v>16</v>
      </c>
      <c r="H46" s="1">
        <v>100</v>
      </c>
      <c r="I46" s="1" t="s">
        <v>176</v>
      </c>
      <c r="J46" s="1">
        <v>45</v>
      </c>
      <c r="K46" s="1">
        <v>3</v>
      </c>
      <c r="L46" s="1">
        <v>11</v>
      </c>
      <c r="M46" s="1">
        <v>183</v>
      </c>
      <c r="N46" s="1">
        <v>7</v>
      </c>
      <c r="O46" s="1">
        <v>51</v>
      </c>
      <c r="P46" s="1">
        <v>39</v>
      </c>
      <c r="Q46" s="1">
        <v>8</v>
      </c>
      <c r="R46" s="1">
        <v>8</v>
      </c>
      <c r="S46" s="22">
        <f>2.6*0.95*0.8*N46*0.662</f>
        <v>9.1567840000000018</v>
      </c>
    </row>
    <row r="47" spans="1:19" x14ac:dyDescent="0.3">
      <c r="A47" s="1" t="s">
        <v>96</v>
      </c>
      <c r="B47" s="21" t="s">
        <v>184</v>
      </c>
      <c r="C47" s="21">
        <v>1</v>
      </c>
      <c r="D47" s="4">
        <v>4</v>
      </c>
      <c r="E47" s="1">
        <v>305</v>
      </c>
      <c r="F47" s="1">
        <v>63</v>
      </c>
      <c r="G47" s="1">
        <v>13</v>
      </c>
      <c r="H47" s="1">
        <v>130</v>
      </c>
      <c r="I47" s="1" t="s">
        <v>175</v>
      </c>
      <c r="J47" s="1">
        <v>43</v>
      </c>
      <c r="K47" s="1">
        <v>1</v>
      </c>
      <c r="L47" s="1">
        <v>11</v>
      </c>
      <c r="M47" s="1">
        <v>195</v>
      </c>
      <c r="N47" s="1">
        <v>5</v>
      </c>
      <c r="O47" s="1">
        <v>35.1</v>
      </c>
      <c r="P47" s="1">
        <v>37</v>
      </c>
      <c r="Q47" s="1">
        <v>7</v>
      </c>
      <c r="R47" s="1">
        <v>8.1999999999999993</v>
      </c>
      <c r="S47" s="22">
        <f>2.3*0.88*0.8*N47*0.662</f>
        <v>5.3595520000000008</v>
      </c>
    </row>
    <row r="48" spans="1:19" x14ac:dyDescent="0.3">
      <c r="A48" s="1" t="s">
        <v>96</v>
      </c>
      <c r="B48" s="21" t="s">
        <v>184</v>
      </c>
      <c r="C48" s="21">
        <v>1</v>
      </c>
      <c r="D48" s="4">
        <v>5</v>
      </c>
      <c r="E48" s="1">
        <v>360</v>
      </c>
      <c r="F48" s="1">
        <v>71</v>
      </c>
      <c r="G48" s="1">
        <v>13</v>
      </c>
      <c r="H48" s="1">
        <v>140</v>
      </c>
      <c r="I48" s="1" t="s">
        <v>175</v>
      </c>
      <c r="J48" s="1">
        <v>43</v>
      </c>
      <c r="K48" s="1">
        <v>1</v>
      </c>
      <c r="L48" s="1">
        <v>11</v>
      </c>
      <c r="M48" s="1">
        <v>210</v>
      </c>
      <c r="N48" s="1">
        <v>4</v>
      </c>
      <c r="O48" s="1">
        <v>51.5</v>
      </c>
      <c r="P48" s="1">
        <v>39</v>
      </c>
      <c r="Q48" s="1">
        <v>8</v>
      </c>
      <c r="R48" s="1">
        <v>8</v>
      </c>
      <c r="S48" s="22">
        <f>2.8*1*0.8*N48*0.662</f>
        <v>5.9315199999999999</v>
      </c>
    </row>
    <row r="49" spans="1:19" x14ac:dyDescent="0.3">
      <c r="A49" s="1" t="s">
        <v>96</v>
      </c>
      <c r="B49" s="21" t="s">
        <v>184</v>
      </c>
      <c r="C49" s="21">
        <v>1</v>
      </c>
      <c r="D49" s="4">
        <v>6</v>
      </c>
      <c r="E49" s="1">
        <v>366</v>
      </c>
      <c r="F49" s="1">
        <v>69</v>
      </c>
      <c r="G49" s="1">
        <v>13</v>
      </c>
      <c r="H49" s="1">
        <v>120</v>
      </c>
      <c r="I49" s="1" t="s">
        <v>183</v>
      </c>
      <c r="J49" s="1">
        <v>44</v>
      </c>
      <c r="K49" s="1">
        <v>2</v>
      </c>
      <c r="L49" s="1">
        <v>11</v>
      </c>
      <c r="M49" s="1">
        <v>200</v>
      </c>
      <c r="N49" s="1">
        <v>5</v>
      </c>
      <c r="O49" s="1">
        <v>51.3</v>
      </c>
      <c r="P49" s="1">
        <v>39</v>
      </c>
      <c r="Q49" s="1">
        <v>8</v>
      </c>
      <c r="R49" s="1">
        <v>8.1999999999999993</v>
      </c>
      <c r="S49" s="22">
        <f>2.4*0.92*0.8*N49*0.662</f>
        <v>5.8467840000000004</v>
      </c>
    </row>
    <row r="50" spans="1:19" x14ac:dyDescent="0.3">
      <c r="A50" s="1" t="s">
        <v>96</v>
      </c>
      <c r="B50" s="21" t="s">
        <v>184</v>
      </c>
      <c r="C50" s="21">
        <v>1</v>
      </c>
      <c r="D50" s="4">
        <v>7</v>
      </c>
      <c r="E50" s="1">
        <v>361</v>
      </c>
      <c r="F50" s="1">
        <v>62</v>
      </c>
      <c r="G50" s="1">
        <v>12</v>
      </c>
      <c r="H50" s="1">
        <v>90</v>
      </c>
      <c r="I50" s="1" t="s">
        <v>183</v>
      </c>
      <c r="J50" s="1">
        <v>44</v>
      </c>
      <c r="K50" s="1">
        <v>2</v>
      </c>
      <c r="L50" s="1">
        <v>11</v>
      </c>
      <c r="M50" s="1">
        <v>155</v>
      </c>
      <c r="N50" s="1">
        <v>6</v>
      </c>
      <c r="O50" s="1">
        <v>40.700000000000003</v>
      </c>
      <c r="P50" s="1">
        <v>38</v>
      </c>
      <c r="Q50" s="1">
        <v>7</v>
      </c>
      <c r="R50" s="1">
        <v>8</v>
      </c>
      <c r="S50" s="22">
        <f t="shared" ref="S50" si="0">2.4*0.92*0.8*N50*0.662</f>
        <v>7.0161408000000014</v>
      </c>
    </row>
    <row r="51" spans="1:19" x14ac:dyDescent="0.3">
      <c r="A51" s="1" t="s">
        <v>96</v>
      </c>
      <c r="B51" s="21" t="s">
        <v>184</v>
      </c>
      <c r="C51" s="21">
        <v>1</v>
      </c>
      <c r="D51" s="4">
        <v>8</v>
      </c>
      <c r="E51" s="1">
        <v>325</v>
      </c>
      <c r="F51" s="1">
        <v>65</v>
      </c>
      <c r="G51" s="1">
        <v>14</v>
      </c>
      <c r="H51" s="1">
        <v>110</v>
      </c>
      <c r="I51" s="1" t="s">
        <v>178</v>
      </c>
      <c r="J51" s="1">
        <v>46</v>
      </c>
      <c r="K51" s="1">
        <v>4</v>
      </c>
      <c r="L51" s="1">
        <v>12</v>
      </c>
      <c r="M51" s="1">
        <v>170</v>
      </c>
      <c r="N51" s="1">
        <v>5</v>
      </c>
      <c r="O51" s="1">
        <v>31.3</v>
      </c>
      <c r="P51" s="1">
        <v>36</v>
      </c>
      <c r="Q51" s="1">
        <v>7</v>
      </c>
      <c r="R51" s="1">
        <v>7.4</v>
      </c>
      <c r="S51" s="22">
        <f>2.3*0.88*0.8*N51*0.662</f>
        <v>5.3595520000000008</v>
      </c>
    </row>
    <row r="52" spans="1:19" x14ac:dyDescent="0.3">
      <c r="A52" s="1" t="s">
        <v>96</v>
      </c>
      <c r="B52" s="21" t="s">
        <v>184</v>
      </c>
      <c r="C52" s="21">
        <v>1</v>
      </c>
      <c r="D52" s="4">
        <v>9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22"/>
    </row>
    <row r="53" spans="1:19" x14ac:dyDescent="0.3">
      <c r="A53" s="1" t="s">
        <v>96</v>
      </c>
      <c r="B53" s="21" t="s">
        <v>184</v>
      </c>
      <c r="C53" s="21">
        <v>1</v>
      </c>
      <c r="D53" s="4">
        <v>10</v>
      </c>
      <c r="E53" s="1">
        <v>310</v>
      </c>
      <c r="F53" s="1">
        <v>60</v>
      </c>
      <c r="G53" s="1">
        <v>12</v>
      </c>
      <c r="H53" s="1">
        <v>120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22"/>
    </row>
    <row r="54" spans="1:19" x14ac:dyDescent="0.3">
      <c r="A54" s="1" t="s">
        <v>96</v>
      </c>
      <c r="B54" s="21" t="s">
        <v>184</v>
      </c>
      <c r="C54" s="21">
        <v>1</v>
      </c>
      <c r="D54" s="4">
        <v>11</v>
      </c>
      <c r="E54" s="1">
        <v>300</v>
      </c>
      <c r="F54" s="1">
        <v>59</v>
      </c>
      <c r="G54" s="1">
        <v>12</v>
      </c>
      <c r="H54" s="1">
        <v>100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22"/>
    </row>
    <row r="55" spans="1:19" x14ac:dyDescent="0.3">
      <c r="A55" s="1" t="s">
        <v>96</v>
      </c>
      <c r="B55" s="21" t="s">
        <v>184</v>
      </c>
      <c r="C55" s="21">
        <v>1</v>
      </c>
      <c r="D55" s="4">
        <v>12</v>
      </c>
      <c r="E55" s="1">
        <v>330</v>
      </c>
      <c r="F55" s="1">
        <v>64</v>
      </c>
      <c r="G55" s="1">
        <v>12</v>
      </c>
      <c r="H55" s="1">
        <v>135</v>
      </c>
      <c r="I55" s="1" t="s">
        <v>176</v>
      </c>
      <c r="J55" s="1">
        <v>45</v>
      </c>
      <c r="K55" s="1">
        <v>3</v>
      </c>
      <c r="L55" s="1">
        <v>11</v>
      </c>
      <c r="M55" s="1">
        <v>190</v>
      </c>
      <c r="N55" s="1">
        <v>5</v>
      </c>
      <c r="O55" s="1">
        <v>48.1</v>
      </c>
      <c r="P55" s="1">
        <v>38</v>
      </c>
      <c r="Q55" s="1">
        <v>8</v>
      </c>
      <c r="R55" s="1">
        <v>8</v>
      </c>
      <c r="S55" s="22">
        <f>2.26*0.8*0.8*N55*0.662</f>
        <v>4.7875839999999998</v>
      </c>
    </row>
    <row r="56" spans="1:19" x14ac:dyDescent="0.3">
      <c r="A56" s="1" t="s">
        <v>96</v>
      </c>
      <c r="B56" s="21" t="s">
        <v>184</v>
      </c>
      <c r="C56" s="21">
        <v>1</v>
      </c>
      <c r="D56" s="4">
        <v>13</v>
      </c>
      <c r="E56" s="1">
        <v>362</v>
      </c>
      <c r="F56" s="1">
        <v>69</v>
      </c>
      <c r="G56" s="1">
        <v>14</v>
      </c>
      <c r="H56" s="1">
        <v>83</v>
      </c>
      <c r="I56" s="1" t="s">
        <v>183</v>
      </c>
      <c r="J56" s="1">
        <v>44</v>
      </c>
      <c r="K56" s="1">
        <v>2</v>
      </c>
      <c r="L56" s="1">
        <v>11</v>
      </c>
      <c r="M56" s="1">
        <v>172</v>
      </c>
      <c r="N56" s="1">
        <v>7</v>
      </c>
      <c r="O56" s="1">
        <v>50.5</v>
      </c>
      <c r="P56" s="1">
        <v>39</v>
      </c>
      <c r="Q56" s="1">
        <v>8</v>
      </c>
      <c r="R56" s="1">
        <v>8</v>
      </c>
      <c r="S56" s="22">
        <f>2.4*0.91*0.8*N56*0.662</f>
        <v>8.0965248000000027</v>
      </c>
    </row>
    <row r="57" spans="1:19" x14ac:dyDescent="0.3">
      <c r="A57" s="1" t="s">
        <v>96</v>
      </c>
      <c r="B57" s="21" t="s">
        <v>184</v>
      </c>
      <c r="C57" s="21">
        <v>1</v>
      </c>
      <c r="D57" s="4">
        <v>14</v>
      </c>
      <c r="E57" s="1">
        <v>337</v>
      </c>
      <c r="F57" s="1">
        <v>69</v>
      </c>
      <c r="G57" s="1">
        <v>13</v>
      </c>
      <c r="H57" s="1">
        <v>95</v>
      </c>
      <c r="I57" s="1" t="s">
        <v>175</v>
      </c>
      <c r="J57" s="1">
        <v>43</v>
      </c>
      <c r="K57" s="1">
        <v>1</v>
      </c>
      <c r="L57" s="1">
        <v>11</v>
      </c>
      <c r="M57" s="1">
        <v>158</v>
      </c>
      <c r="N57" s="1">
        <v>7</v>
      </c>
      <c r="O57" s="1">
        <v>46.7</v>
      </c>
      <c r="P57" s="1">
        <v>37</v>
      </c>
      <c r="Q57" s="1">
        <v>8</v>
      </c>
      <c r="R57" s="1">
        <v>7.6</v>
      </c>
      <c r="S57" s="22">
        <f>2.62*0.96*0.8*N57*0.662</f>
        <v>9.3243494400000024</v>
      </c>
    </row>
    <row r="58" spans="1:19" x14ac:dyDescent="0.3">
      <c r="A58" s="1" t="s">
        <v>96</v>
      </c>
      <c r="B58" s="21" t="s">
        <v>109</v>
      </c>
      <c r="C58" s="21">
        <v>3</v>
      </c>
      <c r="D58" s="4">
        <v>1</v>
      </c>
      <c r="E58" s="1">
        <v>383</v>
      </c>
      <c r="F58" s="1">
        <v>78</v>
      </c>
      <c r="G58" s="1">
        <v>15</v>
      </c>
      <c r="H58" s="1">
        <v>180</v>
      </c>
      <c r="I58" s="1" t="s">
        <v>176</v>
      </c>
      <c r="J58" s="1">
        <v>45</v>
      </c>
      <c r="K58" s="1">
        <v>3</v>
      </c>
      <c r="L58" s="1">
        <v>10</v>
      </c>
      <c r="M58" s="1">
        <v>237</v>
      </c>
      <c r="N58" s="1">
        <v>7</v>
      </c>
      <c r="O58" s="1">
        <v>58.7</v>
      </c>
      <c r="P58" s="1">
        <v>39</v>
      </c>
      <c r="Q58" s="1">
        <v>8</v>
      </c>
      <c r="R58" s="1">
        <v>9</v>
      </c>
      <c r="S58" s="22">
        <f>2.55*1.04*0.8*N58*0.662</f>
        <v>9.8314944000000004</v>
      </c>
    </row>
    <row r="59" spans="1:19" x14ac:dyDescent="0.3">
      <c r="A59" s="1" t="s">
        <v>96</v>
      </c>
      <c r="B59" s="21" t="s">
        <v>109</v>
      </c>
      <c r="C59" s="21">
        <v>3</v>
      </c>
      <c r="D59" s="4">
        <v>2</v>
      </c>
      <c r="E59" s="1">
        <v>336</v>
      </c>
      <c r="F59" s="1">
        <v>72</v>
      </c>
      <c r="G59" s="1">
        <v>11</v>
      </c>
      <c r="H59" s="1">
        <v>114</v>
      </c>
      <c r="I59" s="1" t="s">
        <v>183</v>
      </c>
      <c r="J59" s="1">
        <v>52</v>
      </c>
      <c r="K59" s="1">
        <v>10</v>
      </c>
      <c r="L59" s="1"/>
      <c r="M59" s="1"/>
      <c r="N59" s="1"/>
      <c r="O59" s="1"/>
      <c r="P59" s="1"/>
      <c r="Q59" s="1"/>
      <c r="R59" s="1"/>
      <c r="S59" s="1"/>
    </row>
    <row r="60" spans="1:19" x14ac:dyDescent="0.3">
      <c r="A60" s="1" t="s">
        <v>96</v>
      </c>
      <c r="B60" s="21" t="s">
        <v>109</v>
      </c>
      <c r="C60" s="21">
        <v>3</v>
      </c>
      <c r="D60" s="4">
        <v>3</v>
      </c>
      <c r="E60" s="1">
        <v>334</v>
      </c>
      <c r="F60" s="1">
        <v>68</v>
      </c>
      <c r="G60" s="1">
        <v>14</v>
      </c>
      <c r="H60" s="1">
        <v>130</v>
      </c>
      <c r="I60" s="1" t="s">
        <v>178</v>
      </c>
      <c r="J60" s="1">
        <v>46</v>
      </c>
      <c r="K60" s="1">
        <v>4</v>
      </c>
      <c r="L60" s="1">
        <v>11</v>
      </c>
      <c r="M60" s="1">
        <v>190</v>
      </c>
      <c r="N60" s="1">
        <v>5</v>
      </c>
      <c r="O60" s="1">
        <v>46</v>
      </c>
      <c r="P60" s="1">
        <v>38</v>
      </c>
      <c r="Q60" s="1">
        <v>7</v>
      </c>
      <c r="R60" s="1">
        <v>8.4</v>
      </c>
      <c r="S60" s="22">
        <f>2.48*0.95*0.8*N60*0.662</f>
        <v>6.2386879999999998</v>
      </c>
    </row>
    <row r="61" spans="1:19" x14ac:dyDescent="0.3">
      <c r="A61" s="1" t="s">
        <v>96</v>
      </c>
      <c r="B61" s="21" t="s">
        <v>109</v>
      </c>
      <c r="C61" s="21">
        <v>3</v>
      </c>
      <c r="D61" s="4">
        <v>4</v>
      </c>
      <c r="E61" s="1">
        <v>350</v>
      </c>
      <c r="F61" s="1">
        <v>71</v>
      </c>
      <c r="G61" s="1">
        <v>12</v>
      </c>
      <c r="H61" s="1">
        <v>168</v>
      </c>
      <c r="I61" s="1" t="s">
        <v>180</v>
      </c>
      <c r="J61" s="1">
        <v>40</v>
      </c>
      <c r="K61" s="1">
        <v>50</v>
      </c>
      <c r="L61" s="1">
        <v>11</v>
      </c>
      <c r="M61" s="1">
        <v>215</v>
      </c>
      <c r="N61" s="1">
        <v>6</v>
      </c>
      <c r="O61" s="1">
        <v>52.4</v>
      </c>
      <c r="P61" s="1">
        <v>39</v>
      </c>
      <c r="Q61" s="1">
        <v>8</v>
      </c>
      <c r="R61" s="1">
        <v>8</v>
      </c>
      <c r="S61" s="22">
        <f>2.45*1*0.8*N61*0.662</f>
        <v>7.7851200000000018</v>
      </c>
    </row>
    <row r="62" spans="1:19" x14ac:dyDescent="0.3">
      <c r="A62" s="1" t="s">
        <v>96</v>
      </c>
      <c r="B62" s="21" t="s">
        <v>109</v>
      </c>
      <c r="C62" s="21">
        <v>3</v>
      </c>
      <c r="D62" s="4">
        <v>5</v>
      </c>
      <c r="E62" s="1">
        <v>330</v>
      </c>
      <c r="F62" s="1">
        <v>64</v>
      </c>
      <c r="G62" s="1">
        <v>11</v>
      </c>
      <c r="H62" s="1">
        <v>165</v>
      </c>
      <c r="I62" s="1" t="s">
        <v>180</v>
      </c>
      <c r="J62" s="1">
        <v>40</v>
      </c>
      <c r="K62" s="1">
        <v>50</v>
      </c>
      <c r="L62" s="1">
        <v>11</v>
      </c>
      <c r="M62" s="1">
        <v>215</v>
      </c>
      <c r="N62" s="1">
        <v>6</v>
      </c>
      <c r="O62" s="1">
        <v>48</v>
      </c>
      <c r="P62" s="1">
        <v>40</v>
      </c>
      <c r="Q62" s="1">
        <v>8</v>
      </c>
      <c r="R62" s="1">
        <v>7.8</v>
      </c>
      <c r="S62" s="22">
        <f>2.35*0.9*0.8*N62*0.662</f>
        <v>6.7206240000000008</v>
      </c>
    </row>
    <row r="63" spans="1:19" x14ac:dyDescent="0.3">
      <c r="A63" s="1" t="s">
        <v>96</v>
      </c>
      <c r="B63" s="21" t="s">
        <v>109</v>
      </c>
      <c r="C63" s="21">
        <v>3</v>
      </c>
      <c r="D63" s="4">
        <v>6</v>
      </c>
      <c r="E63" s="1">
        <v>325</v>
      </c>
      <c r="F63" s="1">
        <v>61</v>
      </c>
      <c r="G63" s="1">
        <v>13</v>
      </c>
      <c r="H63" s="1">
        <v>95</v>
      </c>
      <c r="I63" s="1" t="s">
        <v>176</v>
      </c>
      <c r="J63" s="1">
        <v>45</v>
      </c>
      <c r="K63" s="1">
        <v>3</v>
      </c>
      <c r="L63" s="1">
        <v>11</v>
      </c>
      <c r="M63" s="1">
        <v>164</v>
      </c>
      <c r="N63" s="1">
        <v>4</v>
      </c>
      <c r="O63" s="1">
        <v>43.3</v>
      </c>
      <c r="P63" s="1">
        <v>39</v>
      </c>
      <c r="Q63" s="1">
        <v>7</v>
      </c>
      <c r="R63" s="1">
        <v>8.1999999999999993</v>
      </c>
      <c r="S63" s="22">
        <f>2.1*0.9*0.8*N63*0.662</f>
        <v>4.0037760000000011</v>
      </c>
    </row>
    <row r="64" spans="1:19" x14ac:dyDescent="0.3">
      <c r="A64" s="1" t="s">
        <v>96</v>
      </c>
      <c r="B64" s="21" t="s">
        <v>109</v>
      </c>
      <c r="C64" s="21">
        <v>3</v>
      </c>
      <c r="D64" s="4">
        <v>7</v>
      </c>
      <c r="E64" s="1">
        <v>345</v>
      </c>
      <c r="F64" s="1">
        <v>66</v>
      </c>
      <c r="G64" s="1">
        <v>11</v>
      </c>
      <c r="H64" s="1">
        <v>144</v>
      </c>
      <c r="I64" s="1" t="s">
        <v>173</v>
      </c>
      <c r="J64" s="1">
        <v>39</v>
      </c>
      <c r="K64" s="1">
        <v>49</v>
      </c>
      <c r="L64" s="1">
        <v>11</v>
      </c>
      <c r="M64" s="1">
        <v>175</v>
      </c>
      <c r="N64" s="1">
        <v>8</v>
      </c>
      <c r="O64" s="1">
        <v>49</v>
      </c>
      <c r="P64" s="1">
        <v>40</v>
      </c>
      <c r="Q64" s="1">
        <v>8</v>
      </c>
      <c r="R64" s="1">
        <v>8.1999999999999993</v>
      </c>
      <c r="S64" s="22">
        <f>2.45*0.92*0.8*N64*0.662</f>
        <v>9.5497472000000023</v>
      </c>
    </row>
    <row r="65" spans="1:19" x14ac:dyDescent="0.3">
      <c r="A65" s="1" t="s">
        <v>96</v>
      </c>
      <c r="B65" s="21" t="s">
        <v>109</v>
      </c>
      <c r="C65" s="21">
        <v>3</v>
      </c>
      <c r="D65" s="4">
        <v>8</v>
      </c>
      <c r="E65" s="1">
        <v>370</v>
      </c>
      <c r="F65" s="1">
        <v>69</v>
      </c>
      <c r="G65" s="1">
        <v>14</v>
      </c>
      <c r="H65" s="1">
        <v>125</v>
      </c>
      <c r="I65" s="1" t="s">
        <v>175</v>
      </c>
      <c r="J65" s="1">
        <v>42</v>
      </c>
      <c r="K65" s="1">
        <v>52</v>
      </c>
      <c r="L65" s="1">
        <v>11</v>
      </c>
      <c r="M65" s="1">
        <v>198</v>
      </c>
      <c r="N65" s="1">
        <v>4</v>
      </c>
      <c r="O65" s="1">
        <v>53.5</v>
      </c>
      <c r="P65" s="1">
        <v>39</v>
      </c>
      <c r="Q65" s="1">
        <v>8</v>
      </c>
      <c r="R65" s="1">
        <v>7.6</v>
      </c>
      <c r="S65" s="22">
        <f>2.3*0.85*0.8*N65*0.662</f>
        <v>4.1414720000000003</v>
      </c>
    </row>
    <row r="66" spans="1:19" x14ac:dyDescent="0.3">
      <c r="A66" s="1" t="s">
        <v>96</v>
      </c>
      <c r="B66" s="21" t="s">
        <v>109</v>
      </c>
      <c r="C66" s="21">
        <v>3</v>
      </c>
      <c r="D66" s="4">
        <v>9</v>
      </c>
      <c r="E66" s="1">
        <v>363</v>
      </c>
      <c r="F66" s="1">
        <v>70</v>
      </c>
      <c r="G66" s="1">
        <v>12</v>
      </c>
      <c r="H66" s="1">
        <v>100</v>
      </c>
      <c r="I66" s="1" t="s">
        <v>174</v>
      </c>
      <c r="J66" s="1">
        <v>42</v>
      </c>
      <c r="K66" s="1">
        <v>52</v>
      </c>
      <c r="L66" s="1">
        <v>11</v>
      </c>
      <c r="M66" s="1">
        <v>180</v>
      </c>
      <c r="N66" s="1">
        <v>5</v>
      </c>
      <c r="O66" s="1">
        <v>52</v>
      </c>
      <c r="P66" s="1">
        <v>39</v>
      </c>
      <c r="Q66" s="1">
        <v>8</v>
      </c>
      <c r="R66" s="1">
        <v>8</v>
      </c>
      <c r="S66" s="22">
        <f>2.55*0.88*0.8*N66*0.662</f>
        <v>5.9421119999999998</v>
      </c>
    </row>
    <row r="67" spans="1:19" x14ac:dyDescent="0.3">
      <c r="A67" s="1" t="s">
        <v>96</v>
      </c>
      <c r="B67" s="21" t="s">
        <v>109</v>
      </c>
      <c r="C67" s="21">
        <v>3</v>
      </c>
      <c r="D67" s="4">
        <v>10</v>
      </c>
      <c r="E67" s="1">
        <v>300</v>
      </c>
      <c r="F67" s="1">
        <v>60</v>
      </c>
      <c r="G67" s="1">
        <v>7</v>
      </c>
      <c r="H67" s="1">
        <v>161</v>
      </c>
      <c r="I67" s="1" t="s">
        <v>175</v>
      </c>
      <c r="J67" s="1">
        <v>51</v>
      </c>
      <c r="K67" s="1">
        <v>9</v>
      </c>
      <c r="L67" s="1"/>
      <c r="M67" s="1"/>
      <c r="N67" s="1"/>
      <c r="O67" s="1"/>
      <c r="P67" s="1"/>
      <c r="Q67" s="1"/>
      <c r="R67" s="1"/>
      <c r="S67" s="22"/>
    </row>
    <row r="68" spans="1:19" x14ac:dyDescent="0.3">
      <c r="A68" s="1" t="s">
        <v>96</v>
      </c>
      <c r="B68" s="21" t="s">
        <v>109</v>
      </c>
      <c r="C68" s="21">
        <v>3</v>
      </c>
      <c r="D68" s="4">
        <v>11</v>
      </c>
      <c r="E68" s="1">
        <v>340</v>
      </c>
      <c r="F68" s="1">
        <v>71</v>
      </c>
      <c r="G68" s="1">
        <v>12</v>
      </c>
      <c r="H68" s="1">
        <v>80</v>
      </c>
      <c r="I68" s="1" t="s">
        <v>183</v>
      </c>
      <c r="J68" s="1">
        <v>52</v>
      </c>
      <c r="K68" s="1">
        <v>10</v>
      </c>
      <c r="L68" s="1"/>
      <c r="M68" s="1"/>
      <c r="N68" s="1"/>
      <c r="O68" s="1"/>
      <c r="P68" s="1"/>
      <c r="Q68" s="1"/>
      <c r="R68" s="1"/>
      <c r="S68" s="22"/>
    </row>
    <row r="69" spans="1:19" x14ac:dyDescent="0.3">
      <c r="A69" s="1" t="s">
        <v>96</v>
      </c>
      <c r="B69" s="21" t="s">
        <v>109</v>
      </c>
      <c r="C69" s="21">
        <v>3</v>
      </c>
      <c r="D69" s="4">
        <v>12</v>
      </c>
      <c r="E69" s="1">
        <v>350</v>
      </c>
      <c r="F69" s="1">
        <v>63</v>
      </c>
      <c r="G69" s="1">
        <v>12</v>
      </c>
      <c r="H69" s="1">
        <v>156</v>
      </c>
      <c r="I69" s="1" t="s">
        <v>174</v>
      </c>
      <c r="J69" s="1">
        <v>42</v>
      </c>
      <c r="K69" s="1">
        <v>52</v>
      </c>
      <c r="L69" s="1">
        <v>11</v>
      </c>
      <c r="M69" s="1">
        <v>185</v>
      </c>
      <c r="N69" s="1">
        <v>6</v>
      </c>
      <c r="O69" s="1">
        <v>42</v>
      </c>
      <c r="P69" s="1">
        <v>39</v>
      </c>
      <c r="Q69" s="1">
        <v>7</v>
      </c>
      <c r="R69" s="1">
        <v>7.4</v>
      </c>
      <c r="S69" s="22">
        <f>2.4*0.88*0.8*N69*0.662</f>
        <v>6.7110912000000011</v>
      </c>
    </row>
    <row r="70" spans="1:19" x14ac:dyDescent="0.3">
      <c r="A70" s="1" t="s">
        <v>96</v>
      </c>
      <c r="B70" s="21" t="s">
        <v>109</v>
      </c>
      <c r="C70" s="21">
        <v>3</v>
      </c>
      <c r="D70" s="4">
        <v>13</v>
      </c>
      <c r="E70" s="1">
        <v>365</v>
      </c>
      <c r="F70" s="1">
        <v>72</v>
      </c>
      <c r="G70" s="1">
        <v>13</v>
      </c>
      <c r="H70" s="1">
        <v>110</v>
      </c>
      <c r="I70" s="1" t="s">
        <v>178</v>
      </c>
      <c r="J70" s="1">
        <v>46</v>
      </c>
      <c r="K70" s="1">
        <v>4</v>
      </c>
      <c r="L70" s="1">
        <v>11</v>
      </c>
      <c r="M70" s="1">
        <v>200</v>
      </c>
      <c r="N70" s="1">
        <v>5</v>
      </c>
      <c r="O70" s="1">
        <v>49.5</v>
      </c>
      <c r="P70" s="1">
        <v>38</v>
      </c>
      <c r="Q70" s="1">
        <v>8</v>
      </c>
      <c r="R70" s="1">
        <v>8.1999999999999993</v>
      </c>
      <c r="S70" s="22">
        <f>2.5*0.9*0.8*N70*0.662</f>
        <v>5.9580000000000002</v>
      </c>
    </row>
    <row r="71" spans="1:19" x14ac:dyDescent="0.3">
      <c r="A71" s="1" t="s">
        <v>96</v>
      </c>
      <c r="B71" s="21" t="s">
        <v>109</v>
      </c>
      <c r="C71" s="21">
        <v>3</v>
      </c>
      <c r="D71" s="4">
        <v>14</v>
      </c>
      <c r="E71" s="1">
        <v>367</v>
      </c>
      <c r="F71" s="1">
        <v>68</v>
      </c>
      <c r="G71" s="1">
        <v>12</v>
      </c>
      <c r="H71" s="1">
        <v>170</v>
      </c>
      <c r="I71" s="1" t="s">
        <v>179</v>
      </c>
      <c r="J71" s="1">
        <v>41</v>
      </c>
      <c r="K71" s="1">
        <v>51</v>
      </c>
      <c r="L71" s="1">
        <v>11</v>
      </c>
      <c r="M71" s="1">
        <v>230</v>
      </c>
      <c r="N71" s="1">
        <v>8</v>
      </c>
      <c r="O71" s="1">
        <v>53.5</v>
      </c>
      <c r="P71" s="1">
        <v>40</v>
      </c>
      <c r="Q71" s="1">
        <v>8</v>
      </c>
      <c r="R71" s="1">
        <v>8.4</v>
      </c>
      <c r="S71" s="22">
        <f>2.3*0.9*0.8*N71*0.662</f>
        <v>8.7701759999999993</v>
      </c>
    </row>
    <row r="72" spans="1:19" x14ac:dyDescent="0.3">
      <c r="A72" s="1" t="s">
        <v>96</v>
      </c>
      <c r="B72" s="21" t="s">
        <v>184</v>
      </c>
      <c r="C72" s="21">
        <v>2</v>
      </c>
      <c r="D72" s="4">
        <v>1</v>
      </c>
      <c r="E72" s="1">
        <v>351</v>
      </c>
      <c r="F72" s="1">
        <v>70</v>
      </c>
      <c r="G72" s="1">
        <v>13</v>
      </c>
      <c r="H72" s="1">
        <v>110</v>
      </c>
      <c r="I72" s="1" t="s">
        <v>175</v>
      </c>
      <c r="J72" s="1">
        <v>43</v>
      </c>
      <c r="K72" s="1">
        <v>1</v>
      </c>
      <c r="L72" s="1">
        <v>11</v>
      </c>
      <c r="M72" s="1">
        <v>170</v>
      </c>
      <c r="N72" s="1">
        <v>5</v>
      </c>
      <c r="O72" s="1">
        <v>52</v>
      </c>
      <c r="P72" s="1">
        <v>39</v>
      </c>
      <c r="Q72" s="1">
        <v>8</v>
      </c>
      <c r="R72" s="1">
        <v>8.1999999999999993</v>
      </c>
      <c r="S72" s="22">
        <f>2.45*0.98*0.8*N72*0.662</f>
        <v>6.3578480000000006</v>
      </c>
    </row>
    <row r="73" spans="1:19" x14ac:dyDescent="0.3">
      <c r="A73" s="1" t="s">
        <v>96</v>
      </c>
      <c r="B73" s="21" t="s">
        <v>184</v>
      </c>
      <c r="C73" s="21">
        <v>2</v>
      </c>
      <c r="D73" s="4">
        <v>2</v>
      </c>
      <c r="E73" s="1">
        <v>305</v>
      </c>
      <c r="F73" s="1">
        <v>60</v>
      </c>
      <c r="G73" s="1">
        <v>12</v>
      </c>
      <c r="H73" s="1">
        <v>125</v>
      </c>
      <c r="I73" s="1" t="s">
        <v>180</v>
      </c>
      <c r="J73" s="1">
        <v>48</v>
      </c>
      <c r="K73" s="1">
        <v>6</v>
      </c>
      <c r="L73" s="1">
        <v>11</v>
      </c>
      <c r="M73" s="1">
        <v>177</v>
      </c>
      <c r="N73" s="1">
        <v>6</v>
      </c>
      <c r="O73" s="1">
        <v>33</v>
      </c>
      <c r="P73" s="1">
        <v>38</v>
      </c>
      <c r="Q73" s="1">
        <v>7</v>
      </c>
      <c r="R73" s="1">
        <v>8.6</v>
      </c>
      <c r="S73" s="22">
        <f>2.14*0.89*0.8*N73*0.662</f>
        <v>6.0520569600000007</v>
      </c>
    </row>
    <row r="74" spans="1:19" x14ac:dyDescent="0.3">
      <c r="A74" s="1" t="s">
        <v>96</v>
      </c>
      <c r="B74" s="21" t="s">
        <v>184</v>
      </c>
      <c r="C74" s="21">
        <v>2</v>
      </c>
      <c r="D74" s="4">
        <v>3</v>
      </c>
      <c r="E74" s="1">
        <v>362</v>
      </c>
      <c r="F74" s="1">
        <v>72</v>
      </c>
      <c r="G74" s="1">
        <v>11</v>
      </c>
      <c r="H74" s="1">
        <v>160</v>
      </c>
      <c r="I74" s="1" t="s">
        <v>174</v>
      </c>
      <c r="J74" s="1">
        <v>50</v>
      </c>
      <c r="K74" s="1">
        <v>8</v>
      </c>
      <c r="L74" s="1"/>
      <c r="M74" s="1"/>
      <c r="N74" s="1"/>
      <c r="O74" s="1"/>
      <c r="P74" s="1"/>
      <c r="Q74" s="1"/>
      <c r="R74" s="1"/>
      <c r="S74" s="22"/>
    </row>
    <row r="75" spans="1:19" x14ac:dyDescent="0.3">
      <c r="A75" s="1" t="s">
        <v>96</v>
      </c>
      <c r="B75" s="21" t="s">
        <v>184</v>
      </c>
      <c r="C75" s="21">
        <v>2</v>
      </c>
      <c r="D75" s="4">
        <v>4</v>
      </c>
      <c r="E75" s="1">
        <v>336</v>
      </c>
      <c r="F75" s="1">
        <v>69</v>
      </c>
      <c r="G75" s="1">
        <v>10</v>
      </c>
      <c r="H75" s="1">
        <v>80</v>
      </c>
      <c r="I75" s="1" t="s">
        <v>175</v>
      </c>
      <c r="J75" s="1">
        <v>51</v>
      </c>
      <c r="K75" s="1">
        <v>9</v>
      </c>
      <c r="L75" s="1"/>
      <c r="M75" s="1"/>
      <c r="N75" s="1"/>
      <c r="O75" s="1"/>
      <c r="P75" s="1"/>
      <c r="Q75" s="1"/>
      <c r="R75" s="1"/>
      <c r="S75" s="22"/>
    </row>
    <row r="76" spans="1:19" x14ac:dyDescent="0.3">
      <c r="A76" s="1" t="s">
        <v>96</v>
      </c>
      <c r="B76" s="21" t="s">
        <v>184</v>
      </c>
      <c r="C76" s="21">
        <v>2</v>
      </c>
      <c r="D76" s="4">
        <v>5</v>
      </c>
      <c r="E76" s="1">
        <v>336</v>
      </c>
      <c r="F76" s="1">
        <v>62</v>
      </c>
      <c r="G76" s="1">
        <v>13</v>
      </c>
      <c r="H76" s="1">
        <v>90</v>
      </c>
      <c r="I76" s="1" t="s">
        <v>178</v>
      </c>
      <c r="J76" s="1">
        <v>46</v>
      </c>
      <c r="K76" s="1">
        <v>4</v>
      </c>
      <c r="L76" s="1">
        <v>12</v>
      </c>
      <c r="M76" s="1">
        <v>144</v>
      </c>
      <c r="N76" s="1">
        <v>4</v>
      </c>
      <c r="O76" s="1">
        <v>39.6</v>
      </c>
      <c r="P76" s="1">
        <v>39</v>
      </c>
      <c r="Q76" s="1">
        <v>7</v>
      </c>
      <c r="R76" s="1">
        <v>7.6</v>
      </c>
      <c r="S76" s="22">
        <f>2.5*0.88*0.8*N76*0.662</f>
        <v>4.6604800000000006</v>
      </c>
    </row>
    <row r="77" spans="1:19" x14ac:dyDescent="0.3">
      <c r="A77" s="1" t="s">
        <v>96</v>
      </c>
      <c r="B77" s="21" t="s">
        <v>184</v>
      </c>
      <c r="C77" s="21">
        <v>2</v>
      </c>
      <c r="D77" s="4">
        <v>6</v>
      </c>
      <c r="E77" s="1">
        <v>320</v>
      </c>
      <c r="F77" s="1">
        <v>66</v>
      </c>
      <c r="G77" s="1">
        <v>13</v>
      </c>
      <c r="H77" s="1">
        <v>86</v>
      </c>
      <c r="I77" s="1" t="s">
        <v>178</v>
      </c>
      <c r="J77" s="1">
        <v>46</v>
      </c>
      <c r="K77" s="1">
        <v>4</v>
      </c>
      <c r="L77" s="1">
        <v>11</v>
      </c>
      <c r="M77" s="1">
        <v>180</v>
      </c>
      <c r="N77" s="1">
        <v>4</v>
      </c>
      <c r="O77" s="1">
        <v>48</v>
      </c>
      <c r="P77" s="1">
        <v>37</v>
      </c>
      <c r="Q77" s="1">
        <v>8</v>
      </c>
      <c r="R77" s="1">
        <v>7.4</v>
      </c>
      <c r="S77" s="22">
        <f>2.15*0.91*0.8*N77*0.662</f>
        <v>4.1446496000000002</v>
      </c>
    </row>
    <row r="78" spans="1:19" x14ac:dyDescent="0.3">
      <c r="A78" s="1" t="s">
        <v>96</v>
      </c>
      <c r="B78" s="21" t="s">
        <v>184</v>
      </c>
      <c r="C78" s="21">
        <v>2</v>
      </c>
      <c r="D78" s="4">
        <v>7</v>
      </c>
      <c r="E78" s="1">
        <v>346</v>
      </c>
      <c r="F78" s="1">
        <v>69</v>
      </c>
      <c r="G78" s="1">
        <v>14</v>
      </c>
      <c r="H78" s="1">
        <v>78</v>
      </c>
      <c r="I78" s="1" t="s">
        <v>173</v>
      </c>
      <c r="J78" s="1">
        <v>3</v>
      </c>
      <c r="K78" s="1">
        <v>13</v>
      </c>
      <c r="L78" s="1">
        <v>11</v>
      </c>
      <c r="M78" s="1">
        <v>153</v>
      </c>
      <c r="N78" s="1">
        <v>6</v>
      </c>
      <c r="O78" s="1">
        <v>49.6</v>
      </c>
      <c r="P78" s="1">
        <v>39</v>
      </c>
      <c r="Q78" s="1">
        <v>8</v>
      </c>
      <c r="R78" s="1">
        <v>8.4</v>
      </c>
      <c r="S78" s="22">
        <f>2.5*1*0.8*N78*0.662</f>
        <v>7.9440000000000008</v>
      </c>
    </row>
    <row r="79" spans="1:19" x14ac:dyDescent="0.3">
      <c r="A79" s="1" t="s">
        <v>96</v>
      </c>
      <c r="B79" s="21" t="s">
        <v>184</v>
      </c>
      <c r="C79" s="21">
        <v>2</v>
      </c>
      <c r="D79" s="4">
        <v>8</v>
      </c>
      <c r="E79" s="1">
        <v>325</v>
      </c>
      <c r="F79" s="1">
        <v>63</v>
      </c>
      <c r="G79" s="1">
        <v>12</v>
      </c>
      <c r="H79" s="1">
        <v>60</v>
      </c>
      <c r="I79" s="1" t="s">
        <v>176</v>
      </c>
      <c r="J79" s="1">
        <v>45</v>
      </c>
      <c r="K79" s="1">
        <v>3</v>
      </c>
      <c r="L79" s="1">
        <v>11</v>
      </c>
      <c r="M79" s="1">
        <v>130</v>
      </c>
      <c r="N79" s="1">
        <v>5</v>
      </c>
      <c r="O79" s="1">
        <v>45.3</v>
      </c>
      <c r="P79" s="1">
        <v>38</v>
      </c>
      <c r="Q79" s="1">
        <v>7</v>
      </c>
      <c r="R79" s="1">
        <v>8</v>
      </c>
      <c r="S79" s="22">
        <f>2.12*0.8*0.8*N79*0.662</f>
        <v>4.4910080000000008</v>
      </c>
    </row>
    <row r="80" spans="1:19" x14ac:dyDescent="0.3">
      <c r="A80" s="1" t="s">
        <v>96</v>
      </c>
      <c r="B80" s="21" t="s">
        <v>184</v>
      </c>
      <c r="C80" s="21">
        <v>2</v>
      </c>
      <c r="D80" s="4">
        <v>9</v>
      </c>
      <c r="E80" s="1">
        <v>331</v>
      </c>
      <c r="F80" s="1">
        <v>64</v>
      </c>
      <c r="G80" s="1">
        <v>12</v>
      </c>
      <c r="H80" s="1">
        <v>85</v>
      </c>
      <c r="I80" s="1" t="s">
        <v>183</v>
      </c>
      <c r="J80" s="1">
        <v>44</v>
      </c>
      <c r="K80" s="1">
        <v>2</v>
      </c>
      <c r="L80" s="1">
        <v>11</v>
      </c>
      <c r="M80" s="1">
        <v>170</v>
      </c>
      <c r="N80" s="1">
        <v>5</v>
      </c>
      <c r="O80" s="1">
        <v>42</v>
      </c>
      <c r="P80" s="1">
        <v>38</v>
      </c>
      <c r="Q80" s="1">
        <v>7</v>
      </c>
      <c r="R80" s="1">
        <v>8</v>
      </c>
      <c r="S80" s="22">
        <f>2.36*0.9*0.8*N80*0.662</f>
        <v>5.6243520000000018</v>
      </c>
    </row>
    <row r="81" spans="1:19" x14ac:dyDescent="0.3">
      <c r="A81" s="1" t="s">
        <v>96</v>
      </c>
      <c r="B81" s="21" t="s">
        <v>184</v>
      </c>
      <c r="C81" s="21">
        <v>2</v>
      </c>
      <c r="D81" s="4">
        <v>10</v>
      </c>
      <c r="E81" s="1">
        <v>330</v>
      </c>
      <c r="F81" s="1">
        <v>66</v>
      </c>
      <c r="G81" s="1">
        <v>10</v>
      </c>
      <c r="H81" s="1">
        <v>130</v>
      </c>
      <c r="I81" s="1" t="s">
        <v>176</v>
      </c>
      <c r="J81" s="1">
        <v>45</v>
      </c>
      <c r="K81" s="1">
        <v>3</v>
      </c>
      <c r="L81" s="1">
        <v>11</v>
      </c>
      <c r="M81" s="1">
        <v>220</v>
      </c>
      <c r="N81" s="1">
        <v>2</v>
      </c>
      <c r="O81" s="1">
        <v>43.4</v>
      </c>
      <c r="P81" s="1">
        <v>38</v>
      </c>
      <c r="Q81" s="1">
        <v>8</v>
      </c>
      <c r="R81" s="1">
        <v>8.1999999999999993</v>
      </c>
      <c r="S81" s="22">
        <f>2.3*0.92*0.8*N81*0.662</f>
        <v>2.2412672000000002</v>
      </c>
    </row>
    <row r="82" spans="1:19" x14ac:dyDescent="0.3">
      <c r="A82" s="1" t="s">
        <v>96</v>
      </c>
      <c r="B82" s="21" t="s">
        <v>184</v>
      </c>
      <c r="C82" s="21">
        <v>2</v>
      </c>
      <c r="D82" s="4">
        <v>11</v>
      </c>
      <c r="E82" s="1">
        <v>316</v>
      </c>
      <c r="F82" s="1">
        <v>60</v>
      </c>
      <c r="G82" s="1">
        <v>9</v>
      </c>
      <c r="H82" s="1">
        <v>86</v>
      </c>
      <c r="I82" s="1" t="s">
        <v>179</v>
      </c>
      <c r="J82" s="1">
        <v>49</v>
      </c>
      <c r="K82" s="1">
        <v>7</v>
      </c>
      <c r="L82" s="1"/>
      <c r="M82" s="1"/>
      <c r="N82" s="1"/>
      <c r="O82" s="1"/>
      <c r="P82" s="1"/>
      <c r="Q82" s="1"/>
      <c r="R82" s="1"/>
      <c r="S82" s="22"/>
    </row>
    <row r="83" spans="1:19" x14ac:dyDescent="0.3">
      <c r="A83" s="1" t="s">
        <v>96</v>
      </c>
      <c r="B83" s="21" t="s">
        <v>184</v>
      </c>
      <c r="C83" s="21">
        <v>2</v>
      </c>
      <c r="D83" s="4">
        <v>12</v>
      </c>
      <c r="E83" s="1">
        <v>272</v>
      </c>
      <c r="F83" s="1">
        <v>55</v>
      </c>
      <c r="G83" s="1">
        <v>7</v>
      </c>
      <c r="H83" s="1">
        <v>95</v>
      </c>
      <c r="I83" s="1" t="s">
        <v>175</v>
      </c>
      <c r="J83" s="1">
        <v>51</v>
      </c>
      <c r="K83" s="1">
        <v>9</v>
      </c>
      <c r="L83" s="1"/>
      <c r="M83" s="1"/>
      <c r="N83" s="1"/>
      <c r="O83" s="1"/>
      <c r="P83" s="1"/>
      <c r="Q83" s="1"/>
      <c r="R83" s="1"/>
      <c r="S83" s="22"/>
    </row>
    <row r="84" spans="1:19" x14ac:dyDescent="0.3">
      <c r="A84" s="1" t="s">
        <v>96</v>
      </c>
      <c r="B84" s="21" t="s">
        <v>184</v>
      </c>
      <c r="C84" s="21">
        <v>2</v>
      </c>
      <c r="D84" s="4">
        <v>13</v>
      </c>
      <c r="E84" s="1">
        <v>282</v>
      </c>
      <c r="F84" s="1">
        <v>57</v>
      </c>
      <c r="G84" s="1">
        <v>7</v>
      </c>
      <c r="H84" s="1">
        <v>124</v>
      </c>
      <c r="I84" s="1" t="s">
        <v>179</v>
      </c>
      <c r="J84" s="1">
        <v>49</v>
      </c>
      <c r="K84" s="1">
        <v>7</v>
      </c>
      <c r="L84" s="1"/>
      <c r="M84" s="1"/>
      <c r="N84" s="1"/>
      <c r="O84" s="1"/>
      <c r="P84" s="1"/>
      <c r="Q84" s="1"/>
      <c r="R84" s="1"/>
      <c r="S84" s="22"/>
    </row>
    <row r="85" spans="1:19" x14ac:dyDescent="0.3">
      <c r="A85" s="1" t="s">
        <v>96</v>
      </c>
      <c r="B85" s="21" t="s">
        <v>184</v>
      </c>
      <c r="C85" s="21">
        <v>2</v>
      </c>
      <c r="D85" s="4">
        <v>14</v>
      </c>
      <c r="E85" s="1">
        <v>266</v>
      </c>
      <c r="F85" s="1">
        <v>53</v>
      </c>
      <c r="G85" s="1">
        <v>11</v>
      </c>
      <c r="H85" s="1">
        <v>87</v>
      </c>
      <c r="I85" s="1" t="s">
        <v>183</v>
      </c>
      <c r="J85" s="1">
        <v>44</v>
      </c>
      <c r="K85" s="1">
        <v>2</v>
      </c>
      <c r="L85" s="1">
        <v>11</v>
      </c>
      <c r="M85" s="1">
        <v>148</v>
      </c>
      <c r="N85" s="1">
        <v>5</v>
      </c>
      <c r="O85" s="1">
        <v>28.6</v>
      </c>
      <c r="P85" s="1">
        <v>38</v>
      </c>
      <c r="Q85" s="1">
        <v>6</v>
      </c>
      <c r="R85" s="1">
        <v>7.8</v>
      </c>
      <c r="S85" s="22">
        <f>2.05*0.77*0.8*N85*0.662</f>
        <v>4.1798679999999999</v>
      </c>
    </row>
    <row r="86" spans="1:19" x14ac:dyDescent="0.3">
      <c r="A86" s="1" t="s">
        <v>96</v>
      </c>
      <c r="B86" s="21" t="s">
        <v>97</v>
      </c>
      <c r="C86" s="21">
        <v>2</v>
      </c>
      <c r="D86" s="4">
        <v>1</v>
      </c>
      <c r="E86" s="1">
        <v>320</v>
      </c>
      <c r="F86" s="1">
        <v>64</v>
      </c>
      <c r="G86" s="1">
        <v>13</v>
      </c>
      <c r="H86" s="1">
        <v>100</v>
      </c>
      <c r="I86" s="1" t="s">
        <v>180</v>
      </c>
      <c r="J86" s="1">
        <v>48</v>
      </c>
      <c r="K86" s="1">
        <v>6</v>
      </c>
      <c r="L86" s="1"/>
      <c r="M86" s="1"/>
      <c r="N86" s="1"/>
      <c r="O86" s="1"/>
      <c r="P86" s="1"/>
      <c r="Q86" s="1"/>
      <c r="R86" s="1"/>
      <c r="S86" s="22"/>
    </row>
    <row r="87" spans="1:19" x14ac:dyDescent="0.3">
      <c r="A87" s="1" t="s">
        <v>96</v>
      </c>
      <c r="B87" s="21" t="s">
        <v>97</v>
      </c>
      <c r="C87" s="21">
        <v>2</v>
      </c>
      <c r="D87" s="4">
        <v>2</v>
      </c>
      <c r="E87" s="1">
        <v>340</v>
      </c>
      <c r="F87" s="1">
        <v>64</v>
      </c>
      <c r="G87" s="1">
        <v>12</v>
      </c>
      <c r="H87" s="1">
        <v>70</v>
      </c>
      <c r="I87" s="1" t="s">
        <v>180</v>
      </c>
      <c r="J87" s="1">
        <v>48</v>
      </c>
      <c r="K87" s="1">
        <v>6</v>
      </c>
      <c r="L87" s="1"/>
      <c r="M87" s="1"/>
      <c r="N87" s="1"/>
      <c r="O87" s="1"/>
      <c r="P87" s="1"/>
      <c r="Q87" s="1"/>
      <c r="R87" s="1"/>
      <c r="S87" s="22"/>
    </row>
    <row r="88" spans="1:19" x14ac:dyDescent="0.3">
      <c r="A88" s="1" t="s">
        <v>96</v>
      </c>
      <c r="B88" s="21" t="s">
        <v>97</v>
      </c>
      <c r="C88" s="21">
        <v>2</v>
      </c>
      <c r="D88" s="4">
        <v>3</v>
      </c>
      <c r="E88" s="1">
        <v>320</v>
      </c>
      <c r="F88" s="1">
        <v>62</v>
      </c>
      <c r="G88" s="1">
        <v>9</v>
      </c>
      <c r="H88" s="1">
        <v>203</v>
      </c>
      <c r="I88" s="1" t="s">
        <v>179</v>
      </c>
      <c r="J88" s="1">
        <v>49</v>
      </c>
      <c r="K88" s="1">
        <v>7</v>
      </c>
      <c r="L88" s="1"/>
      <c r="M88" s="1"/>
      <c r="N88" s="1"/>
      <c r="O88" s="1"/>
      <c r="P88" s="1"/>
      <c r="Q88" s="1"/>
      <c r="R88" s="1"/>
      <c r="S88" s="22"/>
    </row>
    <row r="89" spans="1:19" x14ac:dyDescent="0.3">
      <c r="A89" s="1" t="s">
        <v>96</v>
      </c>
      <c r="B89" s="21" t="s">
        <v>97</v>
      </c>
      <c r="C89" s="21">
        <v>2</v>
      </c>
      <c r="D89" s="4">
        <v>4</v>
      </c>
      <c r="E89" s="1">
        <v>325</v>
      </c>
      <c r="F89" s="1">
        <v>67</v>
      </c>
      <c r="G89" s="1">
        <v>10</v>
      </c>
      <c r="H89" s="1">
        <v>103</v>
      </c>
      <c r="I89" s="1" t="s">
        <v>173</v>
      </c>
      <c r="J89" s="1">
        <v>3</v>
      </c>
      <c r="K89" s="1">
        <v>13</v>
      </c>
      <c r="L89" s="1">
        <v>11</v>
      </c>
      <c r="M89" s="1">
        <v>150</v>
      </c>
      <c r="N89" s="1">
        <v>6</v>
      </c>
      <c r="O89" s="1">
        <v>33.9</v>
      </c>
      <c r="P89" s="1">
        <v>37</v>
      </c>
      <c r="Q89" s="1">
        <v>7</v>
      </c>
      <c r="R89" s="1">
        <v>7.4</v>
      </c>
      <c r="S89" s="22">
        <f>2.38*0.89*0.8*N89*0.662</f>
        <v>6.7307923200000008</v>
      </c>
    </row>
    <row r="90" spans="1:19" x14ac:dyDescent="0.3">
      <c r="A90" s="1" t="s">
        <v>96</v>
      </c>
      <c r="B90" s="21" t="s">
        <v>97</v>
      </c>
      <c r="C90" s="21">
        <v>2</v>
      </c>
      <c r="D90" s="4">
        <v>5</v>
      </c>
      <c r="E90" s="1">
        <v>294</v>
      </c>
      <c r="F90" s="1">
        <v>55</v>
      </c>
      <c r="G90" s="1">
        <v>8</v>
      </c>
      <c r="H90" s="1">
        <v>110</v>
      </c>
      <c r="I90" s="1" t="s">
        <v>185</v>
      </c>
      <c r="J90" s="1">
        <v>43</v>
      </c>
      <c r="K90" s="1">
        <v>1</v>
      </c>
      <c r="L90" s="1">
        <v>11</v>
      </c>
      <c r="M90" s="1">
        <v>154</v>
      </c>
      <c r="N90" s="1">
        <v>7</v>
      </c>
      <c r="O90" s="1">
        <v>34</v>
      </c>
      <c r="P90" s="1">
        <v>39</v>
      </c>
      <c r="Q90" s="1">
        <v>6</v>
      </c>
      <c r="R90" s="1">
        <v>7.8</v>
      </c>
      <c r="S90" s="22">
        <f>2.3*0.78*0.8*N90*0.662</f>
        <v>6.6507168000000005</v>
      </c>
    </row>
    <row r="91" spans="1:19" x14ac:dyDescent="0.3">
      <c r="A91" s="1" t="s">
        <v>96</v>
      </c>
      <c r="B91" s="21" t="s">
        <v>97</v>
      </c>
      <c r="C91" s="21">
        <v>2</v>
      </c>
      <c r="D91" s="4">
        <v>6</v>
      </c>
      <c r="E91" s="1">
        <v>360</v>
      </c>
      <c r="F91" s="1">
        <v>67</v>
      </c>
      <c r="G91" s="1">
        <v>12</v>
      </c>
      <c r="H91" s="1">
        <v>103</v>
      </c>
      <c r="I91" s="1" t="s">
        <v>173</v>
      </c>
      <c r="J91" s="1">
        <v>3</v>
      </c>
      <c r="K91" s="1">
        <v>13</v>
      </c>
      <c r="L91" s="1">
        <v>11</v>
      </c>
      <c r="M91" s="1">
        <v>210</v>
      </c>
      <c r="N91" s="1">
        <v>7</v>
      </c>
      <c r="O91" s="1">
        <v>45.9</v>
      </c>
      <c r="P91" s="1">
        <v>37</v>
      </c>
      <c r="Q91" s="1">
        <v>8</v>
      </c>
      <c r="R91" s="1">
        <v>8.1999999999999993</v>
      </c>
      <c r="S91" s="22">
        <f>2.6*1*0.8*N91*0.662</f>
        <v>9.6387200000000011</v>
      </c>
    </row>
    <row r="92" spans="1:19" x14ac:dyDescent="0.3">
      <c r="A92" s="1" t="s">
        <v>96</v>
      </c>
      <c r="B92" s="21" t="s">
        <v>97</v>
      </c>
      <c r="C92" s="21">
        <v>2</v>
      </c>
      <c r="D92" s="4">
        <v>7</v>
      </c>
      <c r="E92" s="1">
        <v>310</v>
      </c>
      <c r="F92" s="1">
        <v>57</v>
      </c>
      <c r="G92" s="1">
        <v>10</v>
      </c>
      <c r="H92" s="1">
        <v>60</v>
      </c>
      <c r="I92" s="1" t="s">
        <v>178</v>
      </c>
      <c r="J92" s="1">
        <v>46</v>
      </c>
      <c r="K92" s="1">
        <v>4</v>
      </c>
      <c r="L92" s="1">
        <v>11</v>
      </c>
      <c r="M92" s="1">
        <v>145</v>
      </c>
      <c r="N92" s="1">
        <v>6</v>
      </c>
      <c r="O92" s="1">
        <v>28.1</v>
      </c>
      <c r="P92" s="1">
        <v>38</v>
      </c>
      <c r="Q92" s="1">
        <v>6</v>
      </c>
      <c r="R92" s="1">
        <v>7.4</v>
      </c>
      <c r="S92" s="22">
        <f>2.8*0.81*0.8*N92*0.662</f>
        <v>7.2067968000000002</v>
      </c>
    </row>
    <row r="93" spans="1:19" x14ac:dyDescent="0.3">
      <c r="A93" s="1" t="s">
        <v>96</v>
      </c>
      <c r="B93" s="21" t="s">
        <v>97</v>
      </c>
      <c r="C93" s="21">
        <v>2</v>
      </c>
      <c r="D93" s="4">
        <v>8</v>
      </c>
      <c r="E93" s="1">
        <v>327</v>
      </c>
      <c r="F93" s="1">
        <v>63</v>
      </c>
      <c r="G93" s="1">
        <v>11</v>
      </c>
      <c r="H93" s="1">
        <v>102</v>
      </c>
      <c r="I93" s="1" t="s">
        <v>179</v>
      </c>
      <c r="J93" s="1">
        <v>49</v>
      </c>
      <c r="K93" s="1">
        <v>7</v>
      </c>
      <c r="L93" s="1"/>
      <c r="M93" s="1"/>
      <c r="N93" s="1"/>
      <c r="O93" s="1"/>
      <c r="P93" s="1"/>
      <c r="Q93" s="1"/>
      <c r="R93" s="1"/>
      <c r="S93" s="22"/>
    </row>
    <row r="94" spans="1:19" x14ac:dyDescent="0.3">
      <c r="A94" s="1" t="s">
        <v>96</v>
      </c>
      <c r="B94" s="21" t="s">
        <v>97</v>
      </c>
      <c r="C94" s="21">
        <v>2</v>
      </c>
      <c r="D94" s="4">
        <v>9</v>
      </c>
      <c r="E94" s="1">
        <v>312</v>
      </c>
      <c r="F94" s="1">
        <v>58</v>
      </c>
      <c r="G94" s="1">
        <v>12</v>
      </c>
      <c r="H94" s="1">
        <v>88</v>
      </c>
      <c r="I94" s="1" t="s">
        <v>173</v>
      </c>
      <c r="J94" s="1">
        <v>3</v>
      </c>
      <c r="K94" s="1">
        <v>13</v>
      </c>
      <c r="L94" s="1">
        <v>11</v>
      </c>
      <c r="M94" s="1">
        <v>133</v>
      </c>
      <c r="N94" s="1">
        <v>6</v>
      </c>
      <c r="O94" s="1">
        <v>27.8</v>
      </c>
      <c r="P94" s="1">
        <v>38</v>
      </c>
      <c r="Q94" s="1">
        <v>6</v>
      </c>
      <c r="R94" s="1">
        <v>7.8</v>
      </c>
      <c r="S94" s="22">
        <f>2.1*0.88*0.8*N94*0.662</f>
        <v>5.8722048000000004</v>
      </c>
    </row>
    <row r="95" spans="1:19" x14ac:dyDescent="0.3">
      <c r="A95" s="1" t="s">
        <v>96</v>
      </c>
      <c r="B95" s="21" t="s">
        <v>97</v>
      </c>
      <c r="C95" s="21">
        <v>2</v>
      </c>
      <c r="D95" s="4">
        <v>10</v>
      </c>
      <c r="E95" s="1">
        <v>338</v>
      </c>
      <c r="F95" s="1">
        <v>61</v>
      </c>
      <c r="G95" s="1">
        <v>13</v>
      </c>
      <c r="H95" s="1">
        <v>55</v>
      </c>
      <c r="I95" s="1" t="s">
        <v>176</v>
      </c>
      <c r="J95" s="1">
        <v>45</v>
      </c>
      <c r="K95" s="1">
        <v>3</v>
      </c>
      <c r="L95" s="1">
        <v>11</v>
      </c>
      <c r="M95" s="1">
        <v>130</v>
      </c>
      <c r="N95" s="1">
        <v>5</v>
      </c>
      <c r="O95" s="1">
        <v>41</v>
      </c>
      <c r="P95" s="1">
        <v>38</v>
      </c>
      <c r="Q95" s="1">
        <v>7</v>
      </c>
      <c r="R95" s="1">
        <v>8.1999999999999993</v>
      </c>
      <c r="S95" s="22">
        <f>2.4*0.8*0.8*N95*0.662</f>
        <v>5.0841599999999998</v>
      </c>
    </row>
    <row r="96" spans="1:19" x14ac:dyDescent="0.3">
      <c r="A96" s="1" t="s">
        <v>96</v>
      </c>
      <c r="B96" s="21" t="s">
        <v>97</v>
      </c>
      <c r="C96" s="21">
        <v>2</v>
      </c>
      <c r="D96" s="4">
        <v>11</v>
      </c>
      <c r="E96" s="1">
        <v>303</v>
      </c>
      <c r="F96" s="1">
        <v>60</v>
      </c>
      <c r="G96" s="1">
        <v>12</v>
      </c>
      <c r="H96" s="1">
        <v>90</v>
      </c>
      <c r="I96" s="1" t="s">
        <v>183</v>
      </c>
      <c r="J96" s="1">
        <v>44</v>
      </c>
      <c r="K96" s="1">
        <v>2</v>
      </c>
      <c r="L96" s="1">
        <v>11</v>
      </c>
      <c r="M96" s="1">
        <v>150</v>
      </c>
      <c r="N96" s="1">
        <v>4</v>
      </c>
      <c r="O96" s="1">
        <v>40.5</v>
      </c>
      <c r="P96" s="1">
        <v>38</v>
      </c>
      <c r="Q96" s="1">
        <v>7</v>
      </c>
      <c r="R96" s="1">
        <v>8</v>
      </c>
      <c r="S96" s="22">
        <f>2.2*0.84*0.8*N96*0.662</f>
        <v>3.9148032000000006</v>
      </c>
    </row>
    <row r="97" spans="1:19" x14ac:dyDescent="0.3">
      <c r="A97" s="1" t="s">
        <v>96</v>
      </c>
      <c r="B97" s="21" t="s">
        <v>97</v>
      </c>
      <c r="C97" s="21">
        <v>2</v>
      </c>
      <c r="D97" s="4">
        <v>12</v>
      </c>
      <c r="E97" s="1">
        <v>315</v>
      </c>
      <c r="F97" s="1">
        <v>59</v>
      </c>
      <c r="G97" s="1">
        <v>13</v>
      </c>
      <c r="H97" s="1">
        <v>87</v>
      </c>
      <c r="I97" s="1" t="s">
        <v>176</v>
      </c>
      <c r="J97" s="1">
        <v>45</v>
      </c>
      <c r="K97" s="1">
        <v>3</v>
      </c>
      <c r="L97" s="1">
        <v>11</v>
      </c>
      <c r="M97" s="1">
        <v>142</v>
      </c>
      <c r="N97" s="1">
        <v>5</v>
      </c>
      <c r="O97" s="1">
        <v>32.200000000000003</v>
      </c>
      <c r="P97" s="1">
        <v>38</v>
      </c>
      <c r="Q97" s="1">
        <v>6</v>
      </c>
      <c r="R97" s="1">
        <v>7.8</v>
      </c>
      <c r="S97" s="22">
        <f>2*0.86*0.8*N97*0.662</f>
        <v>4.5545600000000004</v>
      </c>
    </row>
    <row r="98" spans="1:19" x14ac:dyDescent="0.3">
      <c r="A98" s="1" t="s">
        <v>96</v>
      </c>
      <c r="B98" s="21" t="s">
        <v>97</v>
      </c>
      <c r="C98" s="21">
        <v>2</v>
      </c>
      <c r="D98" s="4">
        <v>13</v>
      </c>
      <c r="E98" s="1">
        <v>311</v>
      </c>
      <c r="F98" s="1">
        <v>61</v>
      </c>
      <c r="G98" s="1">
        <v>12</v>
      </c>
      <c r="H98" s="1">
        <v>127</v>
      </c>
      <c r="I98" s="1" t="s">
        <v>183</v>
      </c>
      <c r="J98" s="1">
        <v>44</v>
      </c>
      <c r="K98" s="1">
        <v>2</v>
      </c>
      <c r="L98" s="1">
        <v>11</v>
      </c>
      <c r="M98" s="1">
        <v>180</v>
      </c>
      <c r="N98" s="1">
        <v>5</v>
      </c>
      <c r="O98" s="1">
        <v>40</v>
      </c>
      <c r="P98" s="1">
        <v>39</v>
      </c>
      <c r="Q98" s="1">
        <v>7</v>
      </c>
      <c r="R98" s="1">
        <v>8</v>
      </c>
      <c r="S98" s="22">
        <f>2.37*0.9*0.8*N98*0.662</f>
        <v>5.6481840000000005</v>
      </c>
    </row>
    <row r="99" spans="1:19" x14ac:dyDescent="0.3">
      <c r="A99" s="1" t="s">
        <v>96</v>
      </c>
      <c r="B99" s="21" t="s">
        <v>97</v>
      </c>
      <c r="C99" s="21">
        <v>2</v>
      </c>
      <c r="D99" s="4">
        <v>14</v>
      </c>
      <c r="E99" s="1">
        <v>262</v>
      </c>
      <c r="F99" s="1">
        <v>53</v>
      </c>
      <c r="G99" s="1">
        <v>8</v>
      </c>
      <c r="H99" s="1">
        <v>97</v>
      </c>
      <c r="I99" s="1" t="s">
        <v>174</v>
      </c>
      <c r="J99" s="1">
        <v>50</v>
      </c>
      <c r="K99" s="1">
        <v>8</v>
      </c>
      <c r="L99" s="1"/>
      <c r="M99" s="1"/>
      <c r="N99" s="1"/>
      <c r="O99" s="1"/>
      <c r="P99" s="1"/>
      <c r="Q99" s="1"/>
      <c r="R99" s="1"/>
      <c r="S99" s="22"/>
    </row>
    <row r="100" spans="1:19" x14ac:dyDescent="0.3">
      <c r="A100" s="1" t="s">
        <v>96</v>
      </c>
      <c r="B100" s="21" t="s">
        <v>172</v>
      </c>
      <c r="C100" s="21">
        <v>3</v>
      </c>
      <c r="D100" s="4">
        <v>1</v>
      </c>
      <c r="E100" s="1">
        <v>342</v>
      </c>
      <c r="F100" s="1">
        <v>70</v>
      </c>
      <c r="G100" s="1">
        <v>14</v>
      </c>
      <c r="H100" s="1">
        <v>130</v>
      </c>
      <c r="I100" s="1" t="s">
        <v>178</v>
      </c>
      <c r="J100" s="1">
        <v>46</v>
      </c>
      <c r="K100" s="1">
        <v>4</v>
      </c>
      <c r="L100" s="1">
        <v>11</v>
      </c>
      <c r="M100" s="1">
        <v>190</v>
      </c>
      <c r="N100" s="1">
        <v>5</v>
      </c>
      <c r="O100" s="1">
        <v>49.5</v>
      </c>
      <c r="P100" s="1">
        <v>39</v>
      </c>
      <c r="Q100" s="1">
        <v>8</v>
      </c>
      <c r="R100" s="1">
        <v>8.1999999999999993</v>
      </c>
      <c r="S100" s="22">
        <f>2.4*0.9*0.8*N100*0.662</f>
        <v>5.7196800000000003</v>
      </c>
    </row>
    <row r="101" spans="1:19" x14ac:dyDescent="0.3">
      <c r="A101" s="1" t="s">
        <v>96</v>
      </c>
      <c r="B101" s="21" t="s">
        <v>172</v>
      </c>
      <c r="C101" s="21">
        <v>3</v>
      </c>
      <c r="D101" s="4">
        <v>2</v>
      </c>
      <c r="E101" s="1">
        <v>300</v>
      </c>
      <c r="F101" s="1">
        <v>60</v>
      </c>
      <c r="G101" s="1">
        <v>12</v>
      </c>
      <c r="H101" s="1">
        <v>80</v>
      </c>
      <c r="I101" s="1" t="s">
        <v>176</v>
      </c>
      <c r="J101" s="1">
        <v>1</v>
      </c>
      <c r="K101" s="1">
        <v>11</v>
      </c>
      <c r="L101" s="1"/>
      <c r="M101" s="1"/>
      <c r="N101" s="1"/>
      <c r="O101" s="1"/>
      <c r="P101" s="1"/>
      <c r="Q101" s="1"/>
      <c r="R101" s="1"/>
      <c r="S101" s="22"/>
    </row>
    <row r="102" spans="1:19" x14ac:dyDescent="0.3">
      <c r="A102" s="1" t="s">
        <v>96</v>
      </c>
      <c r="B102" s="21" t="s">
        <v>172</v>
      </c>
      <c r="C102" s="21">
        <v>3</v>
      </c>
      <c r="D102" s="4">
        <v>3</v>
      </c>
      <c r="E102" s="1">
        <v>335</v>
      </c>
      <c r="F102" s="1">
        <v>67</v>
      </c>
      <c r="G102" s="1">
        <v>12</v>
      </c>
      <c r="H102" s="1">
        <v>100</v>
      </c>
      <c r="I102" s="1" t="s">
        <v>183</v>
      </c>
      <c r="J102" s="1">
        <v>44</v>
      </c>
      <c r="K102" s="1">
        <v>2</v>
      </c>
      <c r="L102" s="1">
        <v>11</v>
      </c>
      <c r="M102" s="1">
        <v>165</v>
      </c>
      <c r="N102" s="1">
        <v>6</v>
      </c>
      <c r="O102" s="1">
        <v>44</v>
      </c>
      <c r="P102" s="1">
        <v>39</v>
      </c>
      <c r="Q102" s="1">
        <v>7</v>
      </c>
      <c r="R102" s="1">
        <v>8.1999999999999993</v>
      </c>
      <c r="S102" s="22">
        <f>2.4*0.9*0.8*N102*0.662</f>
        <v>6.8636160000000022</v>
      </c>
    </row>
    <row r="103" spans="1:19" x14ac:dyDescent="0.3">
      <c r="A103" s="1" t="s">
        <v>96</v>
      </c>
      <c r="B103" s="21" t="s">
        <v>172</v>
      </c>
      <c r="C103" s="21">
        <v>3</v>
      </c>
      <c r="D103" s="4">
        <v>4</v>
      </c>
      <c r="E103" s="1">
        <v>296</v>
      </c>
      <c r="F103" s="1">
        <v>61</v>
      </c>
      <c r="G103" s="1">
        <v>11</v>
      </c>
      <c r="H103" s="1">
        <v>64</v>
      </c>
      <c r="I103" s="1" t="s">
        <v>173</v>
      </c>
      <c r="J103" s="1">
        <v>3</v>
      </c>
      <c r="K103" s="1">
        <v>13</v>
      </c>
      <c r="L103" s="1">
        <v>11</v>
      </c>
      <c r="M103" s="1">
        <v>105</v>
      </c>
      <c r="N103" s="1">
        <v>4</v>
      </c>
      <c r="O103" s="1">
        <v>41</v>
      </c>
      <c r="P103" s="1">
        <v>38</v>
      </c>
      <c r="Q103" s="1">
        <v>7</v>
      </c>
      <c r="R103" s="1">
        <v>8.1999999999999993</v>
      </c>
      <c r="S103" s="22">
        <f>2.3*0.88*0.8*N103*0.662</f>
        <v>4.2876416000000006</v>
      </c>
    </row>
    <row r="104" spans="1:19" x14ac:dyDescent="0.3">
      <c r="A104" s="1" t="s">
        <v>96</v>
      </c>
      <c r="B104" s="21" t="s">
        <v>172</v>
      </c>
      <c r="C104" s="21">
        <v>3</v>
      </c>
      <c r="D104" s="4">
        <v>5</v>
      </c>
      <c r="E104" s="1">
        <v>352</v>
      </c>
      <c r="F104" s="1">
        <v>65</v>
      </c>
      <c r="G104" s="1">
        <v>12</v>
      </c>
      <c r="H104" s="1">
        <v>95</v>
      </c>
      <c r="I104" s="1" t="s">
        <v>176</v>
      </c>
      <c r="J104" s="1">
        <v>45</v>
      </c>
      <c r="K104" s="1">
        <v>3</v>
      </c>
      <c r="L104" s="1">
        <v>10</v>
      </c>
      <c r="M104" s="1">
        <v>164</v>
      </c>
      <c r="N104" s="1">
        <v>5</v>
      </c>
      <c r="O104" s="1">
        <v>44.4</v>
      </c>
      <c r="P104" s="1">
        <v>39</v>
      </c>
      <c r="Q104" s="1">
        <v>7</v>
      </c>
      <c r="R104" s="1">
        <v>8.4</v>
      </c>
      <c r="S104" s="22">
        <f>2.4*0.95*0.8*N104*0.662</f>
        <v>6.0374400000000001</v>
      </c>
    </row>
    <row r="105" spans="1:19" x14ac:dyDescent="0.3">
      <c r="A105" s="1" t="s">
        <v>96</v>
      </c>
      <c r="B105" s="21" t="s">
        <v>172</v>
      </c>
      <c r="C105" s="21">
        <v>3</v>
      </c>
      <c r="D105" s="4">
        <v>6</v>
      </c>
      <c r="E105" s="1">
        <v>300</v>
      </c>
      <c r="F105" s="1">
        <v>56</v>
      </c>
      <c r="G105" s="1">
        <v>13</v>
      </c>
      <c r="H105" s="1">
        <v>58</v>
      </c>
      <c r="I105" s="1" t="s">
        <v>178</v>
      </c>
      <c r="J105" s="1">
        <v>46</v>
      </c>
      <c r="K105" s="1">
        <v>4</v>
      </c>
      <c r="L105" s="1">
        <v>11</v>
      </c>
      <c r="M105" s="1">
        <v>126</v>
      </c>
      <c r="N105" s="1">
        <v>4</v>
      </c>
      <c r="O105" s="1">
        <v>34</v>
      </c>
      <c r="P105" s="1">
        <v>39</v>
      </c>
      <c r="Q105" s="1">
        <v>6</v>
      </c>
      <c r="R105" s="1">
        <v>7.6</v>
      </c>
      <c r="S105" s="22">
        <f>2.1*0.88*0.8*N105*0.662</f>
        <v>3.9148032000000006</v>
      </c>
    </row>
    <row r="106" spans="1:19" x14ac:dyDescent="0.3">
      <c r="A106" s="1" t="s">
        <v>96</v>
      </c>
      <c r="B106" s="21" t="s">
        <v>172</v>
      </c>
      <c r="C106" s="21">
        <v>3</v>
      </c>
      <c r="D106" s="4">
        <v>7</v>
      </c>
      <c r="E106" s="1">
        <v>338</v>
      </c>
      <c r="F106" s="1">
        <v>64</v>
      </c>
      <c r="G106" s="1">
        <v>11</v>
      </c>
      <c r="H106" s="1">
        <v>110</v>
      </c>
      <c r="I106" s="1" t="s">
        <v>175</v>
      </c>
      <c r="J106" s="1">
        <v>43</v>
      </c>
      <c r="K106" s="1">
        <v>1</v>
      </c>
      <c r="L106" s="1">
        <v>11</v>
      </c>
      <c r="M106" s="1">
        <v>185</v>
      </c>
      <c r="N106" s="1">
        <v>6</v>
      </c>
      <c r="O106" s="1">
        <v>41</v>
      </c>
      <c r="P106" s="1">
        <v>39</v>
      </c>
      <c r="Q106" s="1">
        <v>7</v>
      </c>
      <c r="R106" s="1">
        <v>7.6</v>
      </c>
      <c r="S106" s="22">
        <f>2.35*0.9*0.8*N106*0.662</f>
        <v>6.7206240000000008</v>
      </c>
    </row>
    <row r="107" spans="1:19" x14ac:dyDescent="0.3">
      <c r="A107" s="1" t="s">
        <v>96</v>
      </c>
      <c r="B107" s="21" t="s">
        <v>172</v>
      </c>
      <c r="C107" s="21">
        <v>3</v>
      </c>
      <c r="D107" s="4">
        <v>8</v>
      </c>
      <c r="E107" s="1">
        <v>284</v>
      </c>
      <c r="F107" s="1">
        <v>57</v>
      </c>
      <c r="G107" s="1">
        <v>14</v>
      </c>
      <c r="H107" s="1">
        <v>96</v>
      </c>
      <c r="I107" s="1" t="s">
        <v>180</v>
      </c>
      <c r="J107" s="1">
        <v>48</v>
      </c>
      <c r="K107" s="1">
        <v>6</v>
      </c>
      <c r="L107" s="1"/>
      <c r="M107" s="1"/>
      <c r="N107" s="1"/>
      <c r="O107" s="1"/>
      <c r="P107" s="1"/>
      <c r="Q107" s="1"/>
      <c r="R107" s="1"/>
      <c r="S107" s="22"/>
    </row>
    <row r="108" spans="1:19" x14ac:dyDescent="0.3">
      <c r="A108" s="1" t="s">
        <v>96</v>
      </c>
      <c r="B108" s="21" t="s">
        <v>172</v>
      </c>
      <c r="C108" s="21">
        <v>3</v>
      </c>
      <c r="D108" s="4">
        <v>9</v>
      </c>
      <c r="E108" s="1">
        <v>355</v>
      </c>
      <c r="F108" s="1">
        <v>66</v>
      </c>
      <c r="G108" s="1">
        <v>12</v>
      </c>
      <c r="H108" s="1">
        <v>150</v>
      </c>
      <c r="I108" s="1" t="s">
        <v>185</v>
      </c>
      <c r="J108" s="1">
        <v>43</v>
      </c>
      <c r="K108" s="1">
        <v>1</v>
      </c>
      <c r="L108" s="1">
        <v>12</v>
      </c>
      <c r="M108" s="1">
        <v>240</v>
      </c>
      <c r="N108" s="1">
        <v>6</v>
      </c>
      <c r="O108" s="1">
        <v>47.3</v>
      </c>
      <c r="P108" s="1">
        <v>40</v>
      </c>
      <c r="Q108" s="1">
        <v>7</v>
      </c>
      <c r="R108" s="1">
        <v>8.4</v>
      </c>
      <c r="S108" s="22">
        <f>2.5*0.8*0.8*N108*0.662</f>
        <v>6.3552000000000008</v>
      </c>
    </row>
    <row r="109" spans="1:19" x14ac:dyDescent="0.3">
      <c r="A109" s="1" t="s">
        <v>96</v>
      </c>
      <c r="B109" s="21" t="s">
        <v>172</v>
      </c>
      <c r="C109" s="21">
        <v>3</v>
      </c>
      <c r="D109" s="4">
        <v>10</v>
      </c>
      <c r="E109" s="1">
        <v>297</v>
      </c>
      <c r="F109" s="1">
        <v>59</v>
      </c>
      <c r="G109" s="1">
        <v>13</v>
      </c>
      <c r="H109" s="1">
        <v>60</v>
      </c>
      <c r="I109" s="1" t="s">
        <v>173</v>
      </c>
      <c r="J109" s="1">
        <v>3</v>
      </c>
      <c r="K109" s="1"/>
      <c r="L109" s="1"/>
      <c r="M109" s="1"/>
      <c r="N109" s="1"/>
      <c r="O109" s="1"/>
      <c r="P109" s="1"/>
      <c r="Q109" s="1"/>
      <c r="R109" s="1"/>
      <c r="S109" s="22"/>
    </row>
    <row r="110" spans="1:19" x14ac:dyDescent="0.3">
      <c r="A110" s="1" t="s">
        <v>96</v>
      </c>
      <c r="B110" s="21" t="s">
        <v>172</v>
      </c>
      <c r="C110" s="21">
        <v>3</v>
      </c>
      <c r="D110" s="4">
        <v>11</v>
      </c>
      <c r="E110" s="1">
        <v>352</v>
      </c>
      <c r="F110" s="1">
        <v>72</v>
      </c>
      <c r="G110" s="1">
        <v>15</v>
      </c>
      <c r="H110" s="1">
        <v>84</v>
      </c>
      <c r="I110" s="1" t="s">
        <v>180</v>
      </c>
      <c r="J110" s="1">
        <v>48</v>
      </c>
      <c r="K110" s="1">
        <v>6</v>
      </c>
      <c r="L110" s="1">
        <v>11</v>
      </c>
      <c r="M110" s="1">
        <v>230</v>
      </c>
      <c r="N110" s="1">
        <v>7</v>
      </c>
      <c r="O110" s="1">
        <v>46</v>
      </c>
      <c r="P110" s="1">
        <v>38</v>
      </c>
      <c r="Q110" s="1">
        <v>8</v>
      </c>
      <c r="R110" s="1">
        <v>8.1999999999999993</v>
      </c>
      <c r="S110" s="22">
        <f>2.66*1.08*0.8*N110*0.662</f>
        <v>10.650044160000002</v>
      </c>
    </row>
    <row r="111" spans="1:19" x14ac:dyDescent="0.3">
      <c r="A111" s="1" t="s">
        <v>96</v>
      </c>
      <c r="B111" s="21" t="s">
        <v>172</v>
      </c>
      <c r="C111" s="21">
        <v>3</v>
      </c>
      <c r="D111" s="4">
        <v>12</v>
      </c>
      <c r="E111" s="1">
        <v>360</v>
      </c>
      <c r="F111" s="1">
        <v>70</v>
      </c>
      <c r="G111" s="1">
        <v>12</v>
      </c>
      <c r="H111" s="1">
        <v>144</v>
      </c>
      <c r="I111" s="1" t="s">
        <v>185</v>
      </c>
      <c r="J111" s="1">
        <v>43</v>
      </c>
      <c r="K111" s="1">
        <v>1</v>
      </c>
      <c r="L111" s="1">
        <v>12</v>
      </c>
      <c r="M111" s="1">
        <v>183</v>
      </c>
      <c r="N111" s="1">
        <v>5</v>
      </c>
      <c r="O111" s="1">
        <v>49.9</v>
      </c>
      <c r="P111" s="1">
        <v>38</v>
      </c>
      <c r="Q111" s="1">
        <v>8</v>
      </c>
      <c r="R111" s="1">
        <v>8.1999999999999993</v>
      </c>
      <c r="S111" s="22">
        <f>2.27*0.92*0.8*N111*0.662</f>
        <v>5.5300832</v>
      </c>
    </row>
    <row r="112" spans="1:19" x14ac:dyDescent="0.3">
      <c r="A112" s="1" t="s">
        <v>96</v>
      </c>
      <c r="B112" s="21" t="s">
        <v>172</v>
      </c>
      <c r="C112" s="21">
        <v>3</v>
      </c>
      <c r="D112" s="4">
        <v>13</v>
      </c>
      <c r="E112" s="1">
        <v>370</v>
      </c>
      <c r="F112" s="1">
        <v>72</v>
      </c>
      <c r="G112" s="1">
        <v>14</v>
      </c>
      <c r="H112" s="1">
        <v>153</v>
      </c>
      <c r="I112" s="1" t="s">
        <v>181</v>
      </c>
      <c r="J112" s="1">
        <v>45</v>
      </c>
      <c r="K112" s="1">
        <v>3</v>
      </c>
      <c r="L112" s="1">
        <v>11</v>
      </c>
      <c r="M112" s="1">
        <v>215</v>
      </c>
      <c r="N112" s="1">
        <v>6</v>
      </c>
      <c r="O112" s="1">
        <v>43.4</v>
      </c>
      <c r="P112" s="1">
        <v>38</v>
      </c>
      <c r="Q112" s="1">
        <v>7</v>
      </c>
      <c r="R112" s="1">
        <v>7.8</v>
      </c>
      <c r="S112" s="22">
        <f>2.3*0.9*0.8*N112*0.662</f>
        <v>6.5776320000000004</v>
      </c>
    </row>
    <row r="113" spans="1:19" x14ac:dyDescent="0.3">
      <c r="A113" s="1" t="s">
        <v>96</v>
      </c>
      <c r="B113" s="21" t="s">
        <v>172</v>
      </c>
      <c r="C113" s="21">
        <v>3</v>
      </c>
      <c r="D113" s="4">
        <v>14</v>
      </c>
      <c r="E113" s="1">
        <v>340</v>
      </c>
      <c r="F113" s="1">
        <v>66</v>
      </c>
      <c r="G113" s="1">
        <v>10</v>
      </c>
      <c r="H113" s="1">
        <v>80</v>
      </c>
      <c r="I113" s="1" t="s">
        <v>179</v>
      </c>
      <c r="J113" s="1">
        <v>49</v>
      </c>
      <c r="K113" s="1">
        <v>7</v>
      </c>
      <c r="L113" s="1"/>
      <c r="M113" s="1"/>
      <c r="N113" s="1"/>
      <c r="O113" s="1"/>
      <c r="P113" s="1"/>
      <c r="Q113" s="1"/>
      <c r="R113" s="1"/>
      <c r="S113" s="22"/>
    </row>
    <row r="114" spans="1:19" x14ac:dyDescent="0.3">
      <c r="A114" s="1" t="s">
        <v>96</v>
      </c>
      <c r="B114" s="21" t="s">
        <v>109</v>
      </c>
      <c r="C114" s="21">
        <v>1</v>
      </c>
      <c r="D114" s="4">
        <v>1</v>
      </c>
      <c r="E114" s="1">
        <v>345</v>
      </c>
      <c r="F114" s="1">
        <v>72</v>
      </c>
      <c r="G114" s="1">
        <v>14</v>
      </c>
      <c r="H114" s="1">
        <v>100</v>
      </c>
      <c r="I114" s="1" t="s">
        <v>180</v>
      </c>
      <c r="J114" s="1">
        <v>48</v>
      </c>
      <c r="K114" s="1">
        <v>6</v>
      </c>
      <c r="L114" s="1">
        <v>11</v>
      </c>
      <c r="M114" s="1">
        <v>212</v>
      </c>
      <c r="N114" s="1">
        <v>6</v>
      </c>
      <c r="O114" s="1">
        <v>39</v>
      </c>
      <c r="P114" s="1">
        <v>37</v>
      </c>
      <c r="Q114" s="1">
        <v>7</v>
      </c>
      <c r="R114" s="1">
        <v>8.1999999999999993</v>
      </c>
      <c r="S114" s="22">
        <f>2.56*0.9*0.8*N114*0.662</f>
        <v>7.3211904000000017</v>
      </c>
    </row>
    <row r="115" spans="1:19" x14ac:dyDescent="0.3">
      <c r="A115" s="1" t="s">
        <v>96</v>
      </c>
      <c r="B115" s="21" t="s">
        <v>109</v>
      </c>
      <c r="C115" s="21">
        <v>1</v>
      </c>
      <c r="D115" s="4">
        <v>2</v>
      </c>
      <c r="E115" s="1">
        <v>324</v>
      </c>
      <c r="F115" s="1">
        <v>64</v>
      </c>
      <c r="G115" s="1">
        <v>12</v>
      </c>
      <c r="H115" s="1">
        <v>96</v>
      </c>
      <c r="I115" s="1" t="s">
        <v>180</v>
      </c>
      <c r="J115" s="1">
        <v>48</v>
      </c>
      <c r="K115" s="1">
        <v>6</v>
      </c>
      <c r="L115" s="1"/>
      <c r="M115" s="1"/>
      <c r="N115" s="1"/>
      <c r="O115" s="1"/>
      <c r="P115" s="1"/>
      <c r="Q115" s="1"/>
      <c r="R115" s="1"/>
      <c r="S115" s="22"/>
    </row>
    <row r="116" spans="1:19" x14ac:dyDescent="0.3">
      <c r="A116" s="1" t="s">
        <v>96</v>
      </c>
      <c r="B116" s="21" t="s">
        <v>109</v>
      </c>
      <c r="C116" s="21">
        <v>1</v>
      </c>
      <c r="D116" s="4">
        <v>3</v>
      </c>
      <c r="E116" s="1">
        <v>320</v>
      </c>
      <c r="F116" s="1">
        <v>61</v>
      </c>
      <c r="G116" s="1">
        <v>13</v>
      </c>
      <c r="H116" s="1">
        <v>115</v>
      </c>
      <c r="I116" s="1" t="s">
        <v>183</v>
      </c>
      <c r="J116" s="1">
        <v>44</v>
      </c>
      <c r="K116" s="1">
        <v>2</v>
      </c>
      <c r="L116" s="1">
        <v>11</v>
      </c>
      <c r="M116" s="1">
        <v>165</v>
      </c>
      <c r="N116" s="1">
        <v>5</v>
      </c>
      <c r="O116" s="1">
        <v>41</v>
      </c>
      <c r="P116" s="1">
        <v>39</v>
      </c>
      <c r="Q116" s="1">
        <v>7</v>
      </c>
      <c r="R116" s="1">
        <v>8</v>
      </c>
      <c r="S116" s="22">
        <f>2.2*0.85*0.8*N116*0.662</f>
        <v>4.951760000000001</v>
      </c>
    </row>
    <row r="117" spans="1:19" x14ac:dyDescent="0.3">
      <c r="A117" s="1" t="s">
        <v>96</v>
      </c>
      <c r="B117" s="21" t="s">
        <v>109</v>
      </c>
      <c r="C117" s="21">
        <v>1</v>
      </c>
      <c r="D117" s="4">
        <v>4</v>
      </c>
      <c r="E117" s="1">
        <v>328</v>
      </c>
      <c r="F117" s="1">
        <v>62</v>
      </c>
      <c r="G117" s="1">
        <v>12</v>
      </c>
      <c r="H117" s="1">
        <v>97</v>
      </c>
      <c r="I117" s="1" t="s">
        <v>173</v>
      </c>
      <c r="J117" s="1">
        <v>3</v>
      </c>
      <c r="K117" s="1">
        <v>13</v>
      </c>
      <c r="L117" s="1">
        <v>11</v>
      </c>
      <c r="M117" s="1">
        <v>152</v>
      </c>
      <c r="N117" s="1">
        <v>5</v>
      </c>
      <c r="O117" s="1">
        <v>40.1</v>
      </c>
      <c r="P117" s="1">
        <v>38</v>
      </c>
      <c r="Q117" s="1">
        <v>7</v>
      </c>
      <c r="R117" s="1">
        <v>8</v>
      </c>
      <c r="S117" s="22">
        <f>2.5*0.9*0.8*N117*0.662</f>
        <v>5.9580000000000002</v>
      </c>
    </row>
    <row r="118" spans="1:19" x14ac:dyDescent="0.3">
      <c r="A118" s="1" t="s">
        <v>96</v>
      </c>
      <c r="B118" s="21" t="s">
        <v>109</v>
      </c>
      <c r="C118" s="21">
        <v>1</v>
      </c>
      <c r="D118" s="4">
        <v>5</v>
      </c>
      <c r="E118" s="1">
        <v>330</v>
      </c>
      <c r="F118" s="1">
        <v>58</v>
      </c>
      <c r="G118" s="1">
        <v>13</v>
      </c>
      <c r="H118" s="1">
        <v>100</v>
      </c>
      <c r="I118" s="1" t="s">
        <v>183</v>
      </c>
      <c r="J118" s="1">
        <v>44</v>
      </c>
      <c r="K118" s="1">
        <v>2</v>
      </c>
      <c r="L118" s="1">
        <v>11</v>
      </c>
      <c r="M118" s="1">
        <v>160</v>
      </c>
      <c r="N118" s="1">
        <v>5</v>
      </c>
      <c r="O118" s="1">
        <v>41</v>
      </c>
      <c r="P118" s="1">
        <v>39</v>
      </c>
      <c r="Q118" s="1">
        <v>7</v>
      </c>
      <c r="R118" s="1">
        <v>8</v>
      </c>
      <c r="S118" s="22">
        <f>2.25*0.9*0.8*N118*0.662</f>
        <v>5.3622000000000014</v>
      </c>
    </row>
    <row r="119" spans="1:19" x14ac:dyDescent="0.3">
      <c r="A119" s="1" t="s">
        <v>96</v>
      </c>
      <c r="B119" s="21" t="s">
        <v>109</v>
      </c>
      <c r="C119" s="21">
        <v>1</v>
      </c>
      <c r="D119" s="4">
        <v>6</v>
      </c>
      <c r="E119" s="1">
        <v>366</v>
      </c>
      <c r="F119" s="1">
        <v>58</v>
      </c>
      <c r="G119" s="1">
        <v>14</v>
      </c>
      <c r="H119" s="1">
        <v>108</v>
      </c>
      <c r="I119" s="1" t="s">
        <v>183</v>
      </c>
      <c r="J119" s="1">
        <v>44</v>
      </c>
      <c r="K119" s="1">
        <v>2</v>
      </c>
      <c r="L119" s="1">
        <v>11</v>
      </c>
      <c r="M119" s="1">
        <v>195</v>
      </c>
      <c r="N119" s="1">
        <v>5</v>
      </c>
      <c r="O119" s="1">
        <v>38</v>
      </c>
      <c r="P119" s="1">
        <v>39</v>
      </c>
      <c r="Q119" s="1">
        <v>6</v>
      </c>
      <c r="R119" s="1">
        <v>8.1999999999999993</v>
      </c>
      <c r="S119" s="22">
        <f>2.3*0.85*0.8*N119*0.662</f>
        <v>5.1768400000000003</v>
      </c>
    </row>
    <row r="120" spans="1:19" x14ac:dyDescent="0.3">
      <c r="A120" s="1" t="s">
        <v>96</v>
      </c>
      <c r="B120" s="21" t="s">
        <v>109</v>
      </c>
      <c r="C120" s="21">
        <v>1</v>
      </c>
      <c r="D120" s="4">
        <v>7</v>
      </c>
      <c r="E120" s="1">
        <v>305</v>
      </c>
      <c r="F120" s="1">
        <v>63</v>
      </c>
      <c r="G120" s="1">
        <v>10</v>
      </c>
      <c r="H120" s="1">
        <v>174</v>
      </c>
      <c r="I120" s="1" t="s">
        <v>175</v>
      </c>
      <c r="J120" s="1">
        <v>51</v>
      </c>
      <c r="K120" s="1">
        <v>9</v>
      </c>
      <c r="L120" s="1"/>
      <c r="M120" s="1"/>
      <c r="N120" s="1"/>
      <c r="O120" s="1"/>
      <c r="P120" s="1"/>
      <c r="Q120" s="1"/>
      <c r="R120" s="1"/>
      <c r="S120" s="22"/>
    </row>
    <row r="121" spans="1:19" x14ac:dyDescent="0.3">
      <c r="A121" s="1" t="s">
        <v>96</v>
      </c>
      <c r="B121" s="21" t="s">
        <v>109</v>
      </c>
      <c r="C121" s="21">
        <v>1</v>
      </c>
      <c r="D121" s="4">
        <v>8</v>
      </c>
      <c r="E121" s="1">
        <v>311</v>
      </c>
      <c r="F121" s="1">
        <v>65</v>
      </c>
      <c r="G121" s="1">
        <v>8</v>
      </c>
      <c r="H121" s="1">
        <v>190</v>
      </c>
      <c r="I121" s="1" t="s">
        <v>175</v>
      </c>
      <c r="J121" s="1">
        <v>51</v>
      </c>
      <c r="K121" s="1">
        <v>9</v>
      </c>
      <c r="L121" s="1"/>
      <c r="M121" s="1"/>
      <c r="N121" s="1"/>
      <c r="O121" s="1"/>
      <c r="P121" s="1"/>
      <c r="Q121" s="1"/>
      <c r="R121" s="1"/>
      <c r="S121" s="22"/>
    </row>
    <row r="122" spans="1:19" x14ac:dyDescent="0.3">
      <c r="A122" s="1" t="s">
        <v>96</v>
      </c>
      <c r="B122" s="21" t="s">
        <v>109</v>
      </c>
      <c r="C122" s="21">
        <v>1</v>
      </c>
      <c r="D122" s="4">
        <v>9</v>
      </c>
      <c r="E122" s="1">
        <v>354</v>
      </c>
      <c r="F122" s="1">
        <v>72</v>
      </c>
      <c r="G122" s="1">
        <v>12</v>
      </c>
      <c r="H122" s="1">
        <v>190</v>
      </c>
      <c r="I122" s="1" t="s">
        <v>178</v>
      </c>
      <c r="J122" s="1">
        <v>46</v>
      </c>
      <c r="K122" s="1">
        <v>4</v>
      </c>
      <c r="L122" s="1">
        <v>11</v>
      </c>
      <c r="M122" s="1">
        <v>205</v>
      </c>
      <c r="N122" s="1">
        <v>6</v>
      </c>
      <c r="O122" s="1">
        <v>48.5</v>
      </c>
      <c r="P122" s="1">
        <v>39</v>
      </c>
      <c r="Q122" s="1">
        <v>8</v>
      </c>
      <c r="R122" s="1">
        <v>8.1999999999999993</v>
      </c>
      <c r="S122" s="22">
        <f>2.4*0.9*0.8*N122*0.662</f>
        <v>6.8636160000000022</v>
      </c>
    </row>
    <row r="123" spans="1:19" x14ac:dyDescent="0.3">
      <c r="A123" s="1" t="s">
        <v>96</v>
      </c>
      <c r="B123" s="21" t="s">
        <v>109</v>
      </c>
      <c r="C123" s="21">
        <v>1</v>
      </c>
      <c r="D123" s="4">
        <v>10</v>
      </c>
      <c r="E123" s="1">
        <v>311</v>
      </c>
      <c r="F123" s="1">
        <v>64</v>
      </c>
      <c r="G123" s="1">
        <v>10</v>
      </c>
      <c r="H123" s="1">
        <v>171</v>
      </c>
      <c r="I123" s="1" t="s">
        <v>179</v>
      </c>
      <c r="J123" s="1">
        <v>49</v>
      </c>
      <c r="K123" s="1">
        <v>7</v>
      </c>
      <c r="L123" s="1"/>
      <c r="M123" s="1"/>
      <c r="N123" s="1"/>
      <c r="O123" s="1"/>
      <c r="P123" s="1"/>
      <c r="Q123" s="1"/>
      <c r="R123" s="1"/>
      <c r="S123" s="22"/>
    </row>
    <row r="124" spans="1:19" x14ac:dyDescent="0.3">
      <c r="A124" s="1" t="s">
        <v>96</v>
      </c>
      <c r="B124" s="21" t="s">
        <v>109</v>
      </c>
      <c r="C124" s="21">
        <v>1</v>
      </c>
      <c r="D124" s="4">
        <v>11</v>
      </c>
      <c r="E124" s="1">
        <v>335</v>
      </c>
      <c r="F124" s="1">
        <v>67</v>
      </c>
      <c r="G124" s="1">
        <v>12</v>
      </c>
      <c r="H124" s="1">
        <v>95</v>
      </c>
      <c r="I124" s="1" t="s">
        <v>178</v>
      </c>
      <c r="J124" s="1">
        <v>46</v>
      </c>
      <c r="K124" s="1">
        <v>4</v>
      </c>
      <c r="L124" s="1">
        <v>11</v>
      </c>
      <c r="M124" s="1">
        <v>177</v>
      </c>
      <c r="N124" s="1">
        <v>5</v>
      </c>
      <c r="O124" s="1">
        <v>43</v>
      </c>
      <c r="P124" s="1">
        <v>38</v>
      </c>
      <c r="Q124" s="1">
        <v>7</v>
      </c>
      <c r="R124" s="1">
        <v>8.1999999999999993</v>
      </c>
      <c r="S124" s="22">
        <f>2.4*0.9*0.8*N124*0.662</f>
        <v>5.7196800000000003</v>
      </c>
    </row>
    <row r="125" spans="1:19" x14ac:dyDescent="0.3">
      <c r="A125" s="1" t="s">
        <v>96</v>
      </c>
      <c r="B125" s="21" t="s">
        <v>109</v>
      </c>
      <c r="C125" s="21">
        <v>1</v>
      </c>
      <c r="D125" s="4">
        <v>12</v>
      </c>
      <c r="E125" s="1">
        <v>316</v>
      </c>
      <c r="F125" s="1">
        <v>61</v>
      </c>
      <c r="G125" s="1">
        <v>11</v>
      </c>
      <c r="H125" s="1">
        <v>80</v>
      </c>
      <c r="I125" s="1" t="s">
        <v>175</v>
      </c>
      <c r="J125" s="1">
        <v>43</v>
      </c>
      <c r="K125" s="1">
        <v>1</v>
      </c>
      <c r="L125" s="1">
        <v>11</v>
      </c>
      <c r="M125" s="1">
        <v>184</v>
      </c>
      <c r="N125" s="1">
        <v>7</v>
      </c>
      <c r="O125" s="1">
        <v>42</v>
      </c>
      <c r="P125" s="1">
        <v>39</v>
      </c>
      <c r="Q125" s="1">
        <v>7</v>
      </c>
      <c r="R125" s="1">
        <v>7.8</v>
      </c>
      <c r="S125" s="22">
        <f>2.2*0.8*0.8*N125*0.662</f>
        <v>6.5246720000000016</v>
      </c>
    </row>
    <row r="126" spans="1:19" x14ac:dyDescent="0.3">
      <c r="A126" s="1" t="s">
        <v>96</v>
      </c>
      <c r="B126" s="21" t="s">
        <v>109</v>
      </c>
      <c r="C126" s="21">
        <v>1</v>
      </c>
      <c r="D126" s="4">
        <v>13</v>
      </c>
      <c r="E126" s="1">
        <v>325</v>
      </c>
      <c r="F126" s="1">
        <v>60</v>
      </c>
      <c r="G126" s="1">
        <v>10</v>
      </c>
      <c r="H126" s="1">
        <v>100</v>
      </c>
      <c r="I126" s="1" t="s">
        <v>183</v>
      </c>
      <c r="J126" s="1">
        <v>44</v>
      </c>
      <c r="K126" s="1">
        <v>1</v>
      </c>
      <c r="L126" s="1">
        <v>10</v>
      </c>
      <c r="M126" s="1">
        <v>190</v>
      </c>
      <c r="N126" s="1">
        <v>6</v>
      </c>
      <c r="O126" s="1">
        <v>38</v>
      </c>
      <c r="P126" s="1">
        <v>39</v>
      </c>
      <c r="Q126" s="1">
        <v>7</v>
      </c>
      <c r="R126" s="1">
        <v>8</v>
      </c>
      <c r="S126" s="22">
        <f>2.3*0.85*0.8*N126*0.662</f>
        <v>6.2122080000000004</v>
      </c>
    </row>
    <row r="127" spans="1:19" x14ac:dyDescent="0.3">
      <c r="A127" s="1" t="s">
        <v>96</v>
      </c>
      <c r="B127" s="21" t="s">
        <v>109</v>
      </c>
      <c r="C127" s="21">
        <v>1</v>
      </c>
      <c r="D127" s="4">
        <v>14</v>
      </c>
      <c r="E127" s="1">
        <v>325</v>
      </c>
      <c r="F127" s="1">
        <v>70</v>
      </c>
      <c r="G127" s="1">
        <v>11</v>
      </c>
      <c r="H127" s="1">
        <v>140</v>
      </c>
      <c r="I127" s="1" t="s">
        <v>179</v>
      </c>
      <c r="J127" s="1">
        <v>49</v>
      </c>
      <c r="K127" s="1">
        <v>7</v>
      </c>
      <c r="L127" s="1"/>
      <c r="M127" s="1"/>
      <c r="N127" s="1"/>
      <c r="O127" s="1"/>
      <c r="P127" s="1"/>
      <c r="Q127" s="1"/>
      <c r="R127" s="1"/>
      <c r="S127" s="22"/>
    </row>
    <row r="128" spans="1:19" x14ac:dyDescent="0.3">
      <c r="A128" s="1" t="s">
        <v>96</v>
      </c>
      <c r="B128" s="21" t="s">
        <v>97</v>
      </c>
      <c r="C128" s="21">
        <v>3</v>
      </c>
      <c r="D128" s="4">
        <v>1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22"/>
    </row>
    <row r="129" spans="1:19" x14ac:dyDescent="0.3">
      <c r="A129" s="1" t="s">
        <v>96</v>
      </c>
      <c r="B129" s="21" t="s">
        <v>97</v>
      </c>
      <c r="C129" s="21">
        <v>3</v>
      </c>
      <c r="D129" s="4">
        <v>2</v>
      </c>
      <c r="E129" s="1">
        <v>285</v>
      </c>
      <c r="F129" s="1">
        <v>57</v>
      </c>
      <c r="G129" s="1">
        <v>11</v>
      </c>
      <c r="H129" s="1">
        <v>100</v>
      </c>
      <c r="I129" s="1" t="s">
        <v>173</v>
      </c>
      <c r="J129" s="1">
        <v>47</v>
      </c>
      <c r="K129" s="1">
        <v>5</v>
      </c>
      <c r="L129" s="1">
        <v>11</v>
      </c>
      <c r="M129" s="1">
        <v>180</v>
      </c>
      <c r="N129" s="1">
        <v>5</v>
      </c>
      <c r="O129" s="1">
        <v>31.2</v>
      </c>
      <c r="P129" s="1">
        <v>38</v>
      </c>
      <c r="Q129" s="1">
        <v>6</v>
      </c>
      <c r="R129" s="1">
        <v>8</v>
      </c>
      <c r="S129" s="22">
        <f>2.13*0.81*0.8*N129*0.662</f>
        <v>4.5685944000000012</v>
      </c>
    </row>
    <row r="130" spans="1:19" x14ac:dyDescent="0.3">
      <c r="A130" s="1" t="s">
        <v>96</v>
      </c>
      <c r="B130" s="21" t="s">
        <v>97</v>
      </c>
      <c r="C130" s="21">
        <v>3</v>
      </c>
      <c r="D130" s="4">
        <v>3</v>
      </c>
      <c r="E130" s="1">
        <v>330</v>
      </c>
      <c r="F130" s="1">
        <v>64</v>
      </c>
      <c r="G130" s="1">
        <v>12</v>
      </c>
      <c r="H130" s="1">
        <v>84</v>
      </c>
      <c r="I130" s="1" t="s">
        <v>175</v>
      </c>
      <c r="J130" s="1">
        <v>43</v>
      </c>
      <c r="K130" s="1">
        <v>1</v>
      </c>
      <c r="L130" s="1">
        <v>11</v>
      </c>
      <c r="M130" s="1">
        <v>165</v>
      </c>
      <c r="N130" s="1">
        <v>7</v>
      </c>
      <c r="O130" s="1">
        <v>41</v>
      </c>
      <c r="P130" s="1">
        <v>39</v>
      </c>
      <c r="Q130" s="1">
        <v>7</v>
      </c>
      <c r="R130" s="1">
        <v>8.1999999999999993</v>
      </c>
      <c r="S130" s="22">
        <f>2.15*0.85*0.8*N130*0.662</f>
        <v>6.7749079999999999</v>
      </c>
    </row>
    <row r="131" spans="1:19" x14ac:dyDescent="0.3">
      <c r="A131" s="1" t="s">
        <v>96</v>
      </c>
      <c r="B131" s="21" t="s">
        <v>97</v>
      </c>
      <c r="C131" s="21">
        <v>3</v>
      </c>
      <c r="D131" s="4">
        <v>4</v>
      </c>
      <c r="E131" s="1">
        <v>307</v>
      </c>
      <c r="F131" s="1">
        <v>63</v>
      </c>
      <c r="G131" s="1">
        <v>13</v>
      </c>
      <c r="H131" s="1">
        <v>105</v>
      </c>
      <c r="I131" s="1" t="s">
        <v>173</v>
      </c>
      <c r="J131" s="1">
        <v>47</v>
      </c>
      <c r="K131" s="1">
        <v>5</v>
      </c>
      <c r="L131" s="1">
        <v>11</v>
      </c>
      <c r="M131" s="1">
        <v>190</v>
      </c>
      <c r="N131" s="1">
        <v>4</v>
      </c>
      <c r="O131" s="1">
        <v>40</v>
      </c>
      <c r="P131" s="1">
        <v>39</v>
      </c>
      <c r="Q131" s="1">
        <v>7</v>
      </c>
      <c r="R131" s="1">
        <v>8</v>
      </c>
      <c r="S131" s="22">
        <f>2.2*0.83*0.8*N131*0.662</f>
        <v>3.8681984000000003</v>
      </c>
    </row>
    <row r="132" spans="1:19" x14ac:dyDescent="0.3">
      <c r="A132" s="1" t="s">
        <v>96</v>
      </c>
      <c r="B132" s="21" t="s">
        <v>97</v>
      </c>
      <c r="C132" s="21">
        <v>3</v>
      </c>
      <c r="D132" s="4">
        <v>5</v>
      </c>
      <c r="E132" s="1">
        <v>310</v>
      </c>
      <c r="F132" s="1">
        <v>66</v>
      </c>
      <c r="G132" s="1">
        <v>13</v>
      </c>
      <c r="H132" s="1">
        <v>107</v>
      </c>
      <c r="I132" s="1" t="s">
        <v>173</v>
      </c>
      <c r="J132" s="1">
        <v>47</v>
      </c>
      <c r="K132" s="1">
        <v>5</v>
      </c>
      <c r="L132" s="1">
        <v>11</v>
      </c>
      <c r="M132" s="1">
        <v>195</v>
      </c>
      <c r="N132" s="1">
        <v>5</v>
      </c>
      <c r="O132" s="1">
        <v>43</v>
      </c>
      <c r="P132" s="1">
        <v>39</v>
      </c>
      <c r="Q132" s="1">
        <v>7</v>
      </c>
      <c r="R132" s="1">
        <v>8</v>
      </c>
      <c r="S132" s="22">
        <f>2.3*0.88*0.8*N132*0.662</f>
        <v>5.3595520000000008</v>
      </c>
    </row>
    <row r="133" spans="1:19" x14ac:dyDescent="0.3">
      <c r="A133" s="1" t="s">
        <v>96</v>
      </c>
      <c r="B133" s="21" t="s">
        <v>97</v>
      </c>
      <c r="C133" s="21">
        <v>3</v>
      </c>
      <c r="D133" s="4">
        <v>6</v>
      </c>
      <c r="E133" s="1">
        <v>314</v>
      </c>
      <c r="F133" s="1">
        <v>62</v>
      </c>
      <c r="G133" s="1">
        <v>12</v>
      </c>
      <c r="H133" s="1">
        <v>94</v>
      </c>
      <c r="I133" s="1" t="s">
        <v>173</v>
      </c>
      <c r="J133" s="1">
        <v>47</v>
      </c>
      <c r="K133" s="1">
        <v>5</v>
      </c>
      <c r="L133" s="1">
        <v>11</v>
      </c>
      <c r="M133" s="1">
        <v>155</v>
      </c>
      <c r="N133" s="1">
        <v>5</v>
      </c>
      <c r="O133" s="1">
        <v>38.9</v>
      </c>
      <c r="P133" s="1">
        <v>37</v>
      </c>
      <c r="Q133" s="1">
        <v>7</v>
      </c>
      <c r="R133" s="1">
        <v>8</v>
      </c>
      <c r="S133" s="22">
        <f>2.5*0.9*0.8*N133*0.662</f>
        <v>5.9580000000000002</v>
      </c>
    </row>
    <row r="134" spans="1:19" x14ac:dyDescent="0.3">
      <c r="A134" s="1" t="s">
        <v>96</v>
      </c>
      <c r="B134" s="21" t="s">
        <v>97</v>
      </c>
      <c r="C134" s="21">
        <v>3</v>
      </c>
      <c r="D134" s="4">
        <v>7</v>
      </c>
      <c r="E134" s="1">
        <v>330</v>
      </c>
      <c r="F134" s="1">
        <v>64</v>
      </c>
      <c r="G134" s="1">
        <v>14</v>
      </c>
      <c r="H134" s="1">
        <v>110</v>
      </c>
      <c r="I134" s="1" t="s">
        <v>183</v>
      </c>
      <c r="J134" s="1">
        <v>44</v>
      </c>
      <c r="K134" s="1">
        <v>2</v>
      </c>
      <c r="L134" s="1">
        <v>11</v>
      </c>
      <c r="M134" s="1">
        <v>180</v>
      </c>
      <c r="N134" s="1">
        <v>6</v>
      </c>
      <c r="O134" s="1">
        <v>42.2</v>
      </c>
      <c r="P134" s="1">
        <v>39</v>
      </c>
      <c r="Q134" s="1">
        <v>7</v>
      </c>
      <c r="R134" s="1">
        <v>8</v>
      </c>
      <c r="S134" s="22">
        <f>2.1*0.83*0.8*N134*0.662</f>
        <v>5.5385568000000003</v>
      </c>
    </row>
    <row r="135" spans="1:19" x14ac:dyDescent="0.3">
      <c r="A135" s="1" t="s">
        <v>96</v>
      </c>
      <c r="B135" s="21" t="s">
        <v>97</v>
      </c>
      <c r="C135" s="21">
        <v>3</v>
      </c>
      <c r="D135" s="4">
        <v>8</v>
      </c>
      <c r="E135" s="1">
        <v>336</v>
      </c>
      <c r="F135" s="1">
        <v>64</v>
      </c>
      <c r="G135" s="1">
        <v>14</v>
      </c>
      <c r="H135" s="1">
        <v>110</v>
      </c>
      <c r="I135" s="1" t="s">
        <v>183</v>
      </c>
      <c r="J135" s="1">
        <v>44</v>
      </c>
      <c r="K135" s="1">
        <v>2</v>
      </c>
      <c r="L135" s="1">
        <v>11</v>
      </c>
      <c r="M135" s="1">
        <v>172</v>
      </c>
      <c r="N135" s="1">
        <v>4</v>
      </c>
      <c r="O135" s="1">
        <v>41.5</v>
      </c>
      <c r="P135" s="1">
        <v>39</v>
      </c>
      <c r="Q135" s="1">
        <v>7</v>
      </c>
      <c r="R135" s="1">
        <v>8.1999999999999993</v>
      </c>
      <c r="S135" s="22">
        <f>2.25*0.82*0.8*N135*0.662</f>
        <v>3.9084479999999999</v>
      </c>
    </row>
    <row r="136" spans="1:19" x14ac:dyDescent="0.3">
      <c r="A136" s="1" t="s">
        <v>96</v>
      </c>
      <c r="B136" s="21" t="s">
        <v>97</v>
      </c>
      <c r="C136" s="21">
        <v>3</v>
      </c>
      <c r="D136" s="4">
        <v>9</v>
      </c>
      <c r="E136" s="1">
        <v>326</v>
      </c>
      <c r="F136" s="1">
        <v>60</v>
      </c>
      <c r="G136" s="1">
        <v>11</v>
      </c>
      <c r="H136" s="1">
        <v>100</v>
      </c>
      <c r="I136" s="1" t="s">
        <v>174</v>
      </c>
      <c r="J136" s="1">
        <v>42</v>
      </c>
      <c r="K136" s="1">
        <v>52</v>
      </c>
      <c r="L136" s="1">
        <v>11</v>
      </c>
      <c r="M136" s="1">
        <v>190</v>
      </c>
      <c r="N136" s="1">
        <v>4</v>
      </c>
      <c r="O136" s="1">
        <v>40</v>
      </c>
      <c r="P136" s="1">
        <v>39</v>
      </c>
      <c r="Q136" s="1">
        <v>7</v>
      </c>
      <c r="R136" s="1">
        <v>8</v>
      </c>
      <c r="S136" s="22">
        <f>2.35*0.82*0.8*N136*0.662</f>
        <v>4.0821568000000008</v>
      </c>
    </row>
    <row r="137" spans="1:19" x14ac:dyDescent="0.3">
      <c r="A137" s="1" t="s">
        <v>96</v>
      </c>
      <c r="B137" s="21" t="s">
        <v>97</v>
      </c>
      <c r="C137" s="21">
        <v>3</v>
      </c>
      <c r="D137" s="4">
        <v>10</v>
      </c>
      <c r="E137" s="1">
        <v>323</v>
      </c>
      <c r="F137" s="1">
        <v>61</v>
      </c>
      <c r="G137" s="1">
        <v>12</v>
      </c>
      <c r="H137" s="1">
        <v>90</v>
      </c>
      <c r="I137" s="1" t="s">
        <v>183</v>
      </c>
      <c r="J137" s="1">
        <v>44</v>
      </c>
      <c r="K137" s="1">
        <v>2</v>
      </c>
      <c r="L137" s="1">
        <v>11</v>
      </c>
      <c r="M137" s="1">
        <v>160</v>
      </c>
      <c r="N137" s="1">
        <v>5</v>
      </c>
      <c r="O137" s="1">
        <v>39.5</v>
      </c>
      <c r="P137" s="1">
        <v>38</v>
      </c>
      <c r="Q137" s="1">
        <v>7</v>
      </c>
      <c r="R137" s="1">
        <v>7.8</v>
      </c>
      <c r="S137" s="22">
        <f>2.3*0.86*0.8*N137*0.662</f>
        <v>5.2377439999999993</v>
      </c>
    </row>
    <row r="138" spans="1:19" x14ac:dyDescent="0.3">
      <c r="A138" s="1" t="s">
        <v>96</v>
      </c>
      <c r="B138" s="21" t="s">
        <v>97</v>
      </c>
      <c r="C138" s="21">
        <v>3</v>
      </c>
      <c r="D138" s="4">
        <v>11</v>
      </c>
      <c r="E138" s="1">
        <v>300</v>
      </c>
      <c r="F138" s="1">
        <v>62</v>
      </c>
      <c r="G138" s="1">
        <v>13</v>
      </c>
      <c r="H138" s="1">
        <v>110</v>
      </c>
      <c r="I138" s="1" t="s">
        <v>180</v>
      </c>
      <c r="J138" s="1">
        <v>48</v>
      </c>
      <c r="K138" s="1">
        <v>6</v>
      </c>
      <c r="L138" s="1">
        <v>11</v>
      </c>
      <c r="M138" s="1">
        <v>150</v>
      </c>
      <c r="N138" s="1">
        <v>5</v>
      </c>
      <c r="O138" s="1">
        <v>40</v>
      </c>
      <c r="P138" s="1">
        <v>38</v>
      </c>
      <c r="Q138" s="1">
        <v>7</v>
      </c>
      <c r="R138" s="1">
        <v>7.6</v>
      </c>
      <c r="S138" s="22">
        <f>2.34*0.8*0.8*N138*0.662</f>
        <v>4.9570560000000006</v>
      </c>
    </row>
    <row r="139" spans="1:19" x14ac:dyDescent="0.3">
      <c r="A139" s="1" t="s">
        <v>96</v>
      </c>
      <c r="B139" s="21" t="s">
        <v>97</v>
      </c>
      <c r="C139" s="21">
        <v>3</v>
      </c>
      <c r="D139" s="4">
        <v>12</v>
      </c>
      <c r="E139" s="1">
        <v>350</v>
      </c>
      <c r="F139" s="1">
        <v>70</v>
      </c>
      <c r="G139" s="1">
        <v>12</v>
      </c>
      <c r="H139" s="1">
        <v>150</v>
      </c>
      <c r="I139" s="1" t="s">
        <v>176</v>
      </c>
      <c r="J139" s="1">
        <v>45</v>
      </c>
      <c r="K139" s="1">
        <v>3</v>
      </c>
      <c r="L139" s="1">
        <v>10</v>
      </c>
      <c r="M139" s="1">
        <v>200</v>
      </c>
      <c r="N139" s="1">
        <v>6</v>
      </c>
      <c r="O139" s="1">
        <v>50.2</v>
      </c>
      <c r="P139" s="1">
        <v>38</v>
      </c>
      <c r="Q139" s="1">
        <v>8</v>
      </c>
      <c r="R139" s="1">
        <v>8.1999999999999993</v>
      </c>
      <c r="S139" s="22">
        <f>2.5*0.98*0.8*N139*0.662</f>
        <v>7.7851200000000018</v>
      </c>
    </row>
    <row r="140" spans="1:19" x14ac:dyDescent="0.3">
      <c r="A140" s="1" t="s">
        <v>96</v>
      </c>
      <c r="B140" s="21" t="s">
        <v>97</v>
      </c>
      <c r="C140" s="21">
        <v>3</v>
      </c>
      <c r="D140" s="4">
        <v>13</v>
      </c>
      <c r="E140" s="1">
        <v>357</v>
      </c>
      <c r="F140" s="1">
        <v>68</v>
      </c>
      <c r="G140" s="1">
        <v>13</v>
      </c>
      <c r="H140" s="1">
        <v>130</v>
      </c>
      <c r="I140" s="1" t="s">
        <v>176</v>
      </c>
      <c r="J140" s="1">
        <v>45</v>
      </c>
      <c r="K140" s="1">
        <v>3</v>
      </c>
      <c r="L140" s="1">
        <v>11</v>
      </c>
      <c r="M140" s="1">
        <v>165</v>
      </c>
      <c r="N140" s="1">
        <v>5</v>
      </c>
      <c r="O140" s="1">
        <v>49</v>
      </c>
      <c r="P140" s="1">
        <v>39</v>
      </c>
      <c r="Q140" s="1">
        <v>8</v>
      </c>
      <c r="R140" s="1">
        <v>8</v>
      </c>
      <c r="S140" s="22">
        <f>2.4*0.95*0.8*N140*0.662</f>
        <v>6.0374400000000001</v>
      </c>
    </row>
    <row r="141" spans="1:19" x14ac:dyDescent="0.3">
      <c r="A141" s="1" t="s">
        <v>96</v>
      </c>
      <c r="B141" s="21" t="s">
        <v>97</v>
      </c>
      <c r="C141" s="21">
        <v>3</v>
      </c>
      <c r="D141" s="4">
        <v>14</v>
      </c>
      <c r="E141" s="1">
        <v>333</v>
      </c>
      <c r="F141" s="1">
        <v>61</v>
      </c>
      <c r="G141" s="1">
        <v>13</v>
      </c>
      <c r="H141" s="1">
        <v>100</v>
      </c>
      <c r="I141" s="1" t="s">
        <v>183</v>
      </c>
      <c r="J141" s="1">
        <v>44</v>
      </c>
      <c r="K141" s="1">
        <v>2</v>
      </c>
      <c r="L141" s="1">
        <v>11</v>
      </c>
      <c r="M141" s="1">
        <v>160</v>
      </c>
      <c r="N141" s="1">
        <v>5</v>
      </c>
      <c r="O141" s="1">
        <v>40.200000000000003</v>
      </c>
      <c r="P141" s="1">
        <v>39</v>
      </c>
      <c r="Q141" s="1">
        <v>7</v>
      </c>
      <c r="R141" s="1">
        <v>7.6</v>
      </c>
      <c r="S141" s="22">
        <f>2.35*0.87*0.8*N141*0.662</f>
        <v>5.4138360000000008</v>
      </c>
    </row>
    <row r="142" spans="1:19" x14ac:dyDescent="0.3">
      <c r="A142" s="1" t="s">
        <v>96</v>
      </c>
      <c r="B142" s="21" t="s">
        <v>172</v>
      </c>
      <c r="C142" s="21">
        <v>1</v>
      </c>
      <c r="D142" s="4">
        <v>1</v>
      </c>
      <c r="E142" s="1">
        <v>330</v>
      </c>
      <c r="F142" s="1">
        <v>66</v>
      </c>
      <c r="G142" s="1">
        <v>13</v>
      </c>
      <c r="H142" s="1">
        <v>130</v>
      </c>
      <c r="I142" s="1" t="s">
        <v>178</v>
      </c>
      <c r="J142" s="1">
        <v>46</v>
      </c>
      <c r="K142" s="1">
        <v>4</v>
      </c>
      <c r="L142" s="1">
        <v>11</v>
      </c>
      <c r="M142" s="1">
        <v>210</v>
      </c>
      <c r="N142" s="1">
        <v>5</v>
      </c>
      <c r="O142" s="1">
        <v>48.5</v>
      </c>
      <c r="P142" s="1">
        <v>39</v>
      </c>
      <c r="Q142" s="1">
        <v>8</v>
      </c>
      <c r="R142" s="1">
        <v>8</v>
      </c>
      <c r="S142" s="22">
        <f>2.4*0.92*0.8*N142*0.662</f>
        <v>5.8467840000000004</v>
      </c>
    </row>
    <row r="143" spans="1:19" x14ac:dyDescent="0.3">
      <c r="A143" s="1" t="s">
        <v>96</v>
      </c>
      <c r="B143" s="21" t="s">
        <v>172</v>
      </c>
      <c r="C143" s="21">
        <v>1</v>
      </c>
      <c r="D143" s="4">
        <v>2</v>
      </c>
      <c r="E143" s="1">
        <v>300</v>
      </c>
      <c r="F143" s="1">
        <v>66</v>
      </c>
      <c r="G143" s="1">
        <v>11</v>
      </c>
      <c r="H143" s="1">
        <v>140</v>
      </c>
      <c r="I143" s="1" t="s">
        <v>175</v>
      </c>
      <c r="J143" s="1">
        <v>51</v>
      </c>
      <c r="K143" s="1">
        <v>9</v>
      </c>
      <c r="L143" s="1"/>
      <c r="M143" s="1"/>
      <c r="N143" s="1"/>
      <c r="O143" s="1"/>
      <c r="P143" s="1"/>
      <c r="Q143" s="1"/>
      <c r="R143" s="1"/>
      <c r="S143" s="22"/>
    </row>
    <row r="144" spans="1:19" x14ac:dyDescent="0.3">
      <c r="A144" s="1" t="s">
        <v>96</v>
      </c>
      <c r="B144" s="21" t="s">
        <v>172</v>
      </c>
      <c r="C144" s="21">
        <v>1</v>
      </c>
      <c r="D144" s="4">
        <v>3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22"/>
    </row>
    <row r="145" spans="1:19" x14ac:dyDescent="0.3">
      <c r="A145" s="1" t="s">
        <v>96</v>
      </c>
      <c r="B145" s="21" t="s">
        <v>172</v>
      </c>
      <c r="C145" s="21">
        <v>1</v>
      </c>
      <c r="D145" s="4">
        <v>4</v>
      </c>
      <c r="E145" s="1">
        <v>274</v>
      </c>
      <c r="F145" s="1">
        <v>60</v>
      </c>
      <c r="G145" s="1">
        <v>8</v>
      </c>
      <c r="H145" s="1">
        <v>76</v>
      </c>
      <c r="I145" s="1" t="s">
        <v>175</v>
      </c>
      <c r="J145" s="1">
        <v>51</v>
      </c>
      <c r="K145" s="1">
        <v>9</v>
      </c>
      <c r="L145" s="1"/>
      <c r="M145" s="1"/>
      <c r="N145" s="1"/>
      <c r="O145" s="1"/>
      <c r="P145" s="1"/>
      <c r="Q145" s="1"/>
      <c r="R145" s="1"/>
      <c r="S145" s="22"/>
    </row>
    <row r="146" spans="1:19" x14ac:dyDescent="0.3">
      <c r="A146" s="1" t="s">
        <v>96</v>
      </c>
      <c r="B146" s="21" t="s">
        <v>172</v>
      </c>
      <c r="C146" s="21">
        <v>1</v>
      </c>
      <c r="D146" s="4">
        <v>5</v>
      </c>
      <c r="E146" s="1">
        <v>308</v>
      </c>
      <c r="F146" s="1">
        <v>62</v>
      </c>
      <c r="G146" s="1">
        <v>12</v>
      </c>
      <c r="H146" s="1">
        <v>90</v>
      </c>
      <c r="I146" s="1" t="s">
        <v>175</v>
      </c>
      <c r="J146" s="1">
        <v>43</v>
      </c>
      <c r="K146" s="1">
        <v>1</v>
      </c>
      <c r="L146" s="1">
        <v>11</v>
      </c>
      <c r="M146" s="1">
        <v>154</v>
      </c>
      <c r="N146" s="1">
        <v>6</v>
      </c>
      <c r="O146" s="1">
        <v>38</v>
      </c>
      <c r="P146" s="1">
        <v>39</v>
      </c>
      <c r="Q146" s="1">
        <v>7</v>
      </c>
      <c r="R146" s="1">
        <v>7.66</v>
      </c>
      <c r="S146" s="22">
        <f>2.6*0.9*0.8*N146*0.662</f>
        <v>7.4355840000000022</v>
      </c>
    </row>
    <row r="147" spans="1:19" x14ac:dyDescent="0.3">
      <c r="A147" s="1" t="s">
        <v>96</v>
      </c>
      <c r="B147" s="21" t="s">
        <v>172</v>
      </c>
      <c r="C147" s="21">
        <v>1</v>
      </c>
      <c r="D147" s="4">
        <v>6</v>
      </c>
      <c r="E147" s="1">
        <v>313</v>
      </c>
      <c r="F147" s="1">
        <v>58</v>
      </c>
      <c r="G147" s="1">
        <v>12</v>
      </c>
      <c r="H147" s="1">
        <v>105</v>
      </c>
      <c r="I147" s="1" t="s">
        <v>176</v>
      </c>
      <c r="J147" s="1">
        <v>43</v>
      </c>
      <c r="K147" s="1">
        <v>1</v>
      </c>
      <c r="L147" s="1">
        <v>11</v>
      </c>
      <c r="M147" s="1">
        <v>147</v>
      </c>
      <c r="N147" s="1">
        <v>5</v>
      </c>
      <c r="O147" s="1">
        <v>34</v>
      </c>
      <c r="P147" s="1">
        <v>39</v>
      </c>
      <c r="Q147" s="1">
        <v>6</v>
      </c>
      <c r="R147" s="1">
        <v>8.1999999999999993</v>
      </c>
      <c r="S147" s="22">
        <f>2.3*0.77*0.8*N147*0.662</f>
        <v>4.6896080000000007</v>
      </c>
    </row>
    <row r="148" spans="1:19" x14ac:dyDescent="0.3">
      <c r="A148" s="1" t="s">
        <v>96</v>
      </c>
      <c r="B148" s="21" t="s">
        <v>172</v>
      </c>
      <c r="C148" s="21">
        <v>1</v>
      </c>
      <c r="D148" s="4">
        <v>7</v>
      </c>
      <c r="E148" s="1">
        <v>320</v>
      </c>
      <c r="F148" s="1">
        <v>62</v>
      </c>
      <c r="G148" s="1">
        <v>13</v>
      </c>
      <c r="H148" s="1">
        <v>106</v>
      </c>
      <c r="I148" s="1" t="s">
        <v>175</v>
      </c>
      <c r="J148" s="1">
        <v>43</v>
      </c>
      <c r="K148" s="1">
        <v>1</v>
      </c>
      <c r="L148" s="1">
        <v>11</v>
      </c>
      <c r="M148" s="1">
        <v>200</v>
      </c>
      <c r="N148" s="1">
        <v>6</v>
      </c>
      <c r="O148" s="1">
        <v>40</v>
      </c>
      <c r="P148" s="1">
        <v>39</v>
      </c>
      <c r="Q148" s="1">
        <v>7</v>
      </c>
      <c r="R148" s="1">
        <v>8</v>
      </c>
      <c r="S148" s="22">
        <f>2.44*0.88*0.8*N148*0.662</f>
        <v>6.8229427199999995</v>
      </c>
    </row>
    <row r="149" spans="1:19" x14ac:dyDescent="0.3">
      <c r="A149" s="1" t="s">
        <v>96</v>
      </c>
      <c r="B149" s="21" t="s">
        <v>172</v>
      </c>
      <c r="C149" s="21">
        <v>1</v>
      </c>
      <c r="D149" s="4">
        <v>8</v>
      </c>
      <c r="E149" s="1">
        <v>310</v>
      </c>
      <c r="F149" s="1">
        <v>64</v>
      </c>
      <c r="G149" s="1">
        <v>13</v>
      </c>
      <c r="H149" s="1">
        <v>65</v>
      </c>
      <c r="I149" s="1" t="s">
        <v>179</v>
      </c>
      <c r="J149" s="1">
        <v>49</v>
      </c>
      <c r="K149" s="1">
        <v>7</v>
      </c>
      <c r="L149" s="1"/>
      <c r="M149" s="1"/>
      <c r="N149" s="1"/>
      <c r="O149" s="1"/>
      <c r="P149" s="1"/>
      <c r="Q149" s="1"/>
      <c r="R149" s="1"/>
      <c r="S149" s="22"/>
    </row>
    <row r="150" spans="1:19" x14ac:dyDescent="0.3">
      <c r="A150" s="1" t="s">
        <v>96</v>
      </c>
      <c r="B150" s="21" t="s">
        <v>172</v>
      </c>
      <c r="C150" s="21">
        <v>1</v>
      </c>
      <c r="D150" s="4">
        <v>9</v>
      </c>
      <c r="E150" s="1">
        <v>254</v>
      </c>
      <c r="F150" s="1">
        <v>54</v>
      </c>
      <c r="G150" s="1">
        <v>11</v>
      </c>
      <c r="H150" s="1">
        <v>45</v>
      </c>
      <c r="I150" s="1" t="s">
        <v>173</v>
      </c>
      <c r="J150" s="1">
        <v>47</v>
      </c>
      <c r="K150" s="1">
        <v>5</v>
      </c>
      <c r="L150" s="1"/>
      <c r="M150" s="1"/>
      <c r="N150" s="1"/>
      <c r="O150" s="1"/>
      <c r="P150" s="1"/>
      <c r="Q150" s="1"/>
      <c r="R150" s="1"/>
      <c r="S150" s="22"/>
    </row>
    <row r="151" spans="1:19" x14ac:dyDescent="0.3">
      <c r="A151" s="1" t="s">
        <v>96</v>
      </c>
      <c r="B151" s="21" t="s">
        <v>172</v>
      </c>
      <c r="C151" s="21">
        <v>1</v>
      </c>
      <c r="D151" s="4">
        <v>10</v>
      </c>
      <c r="E151" s="1">
        <v>340</v>
      </c>
      <c r="F151" s="1">
        <v>67</v>
      </c>
      <c r="G151" s="1">
        <v>13</v>
      </c>
      <c r="H151" s="1">
        <v>108</v>
      </c>
      <c r="I151" s="1" t="s">
        <v>176</v>
      </c>
      <c r="J151" s="1">
        <v>45</v>
      </c>
      <c r="K151" s="1">
        <v>3</v>
      </c>
      <c r="L151" s="1">
        <v>11</v>
      </c>
      <c r="M151" s="1">
        <v>163</v>
      </c>
      <c r="N151" s="1">
        <v>6</v>
      </c>
      <c r="O151" s="1">
        <v>41.7</v>
      </c>
      <c r="P151" s="1">
        <v>38</v>
      </c>
      <c r="Q151" s="1">
        <v>7</v>
      </c>
      <c r="R151" s="1">
        <v>7.8</v>
      </c>
      <c r="S151" s="22">
        <f>2.05*0.84*0.8*N151*0.662</f>
        <v>5.4718271999999999</v>
      </c>
    </row>
    <row r="152" spans="1:19" x14ac:dyDescent="0.3">
      <c r="A152" s="1" t="s">
        <v>96</v>
      </c>
      <c r="B152" s="21" t="s">
        <v>172</v>
      </c>
      <c r="C152" s="21">
        <v>1</v>
      </c>
      <c r="D152" s="4">
        <v>11</v>
      </c>
      <c r="E152" s="1">
        <v>325</v>
      </c>
      <c r="F152" s="1">
        <v>64</v>
      </c>
      <c r="G152" s="1">
        <v>13</v>
      </c>
      <c r="H152" s="1">
        <v>80</v>
      </c>
      <c r="I152" s="1" t="s">
        <v>178</v>
      </c>
      <c r="J152" s="1">
        <v>45</v>
      </c>
      <c r="K152" s="1">
        <v>3</v>
      </c>
      <c r="L152" s="1"/>
      <c r="M152" s="1"/>
      <c r="N152" s="1"/>
      <c r="O152" s="1"/>
      <c r="P152" s="1"/>
      <c r="Q152" s="1"/>
      <c r="R152" s="1"/>
      <c r="S152" s="22"/>
    </row>
    <row r="153" spans="1:19" x14ac:dyDescent="0.3">
      <c r="A153" s="1" t="s">
        <v>96</v>
      </c>
      <c r="B153" s="21" t="s">
        <v>172</v>
      </c>
      <c r="C153" s="21">
        <v>1</v>
      </c>
      <c r="D153" s="4">
        <v>12</v>
      </c>
      <c r="E153" s="1">
        <v>308</v>
      </c>
      <c r="F153" s="1">
        <v>63</v>
      </c>
      <c r="G153" s="1">
        <v>11</v>
      </c>
      <c r="H153" s="1">
        <v>143</v>
      </c>
      <c r="I153" s="1" t="s">
        <v>179</v>
      </c>
      <c r="J153" s="1">
        <v>49</v>
      </c>
      <c r="K153" s="1">
        <v>7</v>
      </c>
      <c r="L153" s="1">
        <v>11</v>
      </c>
      <c r="M153" s="1">
        <v>110</v>
      </c>
      <c r="N153" s="1">
        <v>5</v>
      </c>
      <c r="O153" s="1">
        <v>30</v>
      </c>
      <c r="P153" s="1">
        <v>37</v>
      </c>
      <c r="Q153" s="1">
        <v>6</v>
      </c>
      <c r="R153" s="1">
        <v>7.2</v>
      </c>
      <c r="S153" s="22">
        <f>2*0.82*0.8*N153*0.662</f>
        <v>4.3427200000000008</v>
      </c>
    </row>
    <row r="154" spans="1:19" x14ac:dyDescent="0.3">
      <c r="A154" s="1" t="s">
        <v>96</v>
      </c>
      <c r="B154" s="21" t="s">
        <v>172</v>
      </c>
      <c r="C154" s="21">
        <v>1</v>
      </c>
      <c r="D154" s="4">
        <v>13</v>
      </c>
      <c r="E154" s="1">
        <v>283</v>
      </c>
      <c r="F154" s="1">
        <v>55</v>
      </c>
      <c r="G154" s="1">
        <v>12</v>
      </c>
      <c r="H154" s="1">
        <v>65</v>
      </c>
      <c r="I154" s="1" t="s">
        <v>180</v>
      </c>
      <c r="J154" s="1">
        <v>48</v>
      </c>
      <c r="K154" s="1">
        <v>6</v>
      </c>
      <c r="L154" s="1"/>
      <c r="M154" s="1"/>
      <c r="N154" s="1"/>
      <c r="O154" s="1"/>
      <c r="P154" s="1"/>
      <c r="Q154" s="1"/>
      <c r="R154" s="1"/>
      <c r="S154" s="22"/>
    </row>
    <row r="155" spans="1:19" x14ac:dyDescent="0.3">
      <c r="A155" s="1" t="s">
        <v>96</v>
      </c>
      <c r="B155" s="21" t="s">
        <v>172</v>
      </c>
      <c r="C155" s="21">
        <v>1</v>
      </c>
      <c r="D155" s="4">
        <v>14</v>
      </c>
      <c r="E155" s="1">
        <v>283</v>
      </c>
      <c r="F155" s="1">
        <v>57</v>
      </c>
      <c r="G155" s="1">
        <v>12</v>
      </c>
      <c r="H155" s="1">
        <v>94</v>
      </c>
      <c r="I155" s="1" t="s">
        <v>180</v>
      </c>
      <c r="J155" s="1">
        <v>48</v>
      </c>
      <c r="K155" s="1">
        <v>6</v>
      </c>
      <c r="L155" s="1"/>
      <c r="M155" s="1"/>
      <c r="N155" s="1"/>
      <c r="O155" s="1"/>
      <c r="P155" s="1"/>
      <c r="Q155" s="1"/>
      <c r="R155" s="1"/>
      <c r="S155" s="22"/>
    </row>
    <row r="156" spans="1:19" x14ac:dyDescent="0.3">
      <c r="A156" s="1" t="s">
        <v>96</v>
      </c>
      <c r="B156" s="21" t="s">
        <v>184</v>
      </c>
      <c r="C156" s="21">
        <v>3</v>
      </c>
      <c r="D156" s="4">
        <v>1</v>
      </c>
      <c r="E156" s="1">
        <v>303</v>
      </c>
      <c r="F156" s="1">
        <v>63</v>
      </c>
      <c r="G156" s="1">
        <v>9</v>
      </c>
      <c r="H156" s="1">
        <v>108</v>
      </c>
      <c r="I156" s="1" t="s">
        <v>183</v>
      </c>
      <c r="J156" s="1">
        <v>52</v>
      </c>
      <c r="K156" s="1">
        <v>10</v>
      </c>
      <c r="L156" s="1"/>
      <c r="M156" s="1"/>
      <c r="N156" s="1"/>
      <c r="O156" s="1"/>
      <c r="P156" s="1"/>
      <c r="Q156" s="1"/>
      <c r="R156" s="1"/>
      <c r="S156" s="22"/>
    </row>
    <row r="157" spans="1:19" x14ac:dyDescent="0.3">
      <c r="A157" s="1" t="s">
        <v>96</v>
      </c>
      <c r="B157" s="21" t="s">
        <v>184</v>
      </c>
      <c r="C157" s="21">
        <v>3</v>
      </c>
      <c r="D157" s="4">
        <v>2</v>
      </c>
      <c r="E157" s="1">
        <v>333</v>
      </c>
      <c r="F157" s="1">
        <v>66</v>
      </c>
      <c r="G157" s="1">
        <v>10</v>
      </c>
      <c r="H157" s="1">
        <v>213</v>
      </c>
      <c r="I157" s="1" t="s">
        <v>175</v>
      </c>
      <c r="J157" s="1">
        <v>51</v>
      </c>
      <c r="K157" s="1">
        <v>9</v>
      </c>
      <c r="L157" s="1"/>
      <c r="M157" s="1"/>
      <c r="N157" s="1"/>
      <c r="O157" s="1"/>
      <c r="P157" s="1"/>
      <c r="Q157" s="1"/>
      <c r="R157" s="1"/>
      <c r="S157" s="22"/>
    </row>
    <row r="158" spans="1:19" x14ac:dyDescent="0.3">
      <c r="A158" s="1" t="s">
        <v>96</v>
      </c>
      <c r="B158" s="21" t="s">
        <v>184</v>
      </c>
      <c r="C158" s="21">
        <v>3</v>
      </c>
      <c r="D158" s="4">
        <v>3</v>
      </c>
      <c r="E158" s="1">
        <v>330</v>
      </c>
      <c r="F158" s="1">
        <v>62</v>
      </c>
      <c r="G158" s="1">
        <v>12</v>
      </c>
      <c r="H158" s="1">
        <v>115</v>
      </c>
      <c r="I158" s="1" t="s">
        <v>179</v>
      </c>
      <c r="J158" s="1">
        <v>49</v>
      </c>
      <c r="K158" s="1">
        <v>7</v>
      </c>
      <c r="L158" s="1"/>
      <c r="M158" s="1"/>
      <c r="N158" s="1"/>
      <c r="O158" s="1"/>
      <c r="P158" s="1"/>
      <c r="Q158" s="1"/>
      <c r="R158" s="1"/>
      <c r="S158" s="22"/>
    </row>
    <row r="159" spans="1:19" x14ac:dyDescent="0.3">
      <c r="A159" s="1" t="s">
        <v>96</v>
      </c>
      <c r="B159" s="21" t="s">
        <v>184</v>
      </c>
      <c r="C159" s="21">
        <v>3</v>
      </c>
      <c r="D159" s="4">
        <v>4</v>
      </c>
      <c r="E159" s="1">
        <v>280</v>
      </c>
      <c r="F159" s="1">
        <v>58</v>
      </c>
      <c r="G159" s="1">
        <v>7</v>
      </c>
      <c r="H159" s="1">
        <v>122</v>
      </c>
      <c r="I159" s="1" t="s">
        <v>175</v>
      </c>
      <c r="J159" s="1">
        <v>51</v>
      </c>
      <c r="K159" s="1">
        <v>9</v>
      </c>
      <c r="L159" s="1"/>
      <c r="M159" s="1"/>
      <c r="N159" s="1"/>
      <c r="O159" s="1"/>
      <c r="P159" s="1"/>
      <c r="Q159" s="1"/>
      <c r="R159" s="1"/>
      <c r="S159" s="22"/>
    </row>
    <row r="160" spans="1:19" x14ac:dyDescent="0.3">
      <c r="A160" s="1" t="s">
        <v>96</v>
      </c>
      <c r="B160" s="21" t="s">
        <v>184</v>
      </c>
      <c r="C160" s="21">
        <v>3</v>
      </c>
      <c r="D160" s="4">
        <v>5</v>
      </c>
      <c r="E160" s="1">
        <v>276</v>
      </c>
      <c r="F160" s="1">
        <v>58</v>
      </c>
      <c r="G160" s="1">
        <v>7</v>
      </c>
      <c r="H160" s="1">
        <v>130</v>
      </c>
      <c r="I160" s="1" t="s">
        <v>175</v>
      </c>
      <c r="J160" s="1">
        <v>51</v>
      </c>
      <c r="K160" s="1">
        <v>9</v>
      </c>
      <c r="L160" s="1"/>
      <c r="M160" s="1"/>
      <c r="N160" s="1"/>
      <c r="O160" s="1"/>
      <c r="P160" s="1"/>
      <c r="Q160" s="1"/>
      <c r="R160" s="1"/>
      <c r="S160" s="22"/>
    </row>
    <row r="161" spans="1:19" x14ac:dyDescent="0.3">
      <c r="A161" s="1" t="s">
        <v>96</v>
      </c>
      <c r="B161" s="21" t="s">
        <v>184</v>
      </c>
      <c r="C161" s="21">
        <v>3</v>
      </c>
      <c r="D161" s="4">
        <v>6</v>
      </c>
      <c r="E161" s="1">
        <v>315</v>
      </c>
      <c r="F161" s="1">
        <v>62</v>
      </c>
      <c r="G161" s="1">
        <v>10</v>
      </c>
      <c r="H161" s="1">
        <v>100</v>
      </c>
      <c r="I161" s="1" t="s">
        <v>173</v>
      </c>
      <c r="J161" s="1">
        <v>3</v>
      </c>
      <c r="K161" s="1">
        <v>13</v>
      </c>
      <c r="L161" s="1">
        <v>11</v>
      </c>
      <c r="M161" s="1">
        <v>140</v>
      </c>
      <c r="N161" s="1">
        <v>5</v>
      </c>
      <c r="O161" s="1">
        <v>40</v>
      </c>
      <c r="P161" s="1">
        <v>38</v>
      </c>
      <c r="Q161" s="1">
        <v>7</v>
      </c>
      <c r="R161" s="1">
        <v>7.8</v>
      </c>
      <c r="S161" s="22">
        <f>2.3*0.88*0.8*N161*0.662</f>
        <v>5.3595520000000008</v>
      </c>
    </row>
    <row r="162" spans="1:19" x14ac:dyDescent="0.3">
      <c r="A162" s="1" t="s">
        <v>96</v>
      </c>
      <c r="B162" s="21" t="s">
        <v>184</v>
      </c>
      <c r="C162" s="21">
        <v>3</v>
      </c>
      <c r="D162" s="4">
        <v>7</v>
      </c>
      <c r="E162" s="1">
        <v>315</v>
      </c>
      <c r="F162" s="1">
        <v>62</v>
      </c>
      <c r="G162" s="1">
        <v>12</v>
      </c>
      <c r="H162" s="1">
        <v>95</v>
      </c>
      <c r="I162" s="1" t="s">
        <v>180</v>
      </c>
      <c r="J162" s="1">
        <v>48</v>
      </c>
      <c r="K162" s="1">
        <v>6</v>
      </c>
      <c r="L162" s="1"/>
      <c r="M162" s="1"/>
      <c r="N162" s="1"/>
      <c r="O162" s="1"/>
      <c r="P162" s="1"/>
      <c r="Q162" s="1"/>
      <c r="R162" s="1"/>
      <c r="S162" s="22"/>
    </row>
    <row r="163" spans="1:19" x14ac:dyDescent="0.3">
      <c r="A163" s="1" t="s">
        <v>96</v>
      </c>
      <c r="B163" s="21" t="s">
        <v>184</v>
      </c>
      <c r="C163" s="21">
        <v>3</v>
      </c>
      <c r="D163" s="4">
        <v>8</v>
      </c>
      <c r="E163" s="1">
        <v>310</v>
      </c>
      <c r="F163" s="1">
        <v>62</v>
      </c>
      <c r="G163" s="1">
        <v>8</v>
      </c>
      <c r="H163" s="1">
        <v>147</v>
      </c>
      <c r="I163" s="1" t="s">
        <v>175</v>
      </c>
      <c r="J163" s="1">
        <v>51</v>
      </c>
      <c r="K163" s="1">
        <v>9</v>
      </c>
      <c r="L163" s="1"/>
      <c r="M163" s="1"/>
      <c r="N163" s="1"/>
      <c r="O163" s="1"/>
      <c r="P163" s="1"/>
      <c r="Q163" s="1"/>
      <c r="R163" s="1"/>
      <c r="S163" s="22"/>
    </row>
    <row r="164" spans="1:19" x14ac:dyDescent="0.3">
      <c r="A164" s="1" t="s">
        <v>96</v>
      </c>
      <c r="B164" s="21" t="s">
        <v>184</v>
      </c>
      <c r="C164" s="21">
        <v>3</v>
      </c>
      <c r="D164" s="4">
        <v>9</v>
      </c>
      <c r="E164" s="1">
        <v>330</v>
      </c>
      <c r="F164" s="1">
        <v>64</v>
      </c>
      <c r="G164" s="1">
        <v>13</v>
      </c>
      <c r="H164" s="1">
        <v>125</v>
      </c>
      <c r="I164" s="1" t="s">
        <v>174</v>
      </c>
      <c r="J164" s="1">
        <v>42</v>
      </c>
      <c r="K164" s="1">
        <v>52</v>
      </c>
      <c r="L164" s="1">
        <v>11</v>
      </c>
      <c r="M164" s="1">
        <v>192</v>
      </c>
      <c r="N164" s="1">
        <v>6</v>
      </c>
      <c r="O164" s="1">
        <v>41</v>
      </c>
      <c r="P164" s="1">
        <v>39</v>
      </c>
      <c r="Q164" s="1">
        <v>7</v>
      </c>
      <c r="R164" s="1">
        <v>7.4</v>
      </c>
      <c r="S164" s="22">
        <f>2.4*0.96*0.8*N164*0.662</f>
        <v>7.3211904000000008</v>
      </c>
    </row>
    <row r="165" spans="1:19" x14ac:dyDescent="0.3">
      <c r="A165" s="1" t="s">
        <v>96</v>
      </c>
      <c r="B165" s="21" t="s">
        <v>184</v>
      </c>
      <c r="C165" s="21">
        <v>3</v>
      </c>
      <c r="D165" s="4">
        <v>10</v>
      </c>
      <c r="E165" s="1">
        <v>305</v>
      </c>
      <c r="F165" s="1">
        <v>65</v>
      </c>
      <c r="G165" s="1">
        <v>5</v>
      </c>
      <c r="H165" s="1">
        <v>153</v>
      </c>
      <c r="I165" s="1" t="s">
        <v>176</v>
      </c>
      <c r="J165" s="1">
        <v>1</v>
      </c>
      <c r="K165" s="1">
        <v>11</v>
      </c>
      <c r="L165" s="1"/>
      <c r="M165" s="1"/>
      <c r="N165" s="1"/>
      <c r="O165" s="1"/>
      <c r="P165" s="1"/>
      <c r="Q165" s="1"/>
      <c r="R165" s="1"/>
      <c r="S165" s="22"/>
    </row>
    <row r="166" spans="1:19" x14ac:dyDescent="0.3">
      <c r="A166" s="1" t="s">
        <v>96</v>
      </c>
      <c r="B166" s="21" t="s">
        <v>184</v>
      </c>
      <c r="C166" s="21">
        <v>3</v>
      </c>
      <c r="D166" s="4">
        <v>11</v>
      </c>
      <c r="E166" s="1">
        <v>270</v>
      </c>
      <c r="F166" s="1">
        <v>61</v>
      </c>
      <c r="G166" s="1">
        <v>12</v>
      </c>
      <c r="H166" s="1">
        <v>72</v>
      </c>
      <c r="I166" s="1" t="s">
        <v>173</v>
      </c>
      <c r="J166" s="1">
        <v>3</v>
      </c>
      <c r="K166" s="1">
        <v>13</v>
      </c>
      <c r="L166" s="1"/>
      <c r="M166" s="1"/>
      <c r="N166" s="1"/>
      <c r="O166" s="1"/>
      <c r="P166" s="1"/>
      <c r="Q166" s="1"/>
      <c r="R166" s="1"/>
      <c r="S166" s="22"/>
    </row>
    <row r="167" spans="1:19" x14ac:dyDescent="0.3">
      <c r="A167" s="1" t="s">
        <v>96</v>
      </c>
      <c r="B167" s="21" t="s">
        <v>184</v>
      </c>
      <c r="C167" s="21">
        <v>3</v>
      </c>
      <c r="D167" s="4">
        <v>12</v>
      </c>
      <c r="E167" s="1">
        <v>293</v>
      </c>
      <c r="F167" s="1">
        <v>64</v>
      </c>
      <c r="G167" s="1">
        <v>9</v>
      </c>
      <c r="H167" s="1">
        <v>77</v>
      </c>
      <c r="I167" s="1" t="s">
        <v>180</v>
      </c>
      <c r="J167" s="1">
        <v>4</v>
      </c>
      <c r="K167" s="1">
        <v>14</v>
      </c>
      <c r="L167" s="1"/>
      <c r="M167" s="1"/>
      <c r="N167" s="1"/>
      <c r="O167" s="1"/>
      <c r="P167" s="1"/>
      <c r="Q167" s="1"/>
      <c r="R167" s="1"/>
      <c r="S167" s="22"/>
    </row>
    <row r="168" spans="1:19" x14ac:dyDescent="0.3">
      <c r="A168" s="1" t="s">
        <v>96</v>
      </c>
      <c r="B168" s="21" t="s">
        <v>184</v>
      </c>
      <c r="C168" s="21">
        <v>3</v>
      </c>
      <c r="D168" s="4">
        <v>13</v>
      </c>
      <c r="E168" s="1">
        <v>308</v>
      </c>
      <c r="F168" s="1">
        <v>66</v>
      </c>
      <c r="G168" s="1">
        <v>10</v>
      </c>
      <c r="H168" s="1">
        <v>90</v>
      </c>
      <c r="I168" s="1" t="s">
        <v>183</v>
      </c>
      <c r="J168" s="1">
        <v>44</v>
      </c>
      <c r="K168" s="1">
        <v>2</v>
      </c>
      <c r="L168" s="1"/>
      <c r="M168" s="1"/>
      <c r="N168" s="1"/>
      <c r="O168" s="1"/>
      <c r="P168" s="1"/>
      <c r="Q168" s="1"/>
      <c r="R168" s="1"/>
      <c r="S168" s="22"/>
    </row>
    <row r="169" spans="1:19" x14ac:dyDescent="0.3">
      <c r="A169" s="1" t="s">
        <v>96</v>
      </c>
      <c r="B169" s="21" t="s">
        <v>184</v>
      </c>
      <c r="C169" s="21">
        <v>3</v>
      </c>
      <c r="D169" s="4">
        <v>14</v>
      </c>
      <c r="E169" s="1">
        <v>300</v>
      </c>
      <c r="F169" s="1">
        <v>63</v>
      </c>
      <c r="G169" s="1">
        <v>10</v>
      </c>
      <c r="H169" s="1">
        <v>162</v>
      </c>
      <c r="I169" s="1" t="s">
        <v>179</v>
      </c>
      <c r="J169" s="1">
        <v>49</v>
      </c>
      <c r="K169" s="1">
        <v>7</v>
      </c>
      <c r="L169" s="1"/>
      <c r="M169" s="1"/>
      <c r="N169" s="1"/>
      <c r="O169" s="1"/>
      <c r="P169" s="1"/>
      <c r="Q169" s="1"/>
      <c r="R169" s="1"/>
      <c r="S169" s="22"/>
    </row>
    <row r="170" spans="1:19" x14ac:dyDescent="0.3">
      <c r="A170" s="1" t="s">
        <v>182</v>
      </c>
      <c r="B170" s="21" t="s">
        <v>97</v>
      </c>
      <c r="C170" s="21">
        <v>2</v>
      </c>
      <c r="D170" s="4">
        <v>1</v>
      </c>
      <c r="E170" s="1">
        <v>333</v>
      </c>
      <c r="F170" s="1">
        <v>64</v>
      </c>
      <c r="G170" s="1">
        <v>15</v>
      </c>
      <c r="H170" s="1">
        <v>142</v>
      </c>
      <c r="I170" s="1" t="s">
        <v>176</v>
      </c>
      <c r="J170" s="1">
        <v>45</v>
      </c>
      <c r="K170" s="1">
        <v>3</v>
      </c>
      <c r="L170" s="1">
        <v>11</v>
      </c>
      <c r="M170" s="1">
        <v>192</v>
      </c>
      <c r="N170" s="1">
        <v>6</v>
      </c>
      <c r="O170" s="1">
        <v>36.1</v>
      </c>
      <c r="P170" s="1">
        <v>37</v>
      </c>
      <c r="Q170" s="1">
        <v>7</v>
      </c>
      <c r="R170" s="1">
        <v>7.8</v>
      </c>
      <c r="S170" s="23">
        <f>2.3*0.93*0.8*N170*0.662</f>
        <v>6.7968864</v>
      </c>
    </row>
    <row r="171" spans="1:19" x14ac:dyDescent="0.3">
      <c r="A171" s="1" t="s">
        <v>182</v>
      </c>
      <c r="B171" s="21" t="s">
        <v>97</v>
      </c>
      <c r="C171" s="21">
        <v>2</v>
      </c>
      <c r="D171" s="4">
        <v>2</v>
      </c>
      <c r="E171" s="1">
        <v>350</v>
      </c>
      <c r="F171" s="1">
        <v>65</v>
      </c>
      <c r="G171" s="1">
        <v>11</v>
      </c>
      <c r="H171" s="1">
        <v>83</v>
      </c>
      <c r="I171" s="1" t="s">
        <v>178</v>
      </c>
      <c r="J171" s="1">
        <v>46</v>
      </c>
      <c r="K171" s="1">
        <v>4</v>
      </c>
      <c r="L171" s="1">
        <v>11</v>
      </c>
      <c r="M171" s="1">
        <v>172</v>
      </c>
      <c r="N171" s="1">
        <v>7</v>
      </c>
      <c r="O171" s="1">
        <v>40.299999999999997</v>
      </c>
      <c r="P171" s="1">
        <v>37</v>
      </c>
      <c r="Q171" s="1">
        <v>7</v>
      </c>
      <c r="R171" s="1">
        <v>8.1999999999999993</v>
      </c>
      <c r="S171" s="23">
        <f>2.1*0.9*0.8*N171*0.662</f>
        <v>7.0066080000000008</v>
      </c>
    </row>
    <row r="172" spans="1:19" x14ac:dyDescent="0.3">
      <c r="A172" s="1" t="s">
        <v>182</v>
      </c>
      <c r="B172" s="21" t="s">
        <v>97</v>
      </c>
      <c r="C172" s="21">
        <v>2</v>
      </c>
      <c r="D172" s="4">
        <v>3</v>
      </c>
      <c r="E172" s="1">
        <v>300</v>
      </c>
      <c r="F172" s="1">
        <v>60</v>
      </c>
      <c r="G172" s="1">
        <v>10</v>
      </c>
      <c r="H172" s="1">
        <v>60</v>
      </c>
      <c r="I172" s="1" t="s">
        <v>183</v>
      </c>
      <c r="J172" s="1">
        <v>47</v>
      </c>
      <c r="K172" s="1">
        <v>5</v>
      </c>
      <c r="L172" s="1"/>
      <c r="M172" s="1"/>
      <c r="N172" s="1"/>
      <c r="O172" s="1"/>
      <c r="P172" s="1"/>
      <c r="Q172" s="1"/>
      <c r="R172" s="1"/>
      <c r="S172" s="23"/>
    </row>
    <row r="173" spans="1:19" x14ac:dyDescent="0.3">
      <c r="A173" s="1" t="s">
        <v>182</v>
      </c>
      <c r="B173" s="21" t="s">
        <v>97</v>
      </c>
      <c r="C173" s="21">
        <v>2</v>
      </c>
      <c r="D173" s="4">
        <v>4</v>
      </c>
      <c r="E173" s="1">
        <v>335</v>
      </c>
      <c r="F173" s="1">
        <v>64</v>
      </c>
      <c r="G173" s="1">
        <v>12</v>
      </c>
      <c r="H173" s="1">
        <v>117</v>
      </c>
      <c r="I173" s="1" t="s">
        <v>173</v>
      </c>
      <c r="J173" s="1">
        <v>47</v>
      </c>
      <c r="K173" s="1">
        <v>5</v>
      </c>
      <c r="L173" s="1">
        <v>11</v>
      </c>
      <c r="M173" s="1">
        <v>163</v>
      </c>
      <c r="N173" s="1">
        <v>6</v>
      </c>
      <c r="O173" s="1">
        <v>37.700000000000003</v>
      </c>
      <c r="P173" s="1">
        <v>38</v>
      </c>
      <c r="Q173" s="1">
        <v>7</v>
      </c>
      <c r="R173" s="1">
        <v>7.8</v>
      </c>
      <c r="S173" s="23">
        <f>2.52*0.97*0.8*N173*0.662</f>
        <v>7.7673254400000005</v>
      </c>
    </row>
    <row r="174" spans="1:19" x14ac:dyDescent="0.3">
      <c r="A174" s="1" t="s">
        <v>182</v>
      </c>
      <c r="B174" s="21" t="s">
        <v>97</v>
      </c>
      <c r="C174" s="21">
        <v>2</v>
      </c>
      <c r="D174" s="4">
        <v>5</v>
      </c>
      <c r="E174" s="1">
        <v>290</v>
      </c>
      <c r="F174" s="1">
        <v>60</v>
      </c>
      <c r="G174" s="1">
        <v>9</v>
      </c>
      <c r="H174" s="1">
        <v>120</v>
      </c>
      <c r="I174" s="1" t="s">
        <v>173</v>
      </c>
      <c r="J174" s="1">
        <v>3</v>
      </c>
      <c r="K174" s="1">
        <v>14</v>
      </c>
      <c r="L174" s="1"/>
      <c r="M174" s="1"/>
      <c r="N174" s="1"/>
      <c r="O174" s="1"/>
      <c r="P174" s="1"/>
      <c r="Q174" s="1"/>
      <c r="R174" s="1"/>
      <c r="S174" s="23"/>
    </row>
    <row r="175" spans="1:19" x14ac:dyDescent="0.3">
      <c r="A175" s="1" t="s">
        <v>182</v>
      </c>
      <c r="B175" s="21" t="s">
        <v>97</v>
      </c>
      <c r="C175" s="21">
        <v>2</v>
      </c>
      <c r="D175" s="4">
        <v>6</v>
      </c>
      <c r="E175" s="1">
        <v>300</v>
      </c>
      <c r="F175" s="1">
        <v>59</v>
      </c>
      <c r="G175" s="1">
        <v>13</v>
      </c>
      <c r="H175" s="1">
        <v>110</v>
      </c>
      <c r="I175" s="1" t="s">
        <v>175</v>
      </c>
      <c r="J175" s="1">
        <v>43</v>
      </c>
      <c r="K175" s="1">
        <v>1</v>
      </c>
      <c r="L175" s="1">
        <v>11</v>
      </c>
      <c r="M175" s="1">
        <v>160</v>
      </c>
      <c r="N175" s="1">
        <v>9</v>
      </c>
      <c r="O175" s="1">
        <v>20.5</v>
      </c>
      <c r="P175" s="1">
        <v>37</v>
      </c>
      <c r="Q175" s="1">
        <v>5</v>
      </c>
      <c r="R175" s="1">
        <v>7.4</v>
      </c>
      <c r="S175" s="23">
        <f>2.29*0.82*0.8*N175*0.662</f>
        <v>8.9503459200000002</v>
      </c>
    </row>
    <row r="176" spans="1:19" x14ac:dyDescent="0.3">
      <c r="A176" s="1" t="s">
        <v>182</v>
      </c>
      <c r="B176" s="21" t="s">
        <v>97</v>
      </c>
      <c r="C176" s="21">
        <v>2</v>
      </c>
      <c r="D176" s="4">
        <v>7</v>
      </c>
      <c r="E176" s="1">
        <v>294</v>
      </c>
      <c r="F176" s="1">
        <v>59</v>
      </c>
      <c r="G176" s="1">
        <v>11</v>
      </c>
      <c r="H176" s="1">
        <v>84</v>
      </c>
      <c r="I176" s="1" t="s">
        <v>176</v>
      </c>
      <c r="J176" s="1">
        <v>1</v>
      </c>
      <c r="K176" s="1">
        <v>10</v>
      </c>
      <c r="L176" s="1"/>
      <c r="M176" s="1"/>
      <c r="N176" s="1"/>
      <c r="O176" s="1"/>
      <c r="P176" s="1"/>
      <c r="Q176" s="1"/>
      <c r="R176" s="23"/>
      <c r="S176" s="23"/>
    </row>
    <row r="177" spans="1:19" x14ac:dyDescent="0.3">
      <c r="A177" s="1" t="s">
        <v>182</v>
      </c>
      <c r="B177" s="21" t="s">
        <v>97</v>
      </c>
      <c r="C177" s="21">
        <v>2</v>
      </c>
      <c r="D177" s="4">
        <v>8</v>
      </c>
      <c r="E177" s="1">
        <v>298</v>
      </c>
      <c r="F177" s="1">
        <v>59</v>
      </c>
      <c r="G177" s="1">
        <v>11</v>
      </c>
      <c r="H177" s="1">
        <v>80</v>
      </c>
      <c r="I177" s="1" t="s">
        <v>175</v>
      </c>
      <c r="J177" s="1">
        <v>7</v>
      </c>
      <c r="K177" s="1">
        <v>17</v>
      </c>
      <c r="L177" s="1"/>
      <c r="M177" s="1"/>
      <c r="N177" s="1"/>
      <c r="O177" s="1"/>
      <c r="P177" s="1"/>
      <c r="Q177" s="1"/>
      <c r="R177" s="1"/>
      <c r="S177" s="23"/>
    </row>
    <row r="178" spans="1:19" x14ac:dyDescent="0.3">
      <c r="A178" s="1" t="s">
        <v>182</v>
      </c>
      <c r="B178" s="21" t="s">
        <v>97</v>
      </c>
      <c r="C178" s="21">
        <v>2</v>
      </c>
      <c r="D178" s="4">
        <v>9</v>
      </c>
      <c r="E178" s="1">
        <v>350</v>
      </c>
      <c r="F178" s="1">
        <v>62</v>
      </c>
      <c r="G178" s="1">
        <v>15</v>
      </c>
      <c r="H178" s="1">
        <v>145</v>
      </c>
      <c r="I178" s="1" t="s">
        <v>174</v>
      </c>
      <c r="J178" s="1">
        <v>42</v>
      </c>
      <c r="K178" s="1">
        <v>52</v>
      </c>
      <c r="L178" s="1">
        <v>11</v>
      </c>
      <c r="M178" s="1">
        <v>200</v>
      </c>
      <c r="N178" s="1">
        <v>5</v>
      </c>
      <c r="O178" s="1">
        <v>43</v>
      </c>
      <c r="P178" s="1">
        <v>39</v>
      </c>
      <c r="Q178" s="1">
        <v>7</v>
      </c>
      <c r="R178" s="1">
        <v>7.6</v>
      </c>
      <c r="S178" s="23">
        <f>2.1*0.85*0.8*N178*0.662</f>
        <v>4.72668</v>
      </c>
    </row>
    <row r="179" spans="1:19" x14ac:dyDescent="0.3">
      <c r="A179" s="1" t="s">
        <v>182</v>
      </c>
      <c r="B179" s="21" t="s">
        <v>97</v>
      </c>
      <c r="C179" s="21">
        <v>2</v>
      </c>
      <c r="D179" s="4">
        <v>10</v>
      </c>
      <c r="E179" s="1">
        <v>330</v>
      </c>
      <c r="F179" s="1">
        <v>59</v>
      </c>
      <c r="G179" s="1">
        <v>12</v>
      </c>
      <c r="H179" s="1">
        <v>115</v>
      </c>
      <c r="I179" s="1" t="s">
        <v>176</v>
      </c>
      <c r="J179" s="1">
        <v>45</v>
      </c>
      <c r="K179" s="1">
        <v>3</v>
      </c>
      <c r="L179" s="1">
        <v>11</v>
      </c>
      <c r="M179" s="1">
        <v>173</v>
      </c>
      <c r="N179" s="1">
        <v>3</v>
      </c>
      <c r="O179" s="1">
        <v>32.5</v>
      </c>
      <c r="P179" s="1">
        <v>39</v>
      </c>
      <c r="Q179" s="1">
        <v>6</v>
      </c>
      <c r="R179" s="1">
        <v>7.8</v>
      </c>
      <c r="S179" s="23">
        <f>2.03*0.86*0.8*N179*0.662</f>
        <v>2.7737270400000003</v>
      </c>
    </row>
    <row r="180" spans="1:19" x14ac:dyDescent="0.3">
      <c r="A180" s="1" t="s">
        <v>182</v>
      </c>
      <c r="B180" s="21" t="s">
        <v>97</v>
      </c>
      <c r="C180" s="21">
        <v>2</v>
      </c>
      <c r="D180" s="4">
        <v>11</v>
      </c>
      <c r="E180" s="1">
        <v>306</v>
      </c>
      <c r="F180" s="1">
        <v>56</v>
      </c>
      <c r="G180" s="1">
        <v>10</v>
      </c>
      <c r="H180" s="1">
        <v>85</v>
      </c>
      <c r="I180" s="1" t="s">
        <v>179</v>
      </c>
      <c r="J180" s="1">
        <v>49</v>
      </c>
      <c r="K180" s="1">
        <v>7</v>
      </c>
      <c r="L180" s="1"/>
      <c r="M180" s="1"/>
      <c r="N180" s="1"/>
      <c r="O180" s="1"/>
      <c r="P180" s="1"/>
      <c r="Q180" s="1"/>
      <c r="R180" s="1"/>
      <c r="S180" s="23"/>
    </row>
    <row r="181" spans="1:19" x14ac:dyDescent="0.3">
      <c r="A181" s="1" t="s">
        <v>182</v>
      </c>
      <c r="B181" s="21" t="s">
        <v>97</v>
      </c>
      <c r="C181" s="21">
        <v>2</v>
      </c>
      <c r="D181" s="4">
        <v>12</v>
      </c>
      <c r="E181" s="1">
        <v>335</v>
      </c>
      <c r="F181" s="1">
        <v>61</v>
      </c>
      <c r="G181" s="1">
        <v>12</v>
      </c>
      <c r="H181" s="1">
        <v>75</v>
      </c>
      <c r="I181" s="1" t="s">
        <v>179</v>
      </c>
      <c r="J181" s="1">
        <v>41</v>
      </c>
      <c r="K181" s="1">
        <v>51</v>
      </c>
      <c r="L181" s="1">
        <v>11</v>
      </c>
      <c r="M181" s="1">
        <v>120</v>
      </c>
      <c r="N181" s="1">
        <v>7</v>
      </c>
      <c r="O181" s="1">
        <v>45.3</v>
      </c>
      <c r="P181" s="1">
        <v>40</v>
      </c>
      <c r="Q181" s="1">
        <v>7</v>
      </c>
      <c r="R181" s="1">
        <v>8.4</v>
      </c>
      <c r="S181" s="23">
        <f>2.2*0.84*0.8*N181*0.662</f>
        <v>6.8509056000000008</v>
      </c>
    </row>
    <row r="182" spans="1:19" x14ac:dyDescent="0.3">
      <c r="A182" s="1" t="s">
        <v>182</v>
      </c>
      <c r="B182" s="21" t="s">
        <v>97</v>
      </c>
      <c r="C182" s="21">
        <v>2</v>
      </c>
      <c r="D182" s="4">
        <v>13</v>
      </c>
      <c r="E182" s="1">
        <v>340</v>
      </c>
      <c r="F182" s="1">
        <v>63</v>
      </c>
      <c r="G182" s="1">
        <v>11</v>
      </c>
      <c r="H182" s="1">
        <v>117</v>
      </c>
      <c r="I182" s="1" t="s">
        <v>173</v>
      </c>
      <c r="J182" s="1">
        <v>47</v>
      </c>
      <c r="K182" s="1">
        <v>5</v>
      </c>
      <c r="L182" s="1">
        <v>11</v>
      </c>
      <c r="M182" s="1">
        <v>183</v>
      </c>
      <c r="N182" s="1">
        <v>6</v>
      </c>
      <c r="O182" s="1">
        <v>43.2</v>
      </c>
      <c r="P182" s="1">
        <v>38</v>
      </c>
      <c r="Q182" s="1">
        <v>7</v>
      </c>
      <c r="R182" s="1">
        <v>7.2</v>
      </c>
      <c r="S182" s="23">
        <f>2.21*0.84*0.8*N182*0.662</f>
        <v>5.8988966400000002</v>
      </c>
    </row>
    <row r="183" spans="1:19" x14ac:dyDescent="0.3">
      <c r="A183" s="1" t="s">
        <v>182</v>
      </c>
      <c r="B183" s="21" t="s">
        <v>97</v>
      </c>
      <c r="C183" s="21">
        <v>2</v>
      </c>
      <c r="D183" s="4">
        <v>14</v>
      </c>
      <c r="E183" s="1">
        <v>370</v>
      </c>
      <c r="F183" s="1">
        <v>70</v>
      </c>
      <c r="G183" s="1">
        <v>11</v>
      </c>
      <c r="H183" s="1">
        <v>160</v>
      </c>
      <c r="I183" s="1" t="s">
        <v>174</v>
      </c>
      <c r="J183" s="1">
        <v>50</v>
      </c>
      <c r="K183" s="1">
        <v>8</v>
      </c>
      <c r="L183" s="1"/>
      <c r="M183" s="1"/>
      <c r="N183" s="1"/>
      <c r="O183" s="1"/>
      <c r="P183" s="1"/>
      <c r="Q183" s="1"/>
      <c r="R183" s="1"/>
      <c r="S183" s="23"/>
    </row>
    <row r="184" spans="1:19" ht="28.8" x14ac:dyDescent="0.3">
      <c r="A184" s="1" t="s">
        <v>182</v>
      </c>
      <c r="B184" s="24" t="s">
        <v>172</v>
      </c>
      <c r="C184" s="24">
        <v>3</v>
      </c>
      <c r="D184" s="4">
        <v>1</v>
      </c>
      <c r="E184" s="1">
        <v>320</v>
      </c>
      <c r="F184" s="1">
        <v>65</v>
      </c>
      <c r="G184" s="1">
        <v>12</v>
      </c>
      <c r="H184" s="1">
        <v>76</v>
      </c>
      <c r="I184" s="1" t="s">
        <v>176</v>
      </c>
      <c r="J184" s="1">
        <v>45</v>
      </c>
      <c r="K184" s="1">
        <v>3</v>
      </c>
      <c r="L184" s="1">
        <v>11</v>
      </c>
      <c r="M184" s="1">
        <v>80</v>
      </c>
      <c r="N184" s="1">
        <v>7</v>
      </c>
      <c r="O184" s="1">
        <v>34.9</v>
      </c>
      <c r="P184" s="1">
        <v>39</v>
      </c>
      <c r="Q184" s="1">
        <v>6</v>
      </c>
      <c r="R184" s="1">
        <v>8.4</v>
      </c>
      <c r="S184" s="23">
        <f>2*0.8*0.8*N184*0.662</f>
        <v>5.9315200000000008</v>
      </c>
    </row>
    <row r="185" spans="1:19" ht="28.8" x14ac:dyDescent="0.3">
      <c r="A185" s="1" t="s">
        <v>182</v>
      </c>
      <c r="B185" s="24" t="s">
        <v>172</v>
      </c>
      <c r="C185" s="24">
        <v>3</v>
      </c>
      <c r="D185" s="4">
        <v>2</v>
      </c>
      <c r="E185" s="1">
        <v>340</v>
      </c>
      <c r="F185" s="1">
        <v>63</v>
      </c>
      <c r="G185" s="1">
        <v>15</v>
      </c>
      <c r="H185" s="1">
        <v>124</v>
      </c>
      <c r="I185" s="1" t="s">
        <v>176</v>
      </c>
      <c r="J185" s="1">
        <v>45</v>
      </c>
      <c r="K185" s="1">
        <v>3</v>
      </c>
      <c r="L185" s="1">
        <v>11</v>
      </c>
      <c r="M185" s="1">
        <v>186</v>
      </c>
      <c r="N185" s="1">
        <v>6</v>
      </c>
      <c r="O185" s="1">
        <v>40.200000000000003</v>
      </c>
      <c r="P185" s="1">
        <v>38</v>
      </c>
      <c r="Q185" s="1">
        <v>7</v>
      </c>
      <c r="R185" s="1">
        <v>8.4</v>
      </c>
      <c r="S185" s="23">
        <f>2.42*0.9*0.8*N185*0.662</f>
        <v>6.9208128000000002</v>
      </c>
    </row>
    <row r="186" spans="1:19" ht="28.8" x14ac:dyDescent="0.3">
      <c r="A186" s="1" t="s">
        <v>182</v>
      </c>
      <c r="B186" s="24" t="s">
        <v>172</v>
      </c>
      <c r="C186" s="24">
        <v>3</v>
      </c>
      <c r="D186" s="4">
        <v>3</v>
      </c>
      <c r="E186" s="1">
        <v>335</v>
      </c>
      <c r="F186" s="1">
        <v>64</v>
      </c>
      <c r="G186" s="1">
        <v>13</v>
      </c>
      <c r="H186" s="1">
        <v>106</v>
      </c>
      <c r="I186" s="1" t="s">
        <v>178</v>
      </c>
      <c r="J186" s="1">
        <v>46</v>
      </c>
      <c r="K186" s="1">
        <v>4</v>
      </c>
      <c r="L186" s="1">
        <v>11</v>
      </c>
      <c r="M186" s="1">
        <v>150</v>
      </c>
      <c r="N186" s="1">
        <v>5</v>
      </c>
      <c r="O186" s="1">
        <v>41</v>
      </c>
      <c r="P186" s="1">
        <v>38</v>
      </c>
      <c r="Q186" s="1">
        <v>7</v>
      </c>
      <c r="R186" s="1">
        <v>8.1999999999999993</v>
      </c>
      <c r="S186" s="23">
        <f>2.3*0.91*0.8*N186*0.662</f>
        <v>5.5422640000000003</v>
      </c>
    </row>
    <row r="187" spans="1:19" ht="28.8" x14ac:dyDescent="0.3">
      <c r="A187" s="1" t="s">
        <v>182</v>
      </c>
      <c r="B187" s="24" t="s">
        <v>172</v>
      </c>
      <c r="C187" s="24">
        <v>3</v>
      </c>
      <c r="D187" s="4">
        <v>4</v>
      </c>
      <c r="E187" s="1">
        <v>325</v>
      </c>
      <c r="F187" s="1">
        <v>66</v>
      </c>
      <c r="G187" s="1">
        <v>11</v>
      </c>
      <c r="H187" s="1">
        <v>135</v>
      </c>
      <c r="I187" s="1" t="s">
        <v>178</v>
      </c>
      <c r="J187" s="1">
        <v>46</v>
      </c>
      <c r="K187" s="1">
        <v>4</v>
      </c>
      <c r="L187" s="1">
        <v>11</v>
      </c>
      <c r="M187" s="1">
        <v>204</v>
      </c>
      <c r="N187" s="1">
        <v>5</v>
      </c>
      <c r="O187" s="1">
        <v>43</v>
      </c>
      <c r="P187" s="1">
        <v>39</v>
      </c>
      <c r="Q187" s="1">
        <v>7</v>
      </c>
      <c r="R187" s="1">
        <v>8</v>
      </c>
      <c r="S187" s="23">
        <f>2.25*0.89*0.8*N187*0.662</f>
        <v>5.3026200000000001</v>
      </c>
    </row>
    <row r="188" spans="1:19" ht="28.8" x14ac:dyDescent="0.3">
      <c r="A188" s="1" t="s">
        <v>182</v>
      </c>
      <c r="B188" s="24" t="s">
        <v>172</v>
      </c>
      <c r="C188" s="24">
        <v>3</v>
      </c>
      <c r="D188" s="4">
        <v>5</v>
      </c>
      <c r="E188" s="1">
        <v>336</v>
      </c>
      <c r="F188" s="1">
        <v>64</v>
      </c>
      <c r="G188" s="1">
        <v>11</v>
      </c>
      <c r="H188" s="1">
        <v>170</v>
      </c>
      <c r="I188" s="1" t="s">
        <v>178</v>
      </c>
      <c r="J188" s="1">
        <v>46</v>
      </c>
      <c r="K188" s="1">
        <v>4</v>
      </c>
      <c r="L188" s="1">
        <v>11</v>
      </c>
      <c r="M188" s="1">
        <v>216</v>
      </c>
      <c r="N188" s="1">
        <v>5</v>
      </c>
      <c r="O188" s="1">
        <v>41.8</v>
      </c>
      <c r="P188" s="1">
        <v>37</v>
      </c>
      <c r="Q188" s="1">
        <v>7</v>
      </c>
      <c r="R188" s="1">
        <v>7.4</v>
      </c>
      <c r="S188" s="23">
        <f>2.4*0.96*0.8*N188*0.662</f>
        <v>6.1009919999999997</v>
      </c>
    </row>
    <row r="189" spans="1:19" ht="28.8" x14ac:dyDescent="0.3">
      <c r="A189" s="1" t="s">
        <v>182</v>
      </c>
      <c r="B189" s="24" t="s">
        <v>172</v>
      </c>
      <c r="C189" s="24">
        <v>3</v>
      </c>
      <c r="D189" s="4">
        <v>6</v>
      </c>
      <c r="E189" s="1">
        <v>315</v>
      </c>
      <c r="F189" s="1">
        <v>57</v>
      </c>
      <c r="G189" s="1">
        <v>13</v>
      </c>
      <c r="H189" s="1">
        <v>120</v>
      </c>
      <c r="I189" s="1" t="s">
        <v>176</v>
      </c>
      <c r="J189" s="1">
        <v>45</v>
      </c>
      <c r="K189" s="1">
        <v>3</v>
      </c>
      <c r="L189" s="1">
        <v>11</v>
      </c>
      <c r="M189" s="1">
        <v>155</v>
      </c>
      <c r="N189" s="1">
        <v>6</v>
      </c>
      <c r="O189" s="1">
        <v>28.9</v>
      </c>
      <c r="P189" s="1">
        <v>37</v>
      </c>
      <c r="Q189" s="1">
        <v>6</v>
      </c>
      <c r="R189" s="1">
        <v>7</v>
      </c>
      <c r="S189" s="23">
        <f>2.2*0.84*0.8*N189*0.662</f>
        <v>5.8722048000000004</v>
      </c>
    </row>
    <row r="190" spans="1:19" ht="28.8" x14ac:dyDescent="0.3">
      <c r="A190" s="1" t="s">
        <v>182</v>
      </c>
      <c r="B190" s="24" t="s">
        <v>172</v>
      </c>
      <c r="C190" s="24">
        <v>3</v>
      </c>
      <c r="D190" s="4">
        <v>7</v>
      </c>
      <c r="E190" s="1">
        <v>315</v>
      </c>
      <c r="F190" s="1">
        <v>57</v>
      </c>
      <c r="G190" s="1">
        <v>12</v>
      </c>
      <c r="H190" s="1">
        <v>142</v>
      </c>
      <c r="I190" s="1" t="s">
        <v>176</v>
      </c>
      <c r="J190" s="1">
        <v>45</v>
      </c>
      <c r="K190" s="1">
        <v>3</v>
      </c>
      <c r="L190" s="1">
        <v>11</v>
      </c>
      <c r="M190" s="1">
        <v>194</v>
      </c>
      <c r="N190" s="1">
        <v>5</v>
      </c>
      <c r="O190" s="1">
        <v>32.700000000000003</v>
      </c>
      <c r="P190" s="1">
        <v>37</v>
      </c>
      <c r="Q190" s="1">
        <v>6</v>
      </c>
      <c r="R190" s="1">
        <v>7.6</v>
      </c>
      <c r="S190" s="23">
        <f>2*0.8*0.8*N190*0.662</f>
        <v>4.2368000000000015</v>
      </c>
    </row>
    <row r="191" spans="1:19" ht="28.8" x14ac:dyDescent="0.3">
      <c r="A191" s="1" t="s">
        <v>182</v>
      </c>
      <c r="B191" s="24" t="s">
        <v>172</v>
      </c>
      <c r="C191" s="24">
        <v>3</v>
      </c>
      <c r="D191" s="4">
        <v>8</v>
      </c>
      <c r="E191" s="1">
        <v>290</v>
      </c>
      <c r="F191" s="1">
        <v>60</v>
      </c>
      <c r="G191" s="1">
        <v>11</v>
      </c>
      <c r="H191" s="1">
        <v>75</v>
      </c>
      <c r="I191" s="1" t="s">
        <v>183</v>
      </c>
      <c r="J191" s="1">
        <v>52</v>
      </c>
      <c r="K191" s="1">
        <v>10</v>
      </c>
      <c r="L191" s="1"/>
      <c r="M191" s="1"/>
      <c r="N191" s="1"/>
      <c r="O191" s="1"/>
      <c r="P191" s="1"/>
      <c r="Q191" s="1"/>
      <c r="R191" s="1"/>
      <c r="S191" s="23"/>
    </row>
    <row r="192" spans="1:19" ht="28.8" x14ac:dyDescent="0.3">
      <c r="A192" s="1" t="s">
        <v>182</v>
      </c>
      <c r="B192" s="24" t="s">
        <v>172</v>
      </c>
      <c r="C192" s="24">
        <v>3</v>
      </c>
      <c r="D192" s="4">
        <v>9</v>
      </c>
      <c r="E192" s="1">
        <v>345</v>
      </c>
      <c r="F192" s="1">
        <v>66</v>
      </c>
      <c r="G192" s="1">
        <v>14</v>
      </c>
      <c r="H192" s="1">
        <v>93</v>
      </c>
      <c r="I192" s="1" t="s">
        <v>175</v>
      </c>
      <c r="J192" s="1">
        <v>43</v>
      </c>
      <c r="K192" s="1">
        <v>52</v>
      </c>
      <c r="L192" s="1">
        <v>10</v>
      </c>
      <c r="M192" s="1">
        <v>192</v>
      </c>
      <c r="N192" s="1">
        <v>6</v>
      </c>
      <c r="O192" s="1">
        <v>46</v>
      </c>
      <c r="P192" s="1">
        <v>39</v>
      </c>
      <c r="Q192" s="1">
        <v>7</v>
      </c>
      <c r="R192" s="1">
        <v>8</v>
      </c>
      <c r="S192" s="23">
        <f>2.45*0.92*0.8*N192*0.662</f>
        <v>7.1623104000000017</v>
      </c>
    </row>
    <row r="193" spans="1:19" ht="28.8" x14ac:dyDescent="0.3">
      <c r="A193" s="1" t="s">
        <v>182</v>
      </c>
      <c r="B193" s="24" t="s">
        <v>172</v>
      </c>
      <c r="C193" s="24">
        <v>3</v>
      </c>
      <c r="D193" s="4">
        <v>10</v>
      </c>
      <c r="E193" s="1">
        <v>323</v>
      </c>
      <c r="F193" s="1">
        <v>67</v>
      </c>
      <c r="G193" s="1">
        <v>9</v>
      </c>
      <c r="H193" s="1">
        <v>126</v>
      </c>
      <c r="I193" s="1" t="s">
        <v>179</v>
      </c>
      <c r="J193" s="1">
        <v>5</v>
      </c>
      <c r="K193" s="1">
        <v>15</v>
      </c>
      <c r="L193" s="1"/>
      <c r="M193" s="1"/>
      <c r="N193" s="1"/>
      <c r="O193" s="1"/>
      <c r="P193" s="1"/>
      <c r="Q193" s="1"/>
      <c r="R193" s="1"/>
      <c r="S193" s="23"/>
    </row>
    <row r="194" spans="1:19" ht="28.8" x14ac:dyDescent="0.3">
      <c r="A194" s="1" t="s">
        <v>182</v>
      </c>
      <c r="B194" s="24" t="s">
        <v>172</v>
      </c>
      <c r="C194" s="24">
        <v>3</v>
      </c>
      <c r="D194" s="4">
        <v>11</v>
      </c>
      <c r="E194" s="1">
        <v>300</v>
      </c>
      <c r="F194" s="1">
        <v>64</v>
      </c>
      <c r="G194" s="1">
        <v>9</v>
      </c>
      <c r="H194" s="1">
        <v>50</v>
      </c>
      <c r="I194" s="1" t="s">
        <v>179</v>
      </c>
      <c r="J194" s="1">
        <v>5</v>
      </c>
      <c r="K194" s="1">
        <v>15</v>
      </c>
      <c r="L194" s="1"/>
      <c r="M194" s="1"/>
      <c r="N194" s="1"/>
      <c r="O194" s="1"/>
      <c r="P194" s="1"/>
      <c r="Q194" s="1"/>
      <c r="R194" s="1"/>
      <c r="S194" s="23"/>
    </row>
    <row r="195" spans="1:19" ht="28.8" x14ac:dyDescent="0.3">
      <c r="A195" s="1" t="s">
        <v>182</v>
      </c>
      <c r="B195" s="24" t="s">
        <v>172</v>
      </c>
      <c r="C195" s="24">
        <v>3</v>
      </c>
      <c r="D195" s="4">
        <v>12</v>
      </c>
      <c r="E195" s="1">
        <v>300</v>
      </c>
      <c r="F195" s="1">
        <v>58</v>
      </c>
      <c r="G195" s="1">
        <v>11</v>
      </c>
      <c r="H195" s="1">
        <v>74</v>
      </c>
      <c r="I195" s="1" t="s">
        <v>173</v>
      </c>
      <c r="J195" s="1">
        <v>47</v>
      </c>
      <c r="K195" s="1">
        <v>5</v>
      </c>
      <c r="L195" s="1"/>
      <c r="M195" s="1"/>
      <c r="N195" s="1"/>
      <c r="O195" s="1"/>
      <c r="P195" s="1"/>
      <c r="Q195" s="1"/>
      <c r="R195" s="1"/>
      <c r="S195" s="23"/>
    </row>
    <row r="196" spans="1:19" ht="28.8" x14ac:dyDescent="0.3">
      <c r="A196" s="1" t="s">
        <v>182</v>
      </c>
      <c r="B196" s="24" t="s">
        <v>172</v>
      </c>
      <c r="C196" s="24">
        <v>3</v>
      </c>
      <c r="D196" s="4">
        <v>13</v>
      </c>
      <c r="E196" s="1">
        <v>290</v>
      </c>
      <c r="F196" s="1">
        <v>53</v>
      </c>
      <c r="G196" s="1">
        <v>10</v>
      </c>
      <c r="H196" s="1">
        <v>115</v>
      </c>
      <c r="I196" s="1" t="s">
        <v>178</v>
      </c>
      <c r="J196" s="1">
        <v>2</v>
      </c>
      <c r="K196" s="1">
        <v>12</v>
      </c>
      <c r="L196" s="1"/>
      <c r="M196" s="1"/>
      <c r="N196" s="1"/>
      <c r="O196" s="1"/>
      <c r="P196" s="1"/>
      <c r="Q196" s="1"/>
      <c r="R196" s="1"/>
      <c r="S196" s="23"/>
    </row>
    <row r="197" spans="1:19" ht="28.8" x14ac:dyDescent="0.3">
      <c r="A197" s="1" t="s">
        <v>182</v>
      </c>
      <c r="B197" s="24" t="s">
        <v>172</v>
      </c>
      <c r="C197" s="24">
        <v>3</v>
      </c>
      <c r="D197" s="4">
        <v>14</v>
      </c>
      <c r="E197" s="1">
        <v>300</v>
      </c>
      <c r="F197" s="1">
        <v>62</v>
      </c>
      <c r="G197" s="1">
        <v>12</v>
      </c>
      <c r="H197" s="1">
        <v>155</v>
      </c>
      <c r="I197" s="1" t="s">
        <v>179</v>
      </c>
      <c r="J197" s="1">
        <v>49</v>
      </c>
      <c r="K197" s="1">
        <v>7</v>
      </c>
      <c r="L197" s="1"/>
      <c r="M197" s="1"/>
      <c r="N197" s="1"/>
      <c r="O197" s="1"/>
      <c r="P197" s="1"/>
      <c r="Q197" s="1"/>
      <c r="R197" s="1"/>
      <c r="S197" s="23"/>
    </row>
    <row r="198" spans="1:19" x14ac:dyDescent="0.3">
      <c r="A198" s="1" t="s">
        <v>182</v>
      </c>
      <c r="B198" s="21" t="s">
        <v>109</v>
      </c>
      <c r="C198" s="21">
        <v>1</v>
      </c>
      <c r="D198" s="4">
        <v>1</v>
      </c>
      <c r="E198" s="1">
        <v>302</v>
      </c>
      <c r="F198" s="1">
        <v>68</v>
      </c>
      <c r="G198" s="1">
        <v>10</v>
      </c>
      <c r="H198" s="1">
        <v>172</v>
      </c>
      <c r="I198" s="1" t="s">
        <v>175</v>
      </c>
      <c r="J198" s="1">
        <v>7</v>
      </c>
      <c r="K198" s="1">
        <v>17</v>
      </c>
      <c r="L198" s="1"/>
      <c r="M198" s="1"/>
      <c r="N198" s="1"/>
      <c r="O198" s="1"/>
      <c r="P198" s="1"/>
      <c r="Q198" s="1"/>
      <c r="R198" s="1"/>
      <c r="S198" s="23"/>
    </row>
    <row r="199" spans="1:19" x14ac:dyDescent="0.3">
      <c r="A199" s="1" t="s">
        <v>182</v>
      </c>
      <c r="B199" s="21" t="s">
        <v>109</v>
      </c>
      <c r="C199" s="21">
        <v>1</v>
      </c>
      <c r="D199" s="4">
        <v>2</v>
      </c>
      <c r="E199" s="1">
        <v>330</v>
      </c>
      <c r="F199" s="1">
        <v>66</v>
      </c>
      <c r="G199" s="1">
        <v>10</v>
      </c>
      <c r="H199" s="1">
        <v>132</v>
      </c>
      <c r="I199" s="1" t="s">
        <v>174</v>
      </c>
      <c r="J199" s="1">
        <v>50</v>
      </c>
      <c r="K199" s="1">
        <v>8</v>
      </c>
      <c r="L199" s="1"/>
      <c r="M199" s="1"/>
      <c r="N199" s="1"/>
      <c r="O199" s="1"/>
      <c r="P199" s="1"/>
      <c r="Q199" s="1"/>
      <c r="R199" s="1"/>
      <c r="S199" s="23"/>
    </row>
    <row r="200" spans="1:19" x14ac:dyDescent="0.3">
      <c r="A200" s="1" t="s">
        <v>182</v>
      </c>
      <c r="B200" s="21" t="s">
        <v>109</v>
      </c>
      <c r="C200" s="21">
        <v>1</v>
      </c>
      <c r="D200" s="4">
        <v>3</v>
      </c>
      <c r="E200" s="1">
        <v>353</v>
      </c>
      <c r="F200" s="1">
        <v>69</v>
      </c>
      <c r="G200" s="1">
        <v>14</v>
      </c>
      <c r="H200" s="1">
        <v>210</v>
      </c>
      <c r="I200" s="1" t="s">
        <v>183</v>
      </c>
      <c r="J200" s="1">
        <v>44</v>
      </c>
      <c r="K200" s="1">
        <v>2</v>
      </c>
      <c r="L200" s="1">
        <v>12</v>
      </c>
      <c r="M200" s="1">
        <v>235</v>
      </c>
      <c r="N200" s="1">
        <v>6</v>
      </c>
      <c r="O200" s="1">
        <v>38.799999999999997</v>
      </c>
      <c r="P200" s="1">
        <v>37</v>
      </c>
      <c r="Q200" s="1">
        <v>7</v>
      </c>
      <c r="R200" s="1">
        <v>8.4</v>
      </c>
      <c r="S200" s="23">
        <f>2.3*0.9*0.8*N200*0.662</f>
        <v>6.5776320000000004</v>
      </c>
    </row>
    <row r="201" spans="1:19" x14ac:dyDescent="0.3">
      <c r="A201" s="1" t="s">
        <v>182</v>
      </c>
      <c r="B201" s="21" t="s">
        <v>109</v>
      </c>
      <c r="C201" s="21">
        <v>1</v>
      </c>
      <c r="D201" s="4">
        <v>4</v>
      </c>
      <c r="E201" s="1">
        <v>336</v>
      </c>
      <c r="F201" s="1">
        <v>64</v>
      </c>
      <c r="G201" s="1">
        <v>12</v>
      </c>
      <c r="H201" s="1">
        <v>144</v>
      </c>
      <c r="I201" s="1" t="s">
        <v>179</v>
      </c>
      <c r="J201" s="1">
        <v>41</v>
      </c>
      <c r="K201" s="1">
        <v>51</v>
      </c>
      <c r="L201" s="1">
        <v>11</v>
      </c>
      <c r="M201" s="1">
        <v>210</v>
      </c>
      <c r="N201" s="1">
        <v>6</v>
      </c>
      <c r="O201" s="1">
        <v>43</v>
      </c>
      <c r="P201" s="1">
        <v>40</v>
      </c>
      <c r="Q201" s="1">
        <v>7</v>
      </c>
      <c r="R201" s="1">
        <v>8</v>
      </c>
      <c r="S201" s="23">
        <f>2.1*0.82*0.8*N201*0.662</f>
        <v>5.4718272000000008</v>
      </c>
    </row>
    <row r="202" spans="1:19" x14ac:dyDescent="0.3">
      <c r="A202" s="1" t="s">
        <v>182</v>
      </c>
      <c r="B202" s="21" t="s">
        <v>109</v>
      </c>
      <c r="C202" s="21">
        <v>1</v>
      </c>
      <c r="D202" s="4">
        <v>5</v>
      </c>
      <c r="E202" s="1">
        <v>303</v>
      </c>
      <c r="F202" s="1">
        <v>56</v>
      </c>
      <c r="G202" s="1">
        <v>12</v>
      </c>
      <c r="H202" s="1">
        <v>106</v>
      </c>
      <c r="I202" s="1" t="s">
        <v>179</v>
      </c>
      <c r="J202" s="1">
        <v>41</v>
      </c>
      <c r="K202" s="1">
        <v>51</v>
      </c>
      <c r="L202" s="1">
        <v>11</v>
      </c>
      <c r="M202" s="1">
        <v>160</v>
      </c>
      <c r="N202" s="1">
        <v>7</v>
      </c>
      <c r="O202" s="1">
        <v>36.4</v>
      </c>
      <c r="P202" s="1">
        <v>40</v>
      </c>
      <c r="Q202" s="1">
        <v>6</v>
      </c>
      <c r="R202" s="1">
        <v>8.1999999999999993</v>
      </c>
      <c r="S202" s="23">
        <f>2.1*0.8*0.8*N202*0.662</f>
        <v>6.2280960000000007</v>
      </c>
    </row>
    <row r="203" spans="1:19" x14ac:dyDescent="0.3">
      <c r="A203" s="1" t="s">
        <v>182</v>
      </c>
      <c r="B203" s="21" t="s">
        <v>109</v>
      </c>
      <c r="C203" s="21">
        <v>1</v>
      </c>
      <c r="D203" s="4">
        <v>6</v>
      </c>
      <c r="E203" s="1">
        <v>330</v>
      </c>
      <c r="F203" s="1">
        <v>64</v>
      </c>
      <c r="G203" s="1">
        <v>13</v>
      </c>
      <c r="H203" s="1">
        <v>106</v>
      </c>
      <c r="I203" s="1" t="s">
        <v>176</v>
      </c>
      <c r="J203" s="1">
        <v>45</v>
      </c>
      <c r="K203" s="1">
        <v>3</v>
      </c>
      <c r="L203" s="1">
        <v>11</v>
      </c>
      <c r="M203" s="1">
        <v>160</v>
      </c>
      <c r="N203" s="1">
        <v>4</v>
      </c>
      <c r="O203" s="1">
        <v>37.200000000000003</v>
      </c>
      <c r="P203" s="1">
        <v>37</v>
      </c>
      <c r="Q203" s="1">
        <v>7</v>
      </c>
      <c r="R203" s="1">
        <v>7.6</v>
      </c>
      <c r="S203" s="23">
        <f>2.1*0.94*0.8*N203*0.662</f>
        <v>4.1817216000000004</v>
      </c>
    </row>
    <row r="204" spans="1:19" x14ac:dyDescent="0.3">
      <c r="A204" s="1" t="s">
        <v>182</v>
      </c>
      <c r="B204" s="21" t="s">
        <v>109</v>
      </c>
      <c r="C204" s="21">
        <v>1</v>
      </c>
      <c r="D204" s="4">
        <v>7</v>
      </c>
      <c r="E204" s="1">
        <v>327</v>
      </c>
      <c r="F204" s="1">
        <v>63</v>
      </c>
      <c r="G204" s="1">
        <v>12</v>
      </c>
      <c r="H204" s="1">
        <v>145</v>
      </c>
      <c r="I204" s="1" t="s">
        <v>180</v>
      </c>
      <c r="J204" s="1">
        <v>48</v>
      </c>
      <c r="K204" s="1">
        <v>6</v>
      </c>
      <c r="L204" s="1"/>
      <c r="M204" s="1"/>
      <c r="N204" s="1"/>
      <c r="O204" s="1"/>
      <c r="P204" s="1"/>
      <c r="Q204" s="1"/>
      <c r="R204" s="1"/>
      <c r="S204" s="23"/>
    </row>
    <row r="205" spans="1:19" x14ac:dyDescent="0.3">
      <c r="A205" s="1" t="s">
        <v>182</v>
      </c>
      <c r="B205" s="21" t="s">
        <v>109</v>
      </c>
      <c r="C205" s="21">
        <v>1</v>
      </c>
      <c r="D205" s="4">
        <v>8</v>
      </c>
      <c r="E205" s="1">
        <v>350</v>
      </c>
      <c r="F205" s="1">
        <v>64</v>
      </c>
      <c r="G205" s="1">
        <v>11</v>
      </c>
      <c r="H205" s="1">
        <v>138</v>
      </c>
      <c r="I205" s="1" t="s">
        <v>173</v>
      </c>
      <c r="J205" s="1">
        <v>47</v>
      </c>
      <c r="K205" s="1">
        <v>5</v>
      </c>
      <c r="L205" s="1">
        <v>12</v>
      </c>
      <c r="M205" s="1">
        <v>206</v>
      </c>
      <c r="N205" s="1">
        <v>7</v>
      </c>
      <c r="O205" s="1">
        <v>41.2</v>
      </c>
      <c r="P205" s="1">
        <v>38</v>
      </c>
      <c r="Q205" s="1">
        <v>7</v>
      </c>
      <c r="R205" s="1">
        <v>7.8</v>
      </c>
      <c r="S205" s="23">
        <f>2.3*0.85*0.8*N205*0.662</f>
        <v>7.2475760000000005</v>
      </c>
    </row>
    <row r="206" spans="1:19" x14ac:dyDescent="0.3">
      <c r="A206" s="1" t="s">
        <v>182</v>
      </c>
      <c r="B206" s="21" t="s">
        <v>109</v>
      </c>
      <c r="C206" s="21">
        <v>1</v>
      </c>
      <c r="D206" s="4">
        <v>9</v>
      </c>
      <c r="E206" s="1">
        <v>336</v>
      </c>
      <c r="F206" s="1">
        <v>66</v>
      </c>
      <c r="G206" s="1">
        <v>14</v>
      </c>
      <c r="H206" s="1">
        <v>145</v>
      </c>
      <c r="I206" s="1" t="s">
        <v>175</v>
      </c>
      <c r="J206" s="1">
        <v>43</v>
      </c>
      <c r="K206" s="1">
        <v>1</v>
      </c>
      <c r="L206" s="1">
        <v>11</v>
      </c>
      <c r="M206" s="1">
        <v>216</v>
      </c>
      <c r="N206" s="1">
        <v>7</v>
      </c>
      <c r="O206" s="1">
        <v>48.1</v>
      </c>
      <c r="P206" s="1">
        <v>39</v>
      </c>
      <c r="Q206" s="1">
        <v>7</v>
      </c>
      <c r="R206" s="1">
        <v>8.1999999999999993</v>
      </c>
      <c r="S206" s="23">
        <f>2.4*0.85*0.8*N206*0.662</f>
        <v>7.5626880000000014</v>
      </c>
    </row>
    <row r="207" spans="1:19" x14ac:dyDescent="0.3">
      <c r="A207" s="1" t="s">
        <v>182</v>
      </c>
      <c r="B207" s="21" t="s">
        <v>109</v>
      </c>
      <c r="C207" s="21">
        <v>1</v>
      </c>
      <c r="D207" s="4">
        <v>10</v>
      </c>
      <c r="E207" s="1">
        <v>310</v>
      </c>
      <c r="F207" s="1">
        <v>59</v>
      </c>
      <c r="G207" s="1">
        <v>14</v>
      </c>
      <c r="H207" s="1">
        <v>100</v>
      </c>
      <c r="I207" s="1" t="s">
        <v>176</v>
      </c>
      <c r="J207" s="1">
        <v>45</v>
      </c>
      <c r="K207" s="1">
        <v>3</v>
      </c>
      <c r="L207" s="1">
        <v>11</v>
      </c>
      <c r="M207" s="1">
        <v>146</v>
      </c>
      <c r="N207" s="1">
        <v>5</v>
      </c>
      <c r="O207" s="1">
        <v>29.2</v>
      </c>
      <c r="P207" s="1">
        <v>39</v>
      </c>
      <c r="Q207" s="1">
        <v>6</v>
      </c>
      <c r="R207" s="1">
        <v>8.1999999999999993</v>
      </c>
      <c r="S207" s="23">
        <f>1.8*0.8*0.8*N207*0.662</f>
        <v>3.8131200000000005</v>
      </c>
    </row>
    <row r="208" spans="1:19" x14ac:dyDescent="0.3">
      <c r="A208" s="1" t="s">
        <v>182</v>
      </c>
      <c r="B208" s="21" t="s">
        <v>109</v>
      </c>
      <c r="C208" s="21">
        <v>1</v>
      </c>
      <c r="D208" s="4">
        <v>11</v>
      </c>
      <c r="E208" s="1">
        <v>348</v>
      </c>
      <c r="F208" s="1">
        <v>69</v>
      </c>
      <c r="G208" s="1">
        <v>14</v>
      </c>
      <c r="H208" s="1">
        <v>100</v>
      </c>
      <c r="I208" s="1" t="s">
        <v>176</v>
      </c>
      <c r="J208" s="1">
        <v>45</v>
      </c>
      <c r="K208" s="1">
        <v>3</v>
      </c>
      <c r="L208" s="1">
        <v>11</v>
      </c>
      <c r="M208" s="1">
        <v>146</v>
      </c>
      <c r="N208" s="1">
        <v>6</v>
      </c>
      <c r="O208" s="1">
        <v>36.5</v>
      </c>
      <c r="P208" s="1">
        <v>37</v>
      </c>
      <c r="Q208" s="1">
        <v>7</v>
      </c>
      <c r="R208" s="1">
        <v>7.8</v>
      </c>
      <c r="S208" s="23">
        <f>2.4*0.96*0.8*N208*0.662</f>
        <v>7.3211904000000008</v>
      </c>
    </row>
    <row r="209" spans="1:19" x14ac:dyDescent="0.3">
      <c r="A209" s="1" t="s">
        <v>182</v>
      </c>
      <c r="B209" s="21" t="s">
        <v>109</v>
      </c>
      <c r="C209" s="21">
        <v>1</v>
      </c>
      <c r="D209" s="4">
        <v>12</v>
      </c>
      <c r="E209" s="1">
        <v>302</v>
      </c>
      <c r="F209" s="1">
        <v>61</v>
      </c>
      <c r="G209" s="1">
        <v>10</v>
      </c>
      <c r="H209" s="1">
        <v>93</v>
      </c>
      <c r="I209" s="1" t="s">
        <v>174</v>
      </c>
      <c r="J209" s="1">
        <v>50</v>
      </c>
      <c r="K209" s="1">
        <v>8</v>
      </c>
      <c r="L209" s="1"/>
      <c r="M209" s="1"/>
      <c r="N209" s="1"/>
      <c r="O209" s="1"/>
      <c r="P209" s="1"/>
      <c r="Q209" s="1"/>
      <c r="R209" s="1"/>
      <c r="S209" s="23"/>
    </row>
    <row r="210" spans="1:19" x14ac:dyDescent="0.3">
      <c r="A210" s="1" t="s">
        <v>182</v>
      </c>
      <c r="B210" s="21" t="s">
        <v>109</v>
      </c>
      <c r="C210" s="21">
        <v>1</v>
      </c>
      <c r="D210" s="4">
        <v>13</v>
      </c>
      <c r="E210" s="1">
        <v>345</v>
      </c>
      <c r="F210" s="1">
        <v>67</v>
      </c>
      <c r="G210" s="1">
        <v>13</v>
      </c>
      <c r="H210" s="1">
        <v>100</v>
      </c>
      <c r="I210" s="1" t="s">
        <v>176</v>
      </c>
      <c r="J210" s="1">
        <v>45</v>
      </c>
      <c r="K210" s="1">
        <v>3</v>
      </c>
      <c r="L210" s="1">
        <v>11</v>
      </c>
      <c r="M210" s="1">
        <v>175</v>
      </c>
      <c r="N210" s="1">
        <v>5</v>
      </c>
      <c r="O210" s="1">
        <v>29.2</v>
      </c>
      <c r="P210" s="1">
        <v>37</v>
      </c>
      <c r="Q210" s="1">
        <v>7</v>
      </c>
      <c r="R210" s="1">
        <v>7.6</v>
      </c>
      <c r="S210" s="23">
        <f>2.05*0.88*0.8*N210*0.662</f>
        <v>4.7769920000000008</v>
      </c>
    </row>
    <row r="211" spans="1:19" x14ac:dyDescent="0.3">
      <c r="A211" s="1" t="s">
        <v>182</v>
      </c>
      <c r="B211" s="21" t="s">
        <v>109</v>
      </c>
      <c r="C211" s="21">
        <v>1</v>
      </c>
      <c r="D211" s="4">
        <v>14</v>
      </c>
      <c r="E211" s="1">
        <v>302</v>
      </c>
      <c r="F211" s="1">
        <v>67</v>
      </c>
      <c r="G211" s="1">
        <v>10</v>
      </c>
      <c r="H211" s="1">
        <v>160</v>
      </c>
      <c r="I211" s="1" t="s">
        <v>175</v>
      </c>
      <c r="J211" s="1">
        <v>37</v>
      </c>
      <c r="K211" s="1">
        <v>7</v>
      </c>
      <c r="L211" s="1">
        <v>17</v>
      </c>
      <c r="M211" s="1"/>
      <c r="N211" s="1"/>
      <c r="O211" s="1"/>
      <c r="P211" s="1"/>
      <c r="Q211" s="1"/>
      <c r="R211" s="1"/>
      <c r="S211" s="23"/>
    </row>
    <row r="212" spans="1:19" x14ac:dyDescent="0.3">
      <c r="A212" s="1" t="s">
        <v>182</v>
      </c>
      <c r="B212" s="21" t="s">
        <v>97</v>
      </c>
      <c r="C212" s="21">
        <v>3</v>
      </c>
      <c r="D212" s="4">
        <v>1</v>
      </c>
      <c r="E212" s="1">
        <v>335</v>
      </c>
      <c r="F212" s="1">
        <v>66</v>
      </c>
      <c r="G212" s="1">
        <v>10</v>
      </c>
      <c r="H212" s="1">
        <v>170</v>
      </c>
      <c r="I212" s="1" t="s">
        <v>186</v>
      </c>
      <c r="J212" s="1">
        <v>49</v>
      </c>
      <c r="K212" s="1">
        <v>7</v>
      </c>
      <c r="L212" s="1"/>
      <c r="M212" s="1"/>
      <c r="N212" s="1"/>
      <c r="O212" s="1"/>
      <c r="P212" s="1"/>
      <c r="Q212" s="1"/>
      <c r="R212" s="1"/>
      <c r="S212" s="23"/>
    </row>
    <row r="213" spans="1:19" x14ac:dyDescent="0.3">
      <c r="A213" s="1" t="s">
        <v>182</v>
      </c>
      <c r="B213" s="21" t="s">
        <v>97</v>
      </c>
      <c r="C213" s="21">
        <v>3</v>
      </c>
      <c r="D213" s="4">
        <v>2</v>
      </c>
      <c r="E213" s="1">
        <v>330</v>
      </c>
      <c r="F213" s="1">
        <v>66</v>
      </c>
      <c r="G213" s="1">
        <v>12</v>
      </c>
      <c r="H213" s="1">
        <v>130</v>
      </c>
      <c r="I213" s="1" t="s">
        <v>178</v>
      </c>
      <c r="J213" s="1">
        <v>46</v>
      </c>
      <c r="K213" s="1">
        <v>4</v>
      </c>
      <c r="L213" s="1">
        <v>11</v>
      </c>
      <c r="M213" s="1">
        <v>180</v>
      </c>
      <c r="N213" s="1">
        <v>6</v>
      </c>
      <c r="O213" s="1">
        <v>40.4</v>
      </c>
      <c r="P213" s="1">
        <v>38</v>
      </c>
      <c r="Q213" s="1">
        <v>7</v>
      </c>
      <c r="R213" s="1">
        <v>8</v>
      </c>
      <c r="S213" s="23">
        <f>2.3*0.86*N213*0.8*0.662</f>
        <v>6.2852927999999997</v>
      </c>
    </row>
    <row r="214" spans="1:19" x14ac:dyDescent="0.3">
      <c r="A214" s="1" t="s">
        <v>182</v>
      </c>
      <c r="B214" s="21" t="s">
        <v>97</v>
      </c>
      <c r="C214" s="21">
        <v>3</v>
      </c>
      <c r="D214" s="4">
        <v>3</v>
      </c>
      <c r="E214" s="1">
        <v>323</v>
      </c>
      <c r="F214" s="1">
        <v>69</v>
      </c>
      <c r="G214" s="1">
        <v>13</v>
      </c>
      <c r="H214" s="1">
        <v>82</v>
      </c>
      <c r="I214" s="1" t="s">
        <v>175</v>
      </c>
      <c r="J214" s="1">
        <v>43</v>
      </c>
      <c r="K214" s="1">
        <v>1</v>
      </c>
      <c r="L214" s="1">
        <v>11</v>
      </c>
      <c r="M214" s="1">
        <v>130</v>
      </c>
      <c r="N214" s="1">
        <v>7</v>
      </c>
      <c r="O214" s="1">
        <v>51</v>
      </c>
      <c r="P214" s="1">
        <v>39</v>
      </c>
      <c r="Q214" s="1">
        <v>8</v>
      </c>
      <c r="R214" s="1">
        <v>7.6</v>
      </c>
      <c r="S214" s="23">
        <f>2.47*0.85*N214*0.8*0.662</f>
        <v>7.7832664000000014</v>
      </c>
    </row>
    <row r="215" spans="1:19" x14ac:dyDescent="0.3">
      <c r="A215" s="1" t="s">
        <v>182</v>
      </c>
      <c r="B215" s="21" t="s">
        <v>97</v>
      </c>
      <c r="C215" s="21">
        <v>3</v>
      </c>
      <c r="D215" s="4">
        <v>4</v>
      </c>
      <c r="E215" s="1">
        <v>332</v>
      </c>
      <c r="F215" s="1">
        <v>64</v>
      </c>
      <c r="G215" s="1">
        <v>11</v>
      </c>
      <c r="H215" s="1">
        <v>156</v>
      </c>
      <c r="I215" s="1" t="s">
        <v>174</v>
      </c>
      <c r="J215" s="1">
        <v>42</v>
      </c>
      <c r="K215" s="1">
        <v>52</v>
      </c>
      <c r="L215" s="1">
        <v>11</v>
      </c>
      <c r="M215" s="1">
        <v>220</v>
      </c>
      <c r="N215" s="1">
        <v>8</v>
      </c>
      <c r="O215" s="1">
        <v>45</v>
      </c>
      <c r="P215" s="1">
        <v>40</v>
      </c>
      <c r="Q215" s="1">
        <v>7</v>
      </c>
      <c r="R215" s="1">
        <v>7.8</v>
      </c>
      <c r="S215" s="23">
        <f>2.38*0.8*0.8*N215*0.662</f>
        <v>8.0668672000000008</v>
      </c>
    </row>
    <row r="216" spans="1:19" x14ac:dyDescent="0.3">
      <c r="A216" s="1" t="s">
        <v>182</v>
      </c>
      <c r="B216" s="21" t="s">
        <v>97</v>
      </c>
      <c r="C216" s="21">
        <v>3</v>
      </c>
      <c r="D216" s="4">
        <v>5</v>
      </c>
      <c r="E216" s="1">
        <v>307</v>
      </c>
      <c r="F216" s="1">
        <v>74</v>
      </c>
      <c r="G216" s="1">
        <v>11</v>
      </c>
      <c r="H216" s="1">
        <v>170</v>
      </c>
      <c r="I216" s="1" t="s">
        <v>175</v>
      </c>
      <c r="J216" s="1">
        <v>7</v>
      </c>
      <c r="K216" s="1">
        <v>17</v>
      </c>
      <c r="L216" s="1"/>
      <c r="M216" s="1"/>
      <c r="N216" s="1"/>
      <c r="O216" s="1"/>
      <c r="P216" s="1"/>
      <c r="Q216" s="1"/>
      <c r="R216" s="1"/>
      <c r="S216" s="23"/>
    </row>
    <row r="217" spans="1:19" x14ac:dyDescent="0.3">
      <c r="A217" s="1" t="s">
        <v>182</v>
      </c>
      <c r="B217" s="21" t="s">
        <v>97</v>
      </c>
      <c r="C217" s="21">
        <v>3</v>
      </c>
      <c r="D217" s="4">
        <v>6</v>
      </c>
      <c r="E217" s="1">
        <v>335</v>
      </c>
      <c r="F217" s="1">
        <v>67</v>
      </c>
      <c r="G217" s="1">
        <v>10</v>
      </c>
      <c r="H217" s="1">
        <v>155</v>
      </c>
      <c r="I217" s="1" t="s">
        <v>174</v>
      </c>
      <c r="J217" s="1">
        <v>50</v>
      </c>
      <c r="K217" s="1">
        <v>8</v>
      </c>
      <c r="L217" s="1"/>
      <c r="M217" s="1"/>
      <c r="N217" s="1"/>
      <c r="O217" s="1"/>
      <c r="P217" s="1"/>
      <c r="Q217" s="1"/>
      <c r="R217" s="1"/>
      <c r="S217" s="23"/>
    </row>
    <row r="218" spans="1:19" x14ac:dyDescent="0.3">
      <c r="A218" s="1" t="s">
        <v>182</v>
      </c>
      <c r="B218" s="21" t="s">
        <v>97</v>
      </c>
      <c r="C218" s="21">
        <v>3</v>
      </c>
      <c r="D218" s="4">
        <v>7</v>
      </c>
      <c r="E218" s="1">
        <v>320</v>
      </c>
      <c r="F218" s="1">
        <v>70</v>
      </c>
      <c r="G218" s="1">
        <v>11</v>
      </c>
      <c r="H218" s="1">
        <v>155</v>
      </c>
      <c r="I218" s="1" t="s">
        <v>174</v>
      </c>
      <c r="J218" s="1">
        <v>50</v>
      </c>
      <c r="K218" s="1">
        <v>8</v>
      </c>
      <c r="L218" s="1"/>
      <c r="M218" s="1"/>
      <c r="N218" s="1"/>
      <c r="O218" s="1"/>
      <c r="P218" s="1"/>
      <c r="Q218" s="1"/>
      <c r="R218" s="1"/>
      <c r="S218" s="23"/>
    </row>
    <row r="219" spans="1:19" x14ac:dyDescent="0.3">
      <c r="A219" s="1" t="s">
        <v>182</v>
      </c>
      <c r="B219" s="21" t="s">
        <v>97</v>
      </c>
      <c r="C219" s="21">
        <v>3</v>
      </c>
      <c r="D219" s="4">
        <v>8</v>
      </c>
      <c r="E219" s="1">
        <v>340</v>
      </c>
      <c r="F219" s="1">
        <v>66</v>
      </c>
      <c r="G219" s="1">
        <v>13</v>
      </c>
      <c r="H219" s="1">
        <v>110</v>
      </c>
      <c r="I219" s="1" t="s">
        <v>180</v>
      </c>
      <c r="J219" s="1">
        <v>48</v>
      </c>
      <c r="K219" s="1">
        <v>6</v>
      </c>
      <c r="L219" s="1"/>
      <c r="M219" s="1"/>
      <c r="N219" s="1"/>
      <c r="O219" s="1"/>
      <c r="P219" s="1"/>
      <c r="Q219" s="1"/>
      <c r="R219" s="1"/>
      <c r="S219" s="23"/>
    </row>
    <row r="220" spans="1:19" x14ac:dyDescent="0.3">
      <c r="A220" s="1" t="s">
        <v>182</v>
      </c>
      <c r="B220" s="21" t="s">
        <v>97</v>
      </c>
      <c r="C220" s="21">
        <v>3</v>
      </c>
      <c r="D220" s="4">
        <v>9</v>
      </c>
      <c r="E220" s="1">
        <v>343</v>
      </c>
      <c r="F220" s="1">
        <v>69</v>
      </c>
      <c r="G220" s="1">
        <v>15</v>
      </c>
      <c r="H220" s="1">
        <v>150</v>
      </c>
      <c r="I220" s="1" t="s">
        <v>173</v>
      </c>
      <c r="J220" s="1">
        <v>47</v>
      </c>
      <c r="K220" s="1">
        <v>5</v>
      </c>
      <c r="L220" s="1">
        <v>11</v>
      </c>
      <c r="M220" s="1">
        <v>193</v>
      </c>
      <c r="N220" s="1">
        <v>6</v>
      </c>
      <c r="O220" s="1">
        <v>40.200000000000003</v>
      </c>
      <c r="P220" s="1">
        <v>37</v>
      </c>
      <c r="Q220" s="1">
        <v>7</v>
      </c>
      <c r="R220" s="1">
        <v>7.4</v>
      </c>
      <c r="S220" s="23">
        <f>2.3*0.9*0.8*N220*0.662</f>
        <v>6.5776320000000004</v>
      </c>
    </row>
    <row r="221" spans="1:19" x14ac:dyDescent="0.3">
      <c r="A221" s="1" t="s">
        <v>182</v>
      </c>
      <c r="B221" s="21" t="s">
        <v>97</v>
      </c>
      <c r="C221" s="21">
        <v>3</v>
      </c>
      <c r="D221" s="4">
        <v>10</v>
      </c>
      <c r="E221" s="1">
        <v>260</v>
      </c>
      <c r="F221" s="1">
        <v>57</v>
      </c>
      <c r="G221" s="1">
        <v>8</v>
      </c>
      <c r="H221" s="1">
        <v>75</v>
      </c>
      <c r="I221" s="1" t="s">
        <v>175</v>
      </c>
      <c r="J221" s="1">
        <v>7</v>
      </c>
      <c r="K221" s="1">
        <v>17</v>
      </c>
      <c r="L221" s="1"/>
      <c r="M221" s="1"/>
      <c r="N221" s="1"/>
      <c r="O221" s="1"/>
      <c r="P221" s="1"/>
      <c r="Q221" s="1"/>
      <c r="R221" s="1"/>
      <c r="S221" s="23"/>
    </row>
    <row r="222" spans="1:19" x14ac:dyDescent="0.3">
      <c r="A222" s="1" t="s">
        <v>182</v>
      </c>
      <c r="B222" s="21" t="s">
        <v>97</v>
      </c>
      <c r="C222" s="21">
        <v>3</v>
      </c>
      <c r="D222" s="4">
        <v>11</v>
      </c>
      <c r="E222" s="1">
        <v>310</v>
      </c>
      <c r="F222" s="1">
        <v>64</v>
      </c>
      <c r="G222" s="1">
        <v>10</v>
      </c>
      <c r="H222" s="1">
        <v>128</v>
      </c>
      <c r="I222" s="1" t="s">
        <v>183</v>
      </c>
      <c r="J222" s="1">
        <v>52</v>
      </c>
      <c r="K222" s="1">
        <v>10</v>
      </c>
      <c r="L222" s="1"/>
      <c r="M222" s="1"/>
      <c r="N222" s="1"/>
      <c r="O222" s="1"/>
      <c r="P222" s="1"/>
      <c r="Q222" s="1"/>
      <c r="R222" s="1"/>
      <c r="S222" s="23"/>
    </row>
    <row r="223" spans="1:19" x14ac:dyDescent="0.3">
      <c r="A223" s="1" t="s">
        <v>182</v>
      </c>
      <c r="B223" s="21" t="s">
        <v>97</v>
      </c>
      <c r="C223" s="21">
        <v>3</v>
      </c>
      <c r="D223" s="4">
        <v>12</v>
      </c>
      <c r="E223" s="1">
        <v>315</v>
      </c>
      <c r="F223" s="1">
        <v>65</v>
      </c>
      <c r="G223" s="1">
        <v>9</v>
      </c>
      <c r="H223" s="1">
        <v>145</v>
      </c>
      <c r="I223" s="1" t="s">
        <v>174</v>
      </c>
      <c r="J223" s="1">
        <v>6</v>
      </c>
      <c r="K223" s="1">
        <v>16</v>
      </c>
      <c r="L223" s="1"/>
      <c r="M223" s="1"/>
      <c r="N223" s="1"/>
      <c r="O223" s="1"/>
      <c r="P223" s="1"/>
      <c r="Q223" s="1"/>
      <c r="R223" s="1"/>
      <c r="S223" s="23"/>
    </row>
    <row r="224" spans="1:19" x14ac:dyDescent="0.3">
      <c r="A224" s="1" t="s">
        <v>182</v>
      </c>
      <c r="B224" s="21" t="s">
        <v>97</v>
      </c>
      <c r="C224" s="21">
        <v>3</v>
      </c>
      <c r="D224" s="4">
        <v>13</v>
      </c>
      <c r="E224" s="1">
        <v>275</v>
      </c>
      <c r="F224" s="1">
        <v>60</v>
      </c>
      <c r="G224" s="1">
        <v>10</v>
      </c>
      <c r="H224" s="1">
        <v>105</v>
      </c>
      <c r="I224" s="1" t="s">
        <v>179</v>
      </c>
      <c r="J224" s="1">
        <v>49</v>
      </c>
      <c r="K224" s="1">
        <v>7</v>
      </c>
      <c r="L224" s="1"/>
      <c r="M224" s="1"/>
      <c r="N224" s="1"/>
      <c r="O224" s="1"/>
      <c r="P224" s="1"/>
      <c r="Q224" s="1"/>
      <c r="R224" s="1"/>
      <c r="S224" s="23"/>
    </row>
    <row r="225" spans="1:19" x14ac:dyDescent="0.3">
      <c r="A225" s="1" t="s">
        <v>182</v>
      </c>
      <c r="B225" s="21" t="s">
        <v>97</v>
      </c>
      <c r="C225" s="21">
        <v>3</v>
      </c>
      <c r="D225" s="4">
        <v>14</v>
      </c>
      <c r="E225" s="1">
        <v>324</v>
      </c>
      <c r="F225" s="1">
        <v>67</v>
      </c>
      <c r="G225" s="1">
        <v>10</v>
      </c>
      <c r="H225" s="1">
        <v>155</v>
      </c>
      <c r="I225" s="1" t="s">
        <v>183</v>
      </c>
      <c r="J225" s="1">
        <v>52</v>
      </c>
      <c r="K225" s="1">
        <v>10</v>
      </c>
      <c r="L225" s="1"/>
      <c r="M225" s="1"/>
      <c r="N225" s="1"/>
      <c r="O225" s="1"/>
      <c r="P225" s="1"/>
      <c r="Q225" s="1"/>
      <c r="R225" s="1"/>
      <c r="S225" s="23"/>
    </row>
    <row r="226" spans="1:19" x14ac:dyDescent="0.3">
      <c r="A226" s="1" t="s">
        <v>182</v>
      </c>
      <c r="B226" s="21" t="s">
        <v>184</v>
      </c>
      <c r="C226" s="21">
        <v>2</v>
      </c>
      <c r="D226" s="4">
        <v>1</v>
      </c>
      <c r="E226" s="1">
        <v>320</v>
      </c>
      <c r="F226" s="1">
        <v>64</v>
      </c>
      <c r="G226" s="1">
        <v>11</v>
      </c>
      <c r="H226" s="1">
        <v>120</v>
      </c>
      <c r="I226" s="1" t="s">
        <v>175</v>
      </c>
      <c r="J226" s="1">
        <v>51</v>
      </c>
      <c r="K226" s="1">
        <v>9</v>
      </c>
      <c r="L226" s="1"/>
      <c r="M226" s="1"/>
      <c r="N226" s="1"/>
      <c r="O226" s="1"/>
      <c r="P226" s="1"/>
      <c r="Q226" s="1"/>
      <c r="R226" s="1"/>
      <c r="S226" s="23"/>
    </row>
    <row r="227" spans="1:19" x14ac:dyDescent="0.3">
      <c r="A227" s="1" t="s">
        <v>182</v>
      </c>
      <c r="B227" s="21" t="s">
        <v>184</v>
      </c>
      <c r="C227" s="21">
        <v>2</v>
      </c>
      <c r="D227" s="4">
        <v>2</v>
      </c>
      <c r="E227" s="1">
        <v>350</v>
      </c>
      <c r="F227" s="1">
        <v>65</v>
      </c>
      <c r="G227" s="1">
        <v>15</v>
      </c>
      <c r="H227" s="1">
        <v>124</v>
      </c>
      <c r="I227" s="1" t="s">
        <v>176</v>
      </c>
      <c r="J227" s="1">
        <v>45</v>
      </c>
      <c r="K227" s="1">
        <v>3</v>
      </c>
      <c r="L227" s="1">
        <v>11</v>
      </c>
      <c r="M227" s="1">
        <v>203</v>
      </c>
      <c r="N227" s="1">
        <v>6</v>
      </c>
      <c r="O227" s="1">
        <v>43</v>
      </c>
      <c r="P227" s="1">
        <v>39</v>
      </c>
      <c r="Q227" s="1">
        <v>7</v>
      </c>
      <c r="R227" s="1">
        <v>7.8</v>
      </c>
      <c r="S227" s="23">
        <f>2.19*0.81*0.8*N227*0.662</f>
        <v>5.6367446400000008</v>
      </c>
    </row>
    <row r="228" spans="1:19" x14ac:dyDescent="0.3">
      <c r="A228" s="1" t="s">
        <v>182</v>
      </c>
      <c r="B228" s="21" t="s">
        <v>184</v>
      </c>
      <c r="C228" s="21">
        <v>2</v>
      </c>
      <c r="D228" s="4">
        <v>3</v>
      </c>
      <c r="E228" s="1">
        <v>287</v>
      </c>
      <c r="F228" s="1">
        <v>57</v>
      </c>
      <c r="G228" s="1">
        <v>11</v>
      </c>
      <c r="H228" s="1">
        <v>57</v>
      </c>
      <c r="I228" s="1" t="s">
        <v>174</v>
      </c>
      <c r="J228" s="1">
        <v>50</v>
      </c>
      <c r="K228" s="1">
        <v>8</v>
      </c>
      <c r="L228" s="1"/>
      <c r="M228" s="1"/>
      <c r="N228" s="1"/>
      <c r="O228" s="1"/>
      <c r="P228" s="1"/>
      <c r="Q228" s="1"/>
      <c r="R228" s="1"/>
      <c r="S228" s="23"/>
    </row>
    <row r="229" spans="1:19" x14ac:dyDescent="0.3">
      <c r="A229" s="1" t="s">
        <v>182</v>
      </c>
      <c r="B229" s="21" t="s">
        <v>184</v>
      </c>
      <c r="C229" s="21">
        <v>2</v>
      </c>
      <c r="D229" s="4">
        <v>4</v>
      </c>
      <c r="E229" s="1">
        <v>344</v>
      </c>
      <c r="F229" s="1">
        <v>65</v>
      </c>
      <c r="G229" s="1">
        <v>13</v>
      </c>
      <c r="H229" s="1">
        <v>86</v>
      </c>
      <c r="I229" s="1" t="s">
        <v>183</v>
      </c>
      <c r="J229" s="1">
        <v>44</v>
      </c>
      <c r="K229" s="1">
        <v>2</v>
      </c>
      <c r="L229" s="1">
        <v>11</v>
      </c>
      <c r="M229" s="1">
        <v>145</v>
      </c>
      <c r="N229" s="1">
        <v>6</v>
      </c>
      <c r="O229" s="1">
        <v>44</v>
      </c>
      <c r="P229" s="1">
        <v>38</v>
      </c>
      <c r="Q229" s="1">
        <v>7</v>
      </c>
      <c r="R229" s="1">
        <v>8.4</v>
      </c>
      <c r="S229" s="23">
        <f>2.1*0.87*0.8*N229*0.662</f>
        <v>5.8054752000000009</v>
      </c>
    </row>
    <row r="230" spans="1:19" x14ac:dyDescent="0.3">
      <c r="A230" s="1" t="s">
        <v>182</v>
      </c>
      <c r="B230" s="21" t="s">
        <v>184</v>
      </c>
      <c r="C230" s="21">
        <v>2</v>
      </c>
      <c r="D230" s="4">
        <v>5</v>
      </c>
      <c r="E230" s="1">
        <v>342</v>
      </c>
      <c r="F230" s="1">
        <v>69</v>
      </c>
      <c r="G230" s="1">
        <v>15</v>
      </c>
      <c r="H230" s="1">
        <v>164</v>
      </c>
      <c r="I230" s="1" t="s">
        <v>178</v>
      </c>
      <c r="J230" s="1">
        <v>46</v>
      </c>
      <c r="K230" s="1">
        <v>4</v>
      </c>
      <c r="L230" s="1">
        <v>11</v>
      </c>
      <c r="M230" s="1">
        <v>172</v>
      </c>
      <c r="N230" s="1">
        <v>6</v>
      </c>
      <c r="O230" s="1">
        <v>28.8</v>
      </c>
      <c r="P230" s="1">
        <v>38</v>
      </c>
      <c r="Q230" s="1">
        <v>6</v>
      </c>
      <c r="R230" s="1">
        <v>7.8</v>
      </c>
      <c r="S230" s="23">
        <f>2.05*0.81*0.8*N230*0.662</f>
        <v>5.2764047999999999</v>
      </c>
    </row>
    <row r="231" spans="1:19" x14ac:dyDescent="0.3">
      <c r="A231" s="1" t="s">
        <v>182</v>
      </c>
      <c r="B231" s="21" t="s">
        <v>184</v>
      </c>
      <c r="C231" s="21">
        <v>2</v>
      </c>
      <c r="D231" s="4">
        <v>6</v>
      </c>
      <c r="E231" s="1">
        <v>310</v>
      </c>
      <c r="F231" s="1">
        <v>56</v>
      </c>
      <c r="G231" s="1">
        <v>16</v>
      </c>
      <c r="H231" s="1">
        <v>100</v>
      </c>
      <c r="I231" s="1" t="s">
        <v>175</v>
      </c>
      <c r="J231" s="1">
        <v>43</v>
      </c>
      <c r="K231" s="1">
        <v>1</v>
      </c>
      <c r="L231" s="1">
        <v>11</v>
      </c>
      <c r="M231" s="1">
        <v>125</v>
      </c>
      <c r="N231" s="1">
        <v>7</v>
      </c>
      <c r="O231" s="1">
        <v>28.6</v>
      </c>
      <c r="P231" s="1">
        <v>37</v>
      </c>
      <c r="Q231" s="1">
        <v>6</v>
      </c>
      <c r="R231" s="1">
        <v>7.6</v>
      </c>
      <c r="S231" s="23">
        <f>2*0.83*0.8*N231*0.662</f>
        <v>6.1539520000000012</v>
      </c>
    </row>
    <row r="232" spans="1:19" x14ac:dyDescent="0.3">
      <c r="A232" s="1" t="s">
        <v>182</v>
      </c>
      <c r="B232" s="21" t="s">
        <v>184</v>
      </c>
      <c r="C232" s="21">
        <v>2</v>
      </c>
      <c r="D232" s="4">
        <v>7</v>
      </c>
      <c r="E232" s="1">
        <v>330</v>
      </c>
      <c r="F232" s="1">
        <v>67</v>
      </c>
      <c r="G232" s="1">
        <v>13</v>
      </c>
      <c r="H232" s="1">
        <v>150</v>
      </c>
      <c r="I232" s="1" t="s">
        <v>175</v>
      </c>
      <c r="J232" s="1">
        <v>43</v>
      </c>
      <c r="K232" s="1">
        <v>52</v>
      </c>
      <c r="L232" s="1">
        <v>11</v>
      </c>
      <c r="M232" s="1">
        <v>223</v>
      </c>
      <c r="N232" s="1">
        <v>7</v>
      </c>
      <c r="O232" s="1">
        <v>45</v>
      </c>
      <c r="P232" s="1">
        <v>39</v>
      </c>
      <c r="Q232" s="1">
        <v>7</v>
      </c>
      <c r="R232" s="1">
        <v>7.6</v>
      </c>
      <c r="S232" s="23">
        <f>2.28*0.87*0.8*N232*0.662</f>
        <v>7.3536019199999991</v>
      </c>
    </row>
    <row r="233" spans="1:19" x14ac:dyDescent="0.3">
      <c r="A233" s="1" t="s">
        <v>182</v>
      </c>
      <c r="B233" s="21" t="s">
        <v>184</v>
      </c>
      <c r="C233" s="21">
        <v>2</v>
      </c>
      <c r="D233" s="4">
        <v>8</v>
      </c>
      <c r="E233" s="1">
        <v>327</v>
      </c>
      <c r="F233" s="1">
        <v>60</v>
      </c>
      <c r="G233" s="1">
        <v>10</v>
      </c>
      <c r="H233" s="1">
        <v>135</v>
      </c>
      <c r="I233" s="1" t="s">
        <v>179</v>
      </c>
      <c r="J233" s="1">
        <v>49</v>
      </c>
      <c r="K233" s="1">
        <v>7</v>
      </c>
      <c r="L233" s="1"/>
      <c r="M233" s="1"/>
      <c r="N233" s="1"/>
      <c r="O233" s="1"/>
      <c r="P233" s="1"/>
      <c r="Q233" s="1"/>
      <c r="R233" s="1"/>
      <c r="S233" s="23"/>
    </row>
    <row r="234" spans="1:19" x14ac:dyDescent="0.3">
      <c r="A234" s="1" t="s">
        <v>182</v>
      </c>
      <c r="B234" s="21" t="s">
        <v>184</v>
      </c>
      <c r="C234" s="21">
        <v>2</v>
      </c>
      <c r="D234" s="4">
        <v>9</v>
      </c>
      <c r="E234" s="1">
        <v>330</v>
      </c>
      <c r="F234" s="1">
        <v>64</v>
      </c>
      <c r="G234" s="1">
        <v>13</v>
      </c>
      <c r="H234" s="1">
        <v>136</v>
      </c>
      <c r="I234" s="1" t="s">
        <v>173</v>
      </c>
      <c r="J234" s="1">
        <v>47</v>
      </c>
      <c r="K234" s="1">
        <v>5</v>
      </c>
      <c r="L234" s="1">
        <v>12</v>
      </c>
      <c r="M234" s="1">
        <v>190</v>
      </c>
      <c r="N234" s="1">
        <v>6</v>
      </c>
      <c r="O234" s="1">
        <v>35.200000000000003</v>
      </c>
      <c r="P234" s="1">
        <v>37</v>
      </c>
      <c r="Q234" s="1">
        <v>7</v>
      </c>
      <c r="R234" s="1">
        <v>7.4</v>
      </c>
      <c r="S234" s="23">
        <f>2.3*0.87*0.8*N234*0.662</f>
        <v>6.3583776000000007</v>
      </c>
    </row>
    <row r="235" spans="1:19" x14ac:dyDescent="0.3">
      <c r="A235" s="1" t="s">
        <v>182</v>
      </c>
      <c r="B235" s="21" t="s">
        <v>184</v>
      </c>
      <c r="C235" s="21">
        <v>2</v>
      </c>
      <c r="D235" s="4">
        <v>10</v>
      </c>
      <c r="E235" s="1">
        <v>322</v>
      </c>
      <c r="F235" s="1">
        <v>60</v>
      </c>
      <c r="G235" s="1">
        <v>10</v>
      </c>
      <c r="H235" s="1">
        <v>127</v>
      </c>
      <c r="I235" s="1" t="s">
        <v>174</v>
      </c>
      <c r="J235" s="1">
        <v>50</v>
      </c>
      <c r="K235" s="1">
        <v>8</v>
      </c>
      <c r="L235" s="1"/>
      <c r="M235" s="1"/>
      <c r="N235" s="1"/>
      <c r="O235" s="1"/>
      <c r="P235" s="1"/>
      <c r="Q235" s="1"/>
      <c r="R235" s="1"/>
      <c r="S235" s="23"/>
    </row>
    <row r="236" spans="1:19" x14ac:dyDescent="0.3">
      <c r="A236" s="1" t="s">
        <v>182</v>
      </c>
      <c r="B236" s="21" t="s">
        <v>184</v>
      </c>
      <c r="C236" s="21">
        <v>2</v>
      </c>
      <c r="D236" s="4">
        <v>11</v>
      </c>
      <c r="E236" s="1">
        <v>375</v>
      </c>
      <c r="F236" s="1">
        <v>68</v>
      </c>
      <c r="G236" s="1">
        <v>11</v>
      </c>
      <c r="H236" s="1">
        <v>180</v>
      </c>
      <c r="I236" s="1" t="s">
        <v>179</v>
      </c>
      <c r="J236" s="1">
        <v>49</v>
      </c>
      <c r="K236" s="1">
        <v>7</v>
      </c>
      <c r="L236" s="1"/>
      <c r="M236" s="1"/>
      <c r="N236" s="1"/>
      <c r="O236" s="1"/>
      <c r="P236" s="1"/>
      <c r="Q236" s="1"/>
      <c r="R236" s="1"/>
      <c r="S236" s="23"/>
    </row>
    <row r="237" spans="1:19" x14ac:dyDescent="0.3">
      <c r="A237" s="1" t="s">
        <v>182</v>
      </c>
      <c r="B237" s="21" t="s">
        <v>184</v>
      </c>
      <c r="C237" s="21">
        <v>2</v>
      </c>
      <c r="D237" s="4">
        <v>12</v>
      </c>
      <c r="E237" s="1">
        <v>321</v>
      </c>
      <c r="F237" s="1">
        <v>59</v>
      </c>
      <c r="G237" s="1">
        <v>14</v>
      </c>
      <c r="H237" s="1">
        <v>95</v>
      </c>
      <c r="I237" s="1" t="s">
        <v>173</v>
      </c>
      <c r="J237" s="1">
        <v>47</v>
      </c>
      <c r="K237" s="1">
        <v>5</v>
      </c>
      <c r="L237" s="1">
        <v>11</v>
      </c>
      <c r="M237" s="1">
        <v>132</v>
      </c>
      <c r="N237" s="1">
        <v>7</v>
      </c>
      <c r="O237" s="1">
        <v>30.9</v>
      </c>
      <c r="P237" s="1">
        <v>38</v>
      </c>
      <c r="Q237" s="1">
        <v>6</v>
      </c>
      <c r="R237" s="1">
        <v>7.6</v>
      </c>
      <c r="S237" s="23">
        <f>2.3*0.9*0.8*N237*0.662</f>
        <v>7.6739039999999994</v>
      </c>
    </row>
    <row r="238" spans="1:19" x14ac:dyDescent="0.3">
      <c r="A238" s="1" t="s">
        <v>182</v>
      </c>
      <c r="B238" s="21" t="s">
        <v>184</v>
      </c>
      <c r="C238" s="21">
        <v>2</v>
      </c>
      <c r="D238" s="4">
        <v>13</v>
      </c>
      <c r="E238" s="1">
        <v>358</v>
      </c>
      <c r="F238" s="1">
        <v>73</v>
      </c>
      <c r="G238" s="1">
        <v>15</v>
      </c>
      <c r="H238" s="1">
        <v>126</v>
      </c>
      <c r="I238" s="1" t="s">
        <v>183</v>
      </c>
      <c r="J238" s="1">
        <v>44</v>
      </c>
      <c r="K238" s="1">
        <v>2</v>
      </c>
      <c r="L238" s="1">
        <v>11</v>
      </c>
      <c r="M238" s="1">
        <v>207</v>
      </c>
      <c r="N238" s="1">
        <v>5</v>
      </c>
      <c r="O238" s="1">
        <v>52.2</v>
      </c>
      <c r="P238" s="1">
        <v>38</v>
      </c>
      <c r="Q238" s="1">
        <v>8</v>
      </c>
      <c r="R238" s="1">
        <v>7.6</v>
      </c>
      <c r="S238" s="23">
        <f>2.5*0.88*0.8*N238*0.662</f>
        <v>5.8256000000000006</v>
      </c>
    </row>
    <row r="239" spans="1:19" x14ac:dyDescent="0.3">
      <c r="A239" s="1" t="s">
        <v>182</v>
      </c>
      <c r="B239" s="21" t="s">
        <v>184</v>
      </c>
      <c r="C239" s="21">
        <v>2</v>
      </c>
      <c r="D239" s="4">
        <v>14</v>
      </c>
      <c r="E239" s="1">
        <v>320</v>
      </c>
      <c r="F239" s="1">
        <v>67</v>
      </c>
      <c r="G239" s="1">
        <v>14</v>
      </c>
      <c r="H239" s="1">
        <v>117</v>
      </c>
      <c r="I239" s="1" t="s">
        <v>173</v>
      </c>
      <c r="J239" s="1">
        <v>47</v>
      </c>
      <c r="K239" s="1">
        <v>5</v>
      </c>
      <c r="L239" s="1">
        <v>11</v>
      </c>
      <c r="M239" s="1">
        <v>140</v>
      </c>
      <c r="N239" s="1">
        <v>5</v>
      </c>
      <c r="O239" s="1">
        <v>30.5</v>
      </c>
      <c r="P239" s="1">
        <v>38</v>
      </c>
      <c r="Q239" s="1">
        <v>6</v>
      </c>
      <c r="R239" s="1">
        <v>7.4</v>
      </c>
      <c r="S239" s="23">
        <f>2.22*0.86*0.8*N239*0.662</f>
        <v>5.0555616000000008</v>
      </c>
    </row>
    <row r="240" spans="1:19" x14ac:dyDescent="0.3">
      <c r="A240" s="1" t="s">
        <v>182</v>
      </c>
      <c r="B240" s="21" t="s">
        <v>109</v>
      </c>
      <c r="C240" s="21">
        <v>3</v>
      </c>
      <c r="D240" s="4">
        <v>1</v>
      </c>
      <c r="E240" s="1">
        <v>328</v>
      </c>
      <c r="F240" s="1">
        <v>61</v>
      </c>
      <c r="G240" s="1">
        <v>14</v>
      </c>
      <c r="H240" s="1">
        <v>80</v>
      </c>
      <c r="I240" s="1" t="s">
        <v>183</v>
      </c>
      <c r="J240" s="1">
        <v>44</v>
      </c>
      <c r="K240" s="1">
        <v>2</v>
      </c>
      <c r="L240" s="1">
        <v>11</v>
      </c>
      <c r="M240" s="1">
        <v>123</v>
      </c>
      <c r="N240" s="1">
        <v>4</v>
      </c>
      <c r="O240" s="1">
        <v>41.2</v>
      </c>
      <c r="P240" s="1">
        <v>39</v>
      </c>
      <c r="Q240" s="1">
        <v>7</v>
      </c>
      <c r="R240" s="1">
        <v>7.8</v>
      </c>
      <c r="S240" s="23">
        <f>2.25*0.84*0.8*N240*0.662</f>
        <v>4.0037760000000002</v>
      </c>
    </row>
    <row r="241" spans="1:19" x14ac:dyDescent="0.3">
      <c r="A241" s="1" t="s">
        <v>182</v>
      </c>
      <c r="B241" s="21" t="s">
        <v>109</v>
      </c>
      <c r="C241" s="21">
        <v>3</v>
      </c>
      <c r="D241" s="4">
        <v>2</v>
      </c>
      <c r="E241" s="1">
        <v>330</v>
      </c>
      <c r="F241" s="1">
        <v>63</v>
      </c>
      <c r="G241" s="1">
        <v>15</v>
      </c>
      <c r="H241" s="1">
        <v>156</v>
      </c>
      <c r="I241" s="1" t="s">
        <v>179</v>
      </c>
      <c r="J241" s="1">
        <v>49</v>
      </c>
      <c r="K241" s="1">
        <v>7</v>
      </c>
      <c r="L241" s="1"/>
      <c r="M241" s="1"/>
      <c r="N241" s="1"/>
      <c r="O241" s="1"/>
      <c r="P241" s="1"/>
      <c r="Q241" s="1"/>
      <c r="R241" s="1"/>
      <c r="S241" s="23"/>
    </row>
    <row r="242" spans="1:19" x14ac:dyDescent="0.3">
      <c r="A242" s="1" t="s">
        <v>182</v>
      </c>
      <c r="B242" s="21" t="s">
        <v>109</v>
      </c>
      <c r="C242" s="21">
        <v>3</v>
      </c>
      <c r="D242" s="4">
        <v>3</v>
      </c>
      <c r="E242" s="1">
        <v>280</v>
      </c>
      <c r="F242" s="1">
        <v>64</v>
      </c>
      <c r="G242" s="1">
        <v>14</v>
      </c>
      <c r="H242" s="1">
        <v>88</v>
      </c>
      <c r="I242" s="1" t="s">
        <v>173</v>
      </c>
      <c r="J242" s="1">
        <v>47</v>
      </c>
      <c r="K242" s="1">
        <v>5</v>
      </c>
      <c r="L242" s="1">
        <v>11</v>
      </c>
      <c r="M242" s="1">
        <v>160</v>
      </c>
      <c r="N242" s="1">
        <v>5</v>
      </c>
      <c r="O242" s="1">
        <v>34.200000000000003</v>
      </c>
      <c r="P242" s="1">
        <v>38</v>
      </c>
      <c r="Q242" s="1">
        <v>6</v>
      </c>
      <c r="R242" s="1">
        <v>7.6</v>
      </c>
      <c r="S242" s="23">
        <f>2*0.91*0.8*N242*0.662</f>
        <v>4.8193600000000014</v>
      </c>
    </row>
    <row r="243" spans="1:19" x14ac:dyDescent="0.3">
      <c r="A243" s="1" t="s">
        <v>182</v>
      </c>
      <c r="B243" s="21" t="s">
        <v>109</v>
      </c>
      <c r="C243" s="21">
        <v>3</v>
      </c>
      <c r="D243" s="4">
        <v>4</v>
      </c>
      <c r="E243" s="1">
        <v>350</v>
      </c>
      <c r="F243" s="1">
        <v>70</v>
      </c>
      <c r="G243" s="1">
        <v>15</v>
      </c>
      <c r="H243" s="1">
        <v>103</v>
      </c>
      <c r="I243" s="1" t="s">
        <v>173</v>
      </c>
      <c r="J243" s="1">
        <v>47</v>
      </c>
      <c r="K243" s="1">
        <v>5</v>
      </c>
      <c r="L243" s="1">
        <v>11</v>
      </c>
      <c r="M243" s="1">
        <v>185</v>
      </c>
      <c r="N243" s="1">
        <v>6</v>
      </c>
      <c r="O243" s="1">
        <v>49.3</v>
      </c>
      <c r="P243" s="1">
        <v>40</v>
      </c>
      <c r="Q243" s="1">
        <v>8</v>
      </c>
      <c r="R243" s="1">
        <v>7.5</v>
      </c>
      <c r="S243" s="23">
        <f>2.4*1*0.8*N243*0.662</f>
        <v>7.6262400000000001</v>
      </c>
    </row>
    <row r="244" spans="1:19" x14ac:dyDescent="0.3">
      <c r="A244" s="1" t="s">
        <v>182</v>
      </c>
      <c r="B244" s="21" t="s">
        <v>109</v>
      </c>
      <c r="C244" s="21">
        <v>3</v>
      </c>
      <c r="D244" s="4">
        <v>5</v>
      </c>
      <c r="E244" s="1">
        <v>332</v>
      </c>
      <c r="F244" s="1">
        <v>68</v>
      </c>
      <c r="G244" s="1">
        <v>10</v>
      </c>
      <c r="H244" s="1">
        <v>189</v>
      </c>
      <c r="I244" s="1" t="s">
        <v>183</v>
      </c>
      <c r="J244" s="1">
        <v>44</v>
      </c>
      <c r="K244" s="1">
        <v>2</v>
      </c>
      <c r="L244" s="1">
        <v>11</v>
      </c>
      <c r="M244" s="1">
        <v>245</v>
      </c>
      <c r="N244" s="1">
        <v>5</v>
      </c>
      <c r="O244" s="1">
        <v>51.5</v>
      </c>
      <c r="P244" s="1">
        <v>39</v>
      </c>
      <c r="Q244" s="1">
        <v>7</v>
      </c>
      <c r="R244" s="1">
        <v>8.4</v>
      </c>
      <c r="S244" s="23">
        <f>2.4*0.94*0.8*N244*0.662</f>
        <v>5.9738879999999996</v>
      </c>
    </row>
    <row r="245" spans="1:19" x14ac:dyDescent="0.3">
      <c r="A245" s="1" t="s">
        <v>182</v>
      </c>
      <c r="B245" s="21" t="s">
        <v>109</v>
      </c>
      <c r="C245" s="21">
        <v>3</v>
      </c>
      <c r="D245" s="4">
        <v>6</v>
      </c>
      <c r="E245" s="1">
        <v>344</v>
      </c>
      <c r="F245" s="1">
        <v>70</v>
      </c>
      <c r="G245" s="1">
        <v>15</v>
      </c>
      <c r="H245" s="1">
        <v>153</v>
      </c>
      <c r="I245" s="1" t="s">
        <v>183</v>
      </c>
      <c r="J245" s="1">
        <v>44</v>
      </c>
      <c r="K245" s="1">
        <v>2</v>
      </c>
      <c r="L245" s="1">
        <v>11</v>
      </c>
      <c r="M245" s="1">
        <v>210</v>
      </c>
      <c r="N245" s="1">
        <v>5</v>
      </c>
      <c r="O245" s="1">
        <v>52</v>
      </c>
      <c r="P245" s="1">
        <v>38</v>
      </c>
      <c r="Q245" s="1">
        <v>8</v>
      </c>
      <c r="R245" s="1">
        <v>8</v>
      </c>
      <c r="S245" s="23">
        <f>2.45*1*0.8*N245*0.662</f>
        <v>6.4876000000000005</v>
      </c>
    </row>
    <row r="246" spans="1:19" x14ac:dyDescent="0.3">
      <c r="A246" s="1" t="s">
        <v>182</v>
      </c>
      <c r="B246" s="21" t="s">
        <v>109</v>
      </c>
      <c r="C246" s="21">
        <v>3</v>
      </c>
      <c r="D246" s="4">
        <v>7</v>
      </c>
      <c r="E246" s="1">
        <v>320</v>
      </c>
      <c r="F246" s="1">
        <v>61</v>
      </c>
      <c r="G246" s="1">
        <v>12</v>
      </c>
      <c r="H246" s="1">
        <v>143</v>
      </c>
      <c r="I246" s="1" t="s">
        <v>178</v>
      </c>
      <c r="J246" s="1">
        <v>46</v>
      </c>
      <c r="K246" s="1">
        <v>4</v>
      </c>
      <c r="L246" s="1">
        <v>11</v>
      </c>
      <c r="M246" s="1">
        <v>175</v>
      </c>
      <c r="N246" s="1">
        <v>6</v>
      </c>
      <c r="O246" s="1">
        <v>40.5</v>
      </c>
      <c r="P246" s="1">
        <v>38</v>
      </c>
      <c r="Q246" s="1">
        <v>8</v>
      </c>
      <c r="R246" s="1">
        <v>8</v>
      </c>
      <c r="S246" s="23">
        <f>2.55*1*0.8*N246*0.662</f>
        <v>8.1028800000000007</v>
      </c>
    </row>
    <row r="247" spans="1:19" x14ac:dyDescent="0.3">
      <c r="A247" s="1" t="s">
        <v>182</v>
      </c>
      <c r="B247" s="21" t="s">
        <v>109</v>
      </c>
      <c r="C247" s="21">
        <v>3</v>
      </c>
      <c r="D247" s="4">
        <v>8</v>
      </c>
      <c r="E247" s="1">
        <v>340</v>
      </c>
      <c r="F247" s="1">
        <v>61</v>
      </c>
      <c r="G247" s="1">
        <v>14</v>
      </c>
      <c r="H247" s="1">
        <v>90</v>
      </c>
      <c r="I247" s="1" t="s">
        <v>175</v>
      </c>
      <c r="J247" s="1">
        <v>43</v>
      </c>
      <c r="K247" s="1">
        <v>1</v>
      </c>
      <c r="L247" s="1">
        <v>11</v>
      </c>
      <c r="M247" s="1">
        <v>160</v>
      </c>
      <c r="N247" s="1">
        <v>7</v>
      </c>
      <c r="O247" s="1">
        <v>41.5</v>
      </c>
      <c r="P247" s="1">
        <v>39</v>
      </c>
      <c r="Q247" s="1">
        <v>7</v>
      </c>
      <c r="R247" s="1">
        <v>8.1999999999999993</v>
      </c>
      <c r="S247" s="23">
        <f>2.45*0.85*0.8*N247*0.662</f>
        <v>7.720244000000001</v>
      </c>
    </row>
    <row r="248" spans="1:19" x14ac:dyDescent="0.3">
      <c r="A248" s="1" t="s">
        <v>182</v>
      </c>
      <c r="B248" s="21" t="s">
        <v>109</v>
      </c>
      <c r="C248" s="21">
        <v>3</v>
      </c>
      <c r="D248" s="4">
        <v>9</v>
      </c>
      <c r="E248" s="1">
        <v>340</v>
      </c>
      <c r="F248" s="1">
        <v>64</v>
      </c>
      <c r="G248" s="1">
        <v>13</v>
      </c>
      <c r="H248" s="1">
        <v>130</v>
      </c>
      <c r="I248" s="1" t="s">
        <v>174</v>
      </c>
      <c r="J248" s="1">
        <v>42</v>
      </c>
      <c r="K248" s="1">
        <v>52</v>
      </c>
      <c r="L248" s="1">
        <v>10</v>
      </c>
      <c r="M248" s="1">
        <v>170</v>
      </c>
      <c r="N248" s="1">
        <v>7</v>
      </c>
      <c r="O248" s="1">
        <v>44</v>
      </c>
      <c r="P248" s="1">
        <v>39</v>
      </c>
      <c r="Q248" s="1">
        <v>7</v>
      </c>
      <c r="R248" s="1">
        <v>8</v>
      </c>
      <c r="S248" s="23">
        <f>2.45*0.83*0.8*N248*0.662</f>
        <v>7.5385912000000017</v>
      </c>
    </row>
    <row r="249" spans="1:19" x14ac:dyDescent="0.3">
      <c r="A249" s="1" t="s">
        <v>182</v>
      </c>
      <c r="B249" s="21" t="s">
        <v>109</v>
      </c>
      <c r="C249" s="21">
        <v>3</v>
      </c>
      <c r="D249" s="4">
        <v>10</v>
      </c>
      <c r="E249" s="1">
        <v>300</v>
      </c>
      <c r="F249" s="1">
        <v>54</v>
      </c>
      <c r="G249" s="1">
        <v>12</v>
      </c>
      <c r="H249" s="1">
        <v>83</v>
      </c>
      <c r="I249" s="1" t="s">
        <v>174</v>
      </c>
      <c r="J249" s="1">
        <v>42</v>
      </c>
      <c r="K249" s="1">
        <v>52</v>
      </c>
      <c r="L249" s="1">
        <v>11</v>
      </c>
      <c r="M249" s="1">
        <v>104</v>
      </c>
      <c r="N249" s="1">
        <v>5</v>
      </c>
      <c r="O249" s="1">
        <v>35</v>
      </c>
      <c r="P249" s="1">
        <v>39</v>
      </c>
      <c r="Q249" s="1">
        <v>6</v>
      </c>
      <c r="R249" s="1">
        <v>7.6</v>
      </c>
      <c r="S249" s="23">
        <f>2.1*0.8*0.8*N249*0.662</f>
        <v>4.448640000000001</v>
      </c>
    </row>
    <row r="250" spans="1:19" x14ac:dyDescent="0.3">
      <c r="A250" s="1" t="s">
        <v>182</v>
      </c>
      <c r="B250" s="21" t="s">
        <v>109</v>
      </c>
      <c r="C250" s="21">
        <v>3</v>
      </c>
      <c r="D250" s="4">
        <v>11</v>
      </c>
      <c r="E250" s="1">
        <v>315</v>
      </c>
      <c r="F250" s="1">
        <v>53</v>
      </c>
      <c r="G250" s="1">
        <v>12</v>
      </c>
      <c r="H250" s="1">
        <v>133</v>
      </c>
      <c r="I250" s="1" t="s">
        <v>176</v>
      </c>
      <c r="J250" s="1">
        <v>45</v>
      </c>
      <c r="K250" s="1">
        <v>3</v>
      </c>
      <c r="L250" s="1">
        <v>11</v>
      </c>
      <c r="M250" s="1">
        <v>170</v>
      </c>
      <c r="N250" s="1">
        <v>4</v>
      </c>
      <c r="O250" s="1">
        <v>24</v>
      </c>
      <c r="P250" s="1">
        <v>37</v>
      </c>
      <c r="Q250" s="1">
        <v>6</v>
      </c>
      <c r="R250" s="1">
        <v>7.4</v>
      </c>
      <c r="S250" s="23">
        <f>2.24*0.8*0.8*N250*0.662</f>
        <v>3.7961728000000008</v>
      </c>
    </row>
    <row r="251" spans="1:19" x14ac:dyDescent="0.3">
      <c r="A251" s="1" t="s">
        <v>182</v>
      </c>
      <c r="B251" s="21" t="s">
        <v>109</v>
      </c>
      <c r="C251" s="21">
        <v>3</v>
      </c>
      <c r="D251" s="4">
        <v>12</v>
      </c>
      <c r="E251" s="1">
        <v>325</v>
      </c>
      <c r="F251" s="1">
        <v>63</v>
      </c>
      <c r="G251" s="1">
        <v>11</v>
      </c>
      <c r="H251" s="1">
        <v>140</v>
      </c>
      <c r="I251" s="1" t="s">
        <v>173</v>
      </c>
      <c r="J251" s="1">
        <v>47</v>
      </c>
      <c r="K251" s="1">
        <v>5</v>
      </c>
      <c r="L251" s="1">
        <v>11</v>
      </c>
      <c r="M251" s="1">
        <v>204</v>
      </c>
      <c r="N251" s="1">
        <v>4</v>
      </c>
      <c r="O251" s="1">
        <v>46.5</v>
      </c>
      <c r="P251" s="1">
        <v>39</v>
      </c>
      <c r="Q251" s="1">
        <v>7</v>
      </c>
      <c r="R251" s="1">
        <v>7.8</v>
      </c>
      <c r="S251" s="23">
        <f>2.4*0.91*0.8*N251*0.662</f>
        <v>4.6265856000000012</v>
      </c>
    </row>
    <row r="252" spans="1:19" x14ac:dyDescent="0.3">
      <c r="A252" s="1" t="s">
        <v>182</v>
      </c>
      <c r="B252" s="21" t="s">
        <v>109</v>
      </c>
      <c r="C252" s="21">
        <v>3</v>
      </c>
      <c r="D252" s="4">
        <v>13</v>
      </c>
      <c r="E252" s="1">
        <v>322</v>
      </c>
      <c r="F252" s="1">
        <v>63</v>
      </c>
      <c r="G252" s="1">
        <v>8</v>
      </c>
      <c r="H252" s="1">
        <v>112</v>
      </c>
      <c r="I252" s="1" t="s">
        <v>180</v>
      </c>
      <c r="J252" s="1">
        <v>4</v>
      </c>
      <c r="K252" s="1">
        <v>16</v>
      </c>
      <c r="L252" s="1"/>
      <c r="M252" s="1"/>
      <c r="N252" s="1"/>
      <c r="O252" s="1"/>
      <c r="P252" s="1"/>
      <c r="Q252" s="1"/>
      <c r="R252" s="1"/>
      <c r="S252" s="23"/>
    </row>
    <row r="253" spans="1:19" x14ac:dyDescent="0.3">
      <c r="A253" s="1" t="s">
        <v>182</v>
      </c>
      <c r="B253" s="21" t="s">
        <v>109</v>
      </c>
      <c r="C253" s="21">
        <v>3</v>
      </c>
      <c r="D253" s="4">
        <v>14</v>
      </c>
      <c r="E253" s="1">
        <v>322</v>
      </c>
      <c r="F253" s="1">
        <v>64</v>
      </c>
      <c r="G253" s="1">
        <v>13</v>
      </c>
      <c r="H253" s="1">
        <v>128</v>
      </c>
      <c r="I253" s="1" t="s">
        <v>183</v>
      </c>
      <c r="J253" s="1">
        <v>44</v>
      </c>
      <c r="K253" s="1">
        <v>2</v>
      </c>
      <c r="L253" s="1">
        <v>11</v>
      </c>
      <c r="M253" s="1">
        <v>180</v>
      </c>
      <c r="N253" s="1">
        <v>4</v>
      </c>
      <c r="O253" s="1">
        <v>48.9</v>
      </c>
      <c r="P253" s="1">
        <v>39</v>
      </c>
      <c r="Q253" s="1">
        <v>7</v>
      </c>
      <c r="R253" s="1">
        <v>7.6</v>
      </c>
      <c r="S253" s="23">
        <f>2.26*0.96*0.8*N253*0.662</f>
        <v>4.5960806399999994</v>
      </c>
    </row>
    <row r="254" spans="1:19" x14ac:dyDescent="0.3">
      <c r="A254" s="1" t="s">
        <v>182</v>
      </c>
      <c r="B254" s="21" t="s">
        <v>184</v>
      </c>
      <c r="C254" s="21">
        <v>1</v>
      </c>
      <c r="D254" s="4">
        <v>1</v>
      </c>
      <c r="E254" s="1">
        <v>350</v>
      </c>
      <c r="F254" s="1">
        <v>69</v>
      </c>
      <c r="G254" s="1">
        <v>14</v>
      </c>
      <c r="H254" s="1">
        <v>170</v>
      </c>
      <c r="I254" s="1" t="s">
        <v>174</v>
      </c>
      <c r="J254" s="1">
        <v>42</v>
      </c>
      <c r="K254" s="1">
        <v>52</v>
      </c>
      <c r="L254" s="1">
        <v>11</v>
      </c>
      <c r="M254" s="1">
        <v>230</v>
      </c>
      <c r="N254" s="1">
        <v>6</v>
      </c>
      <c r="O254" s="1">
        <v>52</v>
      </c>
      <c r="P254" s="1">
        <v>39</v>
      </c>
      <c r="Q254" s="1">
        <v>8</v>
      </c>
      <c r="R254" s="1">
        <v>8.1999999999999993</v>
      </c>
      <c r="S254" s="23">
        <f>2.35*0.8*0.8*N254*0.662</f>
        <v>5.9738880000000005</v>
      </c>
    </row>
    <row r="255" spans="1:19" x14ac:dyDescent="0.3">
      <c r="A255" s="1" t="s">
        <v>182</v>
      </c>
      <c r="B255" s="21" t="s">
        <v>184</v>
      </c>
      <c r="C255" s="21">
        <v>1</v>
      </c>
      <c r="D255" s="4">
        <v>2</v>
      </c>
      <c r="E255" s="1">
        <v>330</v>
      </c>
      <c r="F255" s="1">
        <v>61</v>
      </c>
      <c r="G255" s="1">
        <v>13</v>
      </c>
      <c r="H255" s="1">
        <v>116</v>
      </c>
      <c r="I255" s="1" t="s">
        <v>175</v>
      </c>
      <c r="J255" s="1">
        <v>43</v>
      </c>
      <c r="K255" s="1">
        <v>1</v>
      </c>
      <c r="L255" s="1">
        <v>10</v>
      </c>
      <c r="M255" s="1">
        <v>162</v>
      </c>
      <c r="N255" s="1">
        <v>8</v>
      </c>
      <c r="O255" s="1">
        <v>42</v>
      </c>
      <c r="P255" s="1">
        <v>39</v>
      </c>
      <c r="Q255" s="1">
        <v>7</v>
      </c>
      <c r="R255" s="1">
        <v>8</v>
      </c>
      <c r="S255" s="23">
        <f>2.2*0.83*0.8*N255*0.662</f>
        <v>7.7363968000000005</v>
      </c>
    </row>
    <row r="256" spans="1:19" x14ac:dyDescent="0.3">
      <c r="A256" s="1" t="s">
        <v>182</v>
      </c>
      <c r="B256" s="21" t="s">
        <v>184</v>
      </c>
      <c r="C256" s="21">
        <v>1</v>
      </c>
      <c r="D256" s="4">
        <v>3</v>
      </c>
      <c r="E256" s="1">
        <v>322</v>
      </c>
      <c r="F256" s="1">
        <v>64</v>
      </c>
      <c r="G256" s="1">
        <v>12</v>
      </c>
      <c r="H256" s="1">
        <v>145</v>
      </c>
      <c r="I256" s="1" t="s">
        <v>178</v>
      </c>
      <c r="J256" s="1">
        <v>46</v>
      </c>
      <c r="K256" s="1">
        <v>4</v>
      </c>
      <c r="L256" s="1">
        <v>11</v>
      </c>
      <c r="M256" s="1">
        <v>193</v>
      </c>
      <c r="N256" s="1">
        <v>5</v>
      </c>
      <c r="O256" s="1">
        <v>41.2</v>
      </c>
      <c r="P256" s="1">
        <v>38</v>
      </c>
      <c r="Q256" s="1">
        <v>7</v>
      </c>
      <c r="R256" s="1">
        <v>8.1999999999999993</v>
      </c>
      <c r="S256" s="23">
        <f>2.3*0.91*0.8*N256*0.662</f>
        <v>5.5422640000000003</v>
      </c>
    </row>
    <row r="257" spans="1:19" x14ac:dyDescent="0.3">
      <c r="A257" s="1" t="s">
        <v>182</v>
      </c>
      <c r="B257" s="21" t="s">
        <v>184</v>
      </c>
      <c r="C257" s="21">
        <v>1</v>
      </c>
      <c r="D257" s="4">
        <v>4</v>
      </c>
      <c r="E257" s="1">
        <v>319</v>
      </c>
      <c r="F257" s="1">
        <v>61</v>
      </c>
      <c r="G257" s="1">
        <v>9</v>
      </c>
      <c r="H257" s="1">
        <v>110</v>
      </c>
      <c r="I257" s="1" t="s">
        <v>174</v>
      </c>
      <c r="J257" s="1">
        <v>6</v>
      </c>
      <c r="K257" s="1">
        <v>16</v>
      </c>
      <c r="L257" s="1"/>
      <c r="M257" s="1"/>
      <c r="N257" s="1"/>
      <c r="O257" s="1"/>
      <c r="P257" s="1"/>
      <c r="Q257" s="1"/>
      <c r="R257" s="1"/>
      <c r="S257" s="23"/>
    </row>
    <row r="258" spans="1:19" x14ac:dyDescent="0.3">
      <c r="A258" s="1" t="s">
        <v>182</v>
      </c>
      <c r="B258" s="21" t="s">
        <v>184</v>
      </c>
      <c r="C258" s="21">
        <v>1</v>
      </c>
      <c r="D258" s="4">
        <v>5</v>
      </c>
      <c r="E258" s="1">
        <v>375</v>
      </c>
      <c r="F258" s="1">
        <v>72</v>
      </c>
      <c r="G258" s="1">
        <v>11</v>
      </c>
      <c r="H258" s="1">
        <v>130</v>
      </c>
      <c r="I258" s="1" t="s">
        <v>174</v>
      </c>
      <c r="J258" s="1">
        <v>50</v>
      </c>
      <c r="K258" s="1">
        <v>8</v>
      </c>
      <c r="L258" s="1"/>
      <c r="M258" s="1"/>
      <c r="N258" s="1"/>
      <c r="O258" s="1"/>
      <c r="P258" s="1"/>
      <c r="Q258" s="1"/>
      <c r="R258" s="1"/>
      <c r="S258" s="23"/>
    </row>
    <row r="259" spans="1:19" x14ac:dyDescent="0.3">
      <c r="A259" s="1" t="s">
        <v>182</v>
      </c>
      <c r="B259" s="21" t="s">
        <v>184</v>
      </c>
      <c r="C259" s="21">
        <v>1</v>
      </c>
      <c r="D259" s="4">
        <v>6</v>
      </c>
      <c r="E259" s="1">
        <v>355</v>
      </c>
      <c r="F259" s="1">
        <v>69</v>
      </c>
      <c r="G259" s="1">
        <v>12</v>
      </c>
      <c r="H259" s="1">
        <v>168</v>
      </c>
      <c r="I259" s="1" t="s">
        <v>178</v>
      </c>
      <c r="J259" s="1">
        <v>46</v>
      </c>
      <c r="K259" s="1">
        <v>4</v>
      </c>
      <c r="L259" s="1">
        <v>11</v>
      </c>
      <c r="M259" s="1">
        <v>215</v>
      </c>
      <c r="N259" s="1">
        <v>5</v>
      </c>
      <c r="O259" s="1">
        <v>45</v>
      </c>
      <c r="P259" s="1">
        <v>38</v>
      </c>
      <c r="Q259" s="1">
        <v>8</v>
      </c>
      <c r="R259" s="1">
        <v>7.6</v>
      </c>
      <c r="S259" s="23">
        <f>2.4*0.95*0.8*N259*0.662</f>
        <v>6.0374400000000001</v>
      </c>
    </row>
    <row r="260" spans="1:19" x14ac:dyDescent="0.3">
      <c r="A260" s="1" t="s">
        <v>182</v>
      </c>
      <c r="B260" s="21" t="s">
        <v>184</v>
      </c>
      <c r="C260" s="21">
        <v>1</v>
      </c>
      <c r="D260" s="4">
        <v>7</v>
      </c>
      <c r="E260" s="1">
        <v>340</v>
      </c>
      <c r="F260" s="1">
        <v>61</v>
      </c>
      <c r="G260" s="1">
        <v>12</v>
      </c>
      <c r="H260" s="1">
        <v>185</v>
      </c>
      <c r="I260" s="1" t="s">
        <v>183</v>
      </c>
      <c r="J260" s="1">
        <v>44</v>
      </c>
      <c r="K260" s="1">
        <v>2</v>
      </c>
      <c r="L260" s="1">
        <v>12</v>
      </c>
      <c r="M260" s="1">
        <v>217</v>
      </c>
      <c r="N260" s="1">
        <v>5</v>
      </c>
      <c r="O260" s="1">
        <v>31.5</v>
      </c>
      <c r="P260" s="1">
        <v>37</v>
      </c>
      <c r="Q260" s="1">
        <v>6</v>
      </c>
      <c r="R260" s="1">
        <v>7</v>
      </c>
      <c r="S260" s="23">
        <f>2.15*0.93*0.8*N260*0.662</f>
        <v>5.2946760000000008</v>
      </c>
    </row>
    <row r="261" spans="1:19" x14ac:dyDescent="0.3">
      <c r="A261" s="1" t="s">
        <v>182</v>
      </c>
      <c r="B261" s="21" t="s">
        <v>184</v>
      </c>
      <c r="C261" s="21">
        <v>1</v>
      </c>
      <c r="D261" s="4">
        <v>8</v>
      </c>
      <c r="E261" s="1">
        <v>333</v>
      </c>
      <c r="F261" s="1">
        <v>65</v>
      </c>
      <c r="G261" s="1">
        <v>11</v>
      </c>
      <c r="H261" s="1">
        <v>135</v>
      </c>
      <c r="I261" s="1" t="s">
        <v>179</v>
      </c>
      <c r="J261" s="1">
        <v>49</v>
      </c>
      <c r="K261" s="1">
        <v>7</v>
      </c>
      <c r="L261" s="1"/>
      <c r="M261" s="1"/>
      <c r="N261" s="1"/>
      <c r="O261" s="1"/>
      <c r="P261" s="1"/>
      <c r="Q261" s="1"/>
      <c r="R261" s="1"/>
      <c r="S261" s="23"/>
    </row>
    <row r="262" spans="1:19" x14ac:dyDescent="0.3">
      <c r="A262" s="1" t="s">
        <v>182</v>
      </c>
      <c r="B262" s="21" t="s">
        <v>184</v>
      </c>
      <c r="C262" s="21">
        <v>1</v>
      </c>
      <c r="D262" s="4">
        <v>9</v>
      </c>
      <c r="E262" s="1">
        <v>354</v>
      </c>
      <c r="F262" s="1">
        <v>66</v>
      </c>
      <c r="G262" s="1">
        <v>13</v>
      </c>
      <c r="H262" s="1">
        <v>164</v>
      </c>
      <c r="I262" s="1" t="s">
        <v>178</v>
      </c>
      <c r="J262" s="1">
        <v>46</v>
      </c>
      <c r="K262" s="1">
        <v>4</v>
      </c>
      <c r="L262" s="1">
        <v>11</v>
      </c>
      <c r="M262" s="1">
        <v>212</v>
      </c>
      <c r="N262" s="1">
        <v>5</v>
      </c>
      <c r="O262" s="1">
        <v>44.6</v>
      </c>
      <c r="P262" s="1">
        <v>38</v>
      </c>
      <c r="Q262" s="1">
        <v>7</v>
      </c>
      <c r="R262" s="1">
        <v>8.4</v>
      </c>
      <c r="S262" s="23">
        <f>2.3*0.85*0.8*N262*0.662</f>
        <v>5.1768400000000003</v>
      </c>
    </row>
    <row r="263" spans="1:19" x14ac:dyDescent="0.3">
      <c r="A263" s="1" t="s">
        <v>182</v>
      </c>
      <c r="B263" s="21" t="s">
        <v>184</v>
      </c>
      <c r="C263" s="21">
        <v>1</v>
      </c>
      <c r="D263" s="4">
        <v>10</v>
      </c>
      <c r="E263" s="1">
        <v>300</v>
      </c>
      <c r="F263" s="1">
        <v>51</v>
      </c>
      <c r="G263" s="1">
        <v>10</v>
      </c>
      <c r="H263" s="1">
        <v>90</v>
      </c>
      <c r="I263" s="1" t="s">
        <v>176</v>
      </c>
      <c r="J263" s="1">
        <v>45</v>
      </c>
      <c r="K263" s="1">
        <v>3</v>
      </c>
      <c r="L263" s="1">
        <v>11</v>
      </c>
      <c r="M263" s="1">
        <v>123</v>
      </c>
      <c r="N263" s="1">
        <v>5</v>
      </c>
      <c r="O263" s="1">
        <v>24.6</v>
      </c>
      <c r="P263" s="1">
        <v>38</v>
      </c>
      <c r="Q263" s="1">
        <v>6</v>
      </c>
      <c r="R263" s="1">
        <v>7.6</v>
      </c>
      <c r="S263" s="23">
        <f>1.72*0.76*0.8*N263*0.662</f>
        <v>3.4614655999999999</v>
      </c>
    </row>
    <row r="264" spans="1:19" x14ac:dyDescent="0.3">
      <c r="A264" s="1" t="s">
        <v>182</v>
      </c>
      <c r="B264" s="21" t="s">
        <v>184</v>
      </c>
      <c r="C264" s="21">
        <v>1</v>
      </c>
      <c r="D264" s="4">
        <v>11</v>
      </c>
      <c r="E264" s="1">
        <v>292</v>
      </c>
      <c r="F264" s="1">
        <v>64</v>
      </c>
      <c r="G264" s="1">
        <v>10</v>
      </c>
      <c r="H264" s="1">
        <v>104</v>
      </c>
      <c r="I264" s="1" t="s">
        <v>175</v>
      </c>
      <c r="J264" s="1">
        <v>7</v>
      </c>
      <c r="K264" s="1">
        <v>17</v>
      </c>
      <c r="L264" s="1"/>
      <c r="M264" s="1"/>
      <c r="N264" s="1"/>
      <c r="O264" s="1"/>
      <c r="P264" s="1"/>
      <c r="Q264" s="1"/>
      <c r="R264" s="1"/>
      <c r="S264" s="23"/>
    </row>
    <row r="265" spans="1:19" x14ac:dyDescent="0.3">
      <c r="A265" s="1" t="s">
        <v>182</v>
      </c>
      <c r="B265" s="21" t="s">
        <v>184</v>
      </c>
      <c r="C265" s="21">
        <v>1</v>
      </c>
      <c r="D265" s="4">
        <v>12</v>
      </c>
      <c r="E265" s="1">
        <v>305</v>
      </c>
      <c r="F265" s="1">
        <v>57</v>
      </c>
      <c r="G265" s="1">
        <v>13</v>
      </c>
      <c r="H265" s="1">
        <v>122</v>
      </c>
      <c r="I265" s="1" t="s">
        <v>180</v>
      </c>
      <c r="J265" s="1">
        <v>48</v>
      </c>
      <c r="K265" s="1">
        <v>6</v>
      </c>
      <c r="L265" s="1"/>
      <c r="M265" s="1"/>
      <c r="N265" s="1"/>
      <c r="O265" s="1"/>
      <c r="P265" s="1"/>
      <c r="Q265" s="1"/>
      <c r="R265" s="1"/>
      <c r="S265" s="23"/>
    </row>
    <row r="266" spans="1:19" x14ac:dyDescent="0.3">
      <c r="A266" s="1" t="s">
        <v>182</v>
      </c>
      <c r="B266" s="21" t="s">
        <v>184</v>
      </c>
      <c r="C266" s="21">
        <v>1</v>
      </c>
      <c r="D266" s="4">
        <v>13</v>
      </c>
      <c r="E266" s="1">
        <v>300</v>
      </c>
      <c r="F266" s="1">
        <v>60</v>
      </c>
      <c r="G266" s="1">
        <v>13</v>
      </c>
      <c r="H266" s="1">
        <v>76</v>
      </c>
      <c r="I266" s="1" t="s">
        <v>173</v>
      </c>
      <c r="J266" s="1">
        <v>47</v>
      </c>
      <c r="K266" s="1">
        <v>5</v>
      </c>
      <c r="L266" s="1">
        <v>11</v>
      </c>
      <c r="M266" s="1">
        <v>143</v>
      </c>
      <c r="N266" s="1">
        <v>5</v>
      </c>
      <c r="O266" s="1">
        <v>29.8</v>
      </c>
      <c r="P266" s="1">
        <v>39</v>
      </c>
      <c r="Q266" s="1">
        <v>6</v>
      </c>
      <c r="R266" s="1">
        <v>8.4</v>
      </c>
      <c r="S266" s="23">
        <f>2.3*0.8*0.8*N266*0.662</f>
        <v>4.8723200000000002</v>
      </c>
    </row>
    <row r="267" spans="1:19" x14ac:dyDescent="0.3">
      <c r="A267" s="1" t="s">
        <v>182</v>
      </c>
      <c r="B267" s="21" t="s">
        <v>184</v>
      </c>
      <c r="C267" s="21">
        <v>1</v>
      </c>
      <c r="D267" s="4">
        <v>14</v>
      </c>
      <c r="E267" s="1">
        <v>310</v>
      </c>
      <c r="F267" s="1">
        <v>58</v>
      </c>
      <c r="G267" s="1">
        <v>12</v>
      </c>
      <c r="H267" s="1">
        <v>80</v>
      </c>
      <c r="I267" s="1" t="s">
        <v>180</v>
      </c>
      <c r="J267" s="1">
        <v>48</v>
      </c>
      <c r="K267" s="1">
        <v>6</v>
      </c>
      <c r="L267" s="1"/>
      <c r="M267" s="1"/>
      <c r="N267" s="1"/>
      <c r="O267" s="1"/>
      <c r="P267" s="1"/>
      <c r="Q267" s="1"/>
      <c r="R267" s="1"/>
      <c r="S267" s="23"/>
    </row>
    <row r="268" spans="1:19" x14ac:dyDescent="0.3">
      <c r="A268" s="1" t="s">
        <v>182</v>
      </c>
      <c r="B268" s="21" t="s">
        <v>109</v>
      </c>
      <c r="C268" s="21">
        <v>2</v>
      </c>
      <c r="D268" s="4">
        <v>1</v>
      </c>
      <c r="E268" s="1">
        <v>345</v>
      </c>
      <c r="F268" s="1">
        <v>67</v>
      </c>
      <c r="G268" s="1">
        <v>11</v>
      </c>
      <c r="H268" s="1">
        <v>165</v>
      </c>
      <c r="I268" s="1" t="s">
        <v>183</v>
      </c>
      <c r="J268" s="1">
        <v>52</v>
      </c>
      <c r="K268" s="1">
        <v>10</v>
      </c>
      <c r="L268" s="1"/>
      <c r="M268" s="1"/>
      <c r="N268" s="1"/>
      <c r="O268" s="1"/>
      <c r="P268" s="1"/>
      <c r="Q268" s="1"/>
      <c r="R268" s="1"/>
      <c r="S268" s="23"/>
    </row>
    <row r="269" spans="1:19" x14ac:dyDescent="0.3">
      <c r="A269" s="1" t="s">
        <v>182</v>
      </c>
      <c r="B269" s="21" t="s">
        <v>109</v>
      </c>
      <c r="C269" s="21">
        <v>2</v>
      </c>
      <c r="D269" s="4">
        <v>2</v>
      </c>
      <c r="E269" s="1">
        <v>314</v>
      </c>
      <c r="F269" s="1">
        <v>68</v>
      </c>
      <c r="G269" s="1">
        <v>10</v>
      </c>
      <c r="H269" s="1">
        <v>175</v>
      </c>
      <c r="I269" s="1" t="s">
        <v>174</v>
      </c>
      <c r="J269" s="1">
        <v>6</v>
      </c>
      <c r="K269" s="1">
        <v>16</v>
      </c>
      <c r="L269" s="1"/>
      <c r="M269" s="1"/>
      <c r="N269" s="1"/>
      <c r="O269" s="1"/>
      <c r="P269" s="1"/>
      <c r="Q269" s="1"/>
      <c r="R269" s="1"/>
      <c r="S269" s="23"/>
    </row>
    <row r="270" spans="1:19" x14ac:dyDescent="0.3">
      <c r="A270" s="1" t="s">
        <v>182</v>
      </c>
      <c r="B270" s="21" t="s">
        <v>109</v>
      </c>
      <c r="C270" s="21">
        <v>2</v>
      </c>
      <c r="D270" s="4">
        <v>3</v>
      </c>
      <c r="E270" s="1">
        <v>320</v>
      </c>
      <c r="F270" s="1">
        <v>64</v>
      </c>
      <c r="G270" s="1">
        <v>13</v>
      </c>
      <c r="H270" s="1">
        <v>105</v>
      </c>
      <c r="I270" s="1" t="s">
        <v>180</v>
      </c>
      <c r="J270" s="1">
        <v>48</v>
      </c>
      <c r="K270" s="1">
        <v>6</v>
      </c>
      <c r="L270" s="1">
        <v>11</v>
      </c>
      <c r="M270" s="1">
        <v>195</v>
      </c>
      <c r="N270" s="1">
        <v>5</v>
      </c>
      <c r="O270" s="1">
        <v>43.5</v>
      </c>
      <c r="P270" s="1">
        <v>39</v>
      </c>
      <c r="Q270" s="1">
        <v>7</v>
      </c>
      <c r="R270" s="1">
        <v>8.4</v>
      </c>
      <c r="S270" s="23">
        <f>2.1*0.9*0.8*N270*0.662</f>
        <v>5.0047200000000007</v>
      </c>
    </row>
    <row r="271" spans="1:19" x14ac:dyDescent="0.3">
      <c r="A271" s="1" t="s">
        <v>182</v>
      </c>
      <c r="B271" s="21" t="s">
        <v>109</v>
      </c>
      <c r="C271" s="21">
        <v>2</v>
      </c>
      <c r="D271" s="4">
        <v>4</v>
      </c>
      <c r="E271" s="1">
        <v>305</v>
      </c>
      <c r="F271" s="1">
        <v>61</v>
      </c>
      <c r="G271" s="1">
        <v>14</v>
      </c>
      <c r="H271" s="1">
        <v>145</v>
      </c>
      <c r="I271" s="1" t="s">
        <v>176</v>
      </c>
      <c r="J271" s="1">
        <v>45</v>
      </c>
      <c r="K271" s="1">
        <v>3</v>
      </c>
      <c r="L271" s="1">
        <v>11</v>
      </c>
      <c r="M271" s="1">
        <v>186</v>
      </c>
      <c r="N271" s="1">
        <v>6</v>
      </c>
      <c r="O271" s="1">
        <v>29.4</v>
      </c>
      <c r="P271" s="1">
        <v>38</v>
      </c>
      <c r="Q271" s="1">
        <v>6</v>
      </c>
      <c r="R271" s="1">
        <v>7.8</v>
      </c>
      <c r="S271" s="23">
        <f>2.2*0.88*0.8*N271*0.662</f>
        <v>6.1518336000000016</v>
      </c>
    </row>
    <row r="272" spans="1:19" x14ac:dyDescent="0.3">
      <c r="A272" s="1" t="s">
        <v>182</v>
      </c>
      <c r="B272" s="21" t="s">
        <v>109</v>
      </c>
      <c r="C272" s="21">
        <v>2</v>
      </c>
      <c r="D272" s="4">
        <v>5</v>
      </c>
      <c r="E272" s="1">
        <v>332</v>
      </c>
      <c r="F272" s="1">
        <v>68</v>
      </c>
      <c r="G272" s="1">
        <v>10</v>
      </c>
      <c r="H272" s="1">
        <v>189</v>
      </c>
      <c r="I272" s="1" t="s">
        <v>183</v>
      </c>
      <c r="J272" s="1">
        <v>44</v>
      </c>
      <c r="K272" s="1">
        <v>2</v>
      </c>
      <c r="L272" s="1"/>
      <c r="M272" s="1"/>
      <c r="N272" s="1"/>
      <c r="O272" s="1"/>
      <c r="P272" s="1"/>
      <c r="Q272" s="1"/>
      <c r="R272" s="1"/>
      <c r="S272" s="23"/>
    </row>
    <row r="273" spans="1:19" x14ac:dyDescent="0.3">
      <c r="A273" s="1" t="s">
        <v>182</v>
      </c>
      <c r="B273" s="21" t="s">
        <v>109</v>
      </c>
      <c r="C273" s="21">
        <v>2</v>
      </c>
      <c r="D273" s="4">
        <v>6</v>
      </c>
      <c r="E273" s="1">
        <v>340</v>
      </c>
      <c r="F273" s="1">
        <v>64</v>
      </c>
      <c r="G273" s="1">
        <v>15</v>
      </c>
      <c r="H273" s="1">
        <v>150</v>
      </c>
      <c r="I273" s="1" t="s">
        <v>175</v>
      </c>
      <c r="J273" s="1">
        <v>43</v>
      </c>
      <c r="K273" s="1">
        <v>1</v>
      </c>
      <c r="L273" s="1">
        <v>11</v>
      </c>
      <c r="M273" s="1">
        <v>203</v>
      </c>
      <c r="N273" s="1">
        <v>7</v>
      </c>
      <c r="O273" s="1">
        <v>38.5</v>
      </c>
      <c r="P273" s="1">
        <v>38</v>
      </c>
      <c r="Q273" s="1">
        <v>7</v>
      </c>
      <c r="R273" s="1">
        <v>8</v>
      </c>
      <c r="S273" s="23">
        <f>2.4*0.92*0.8*N273*0.662</f>
        <v>8.1854976000000015</v>
      </c>
    </row>
    <row r="274" spans="1:19" x14ac:dyDescent="0.3">
      <c r="A274" s="1" t="s">
        <v>182</v>
      </c>
      <c r="B274" s="21" t="s">
        <v>109</v>
      </c>
      <c r="C274" s="21">
        <v>2</v>
      </c>
      <c r="D274" s="4">
        <v>7</v>
      </c>
      <c r="E274" s="1">
        <v>350</v>
      </c>
      <c r="F274" s="1">
        <v>72</v>
      </c>
      <c r="G274" s="1">
        <v>13</v>
      </c>
      <c r="H274" s="1">
        <v>140</v>
      </c>
      <c r="I274" s="1" t="s">
        <v>183</v>
      </c>
      <c r="J274" s="1">
        <v>44</v>
      </c>
      <c r="K274" s="1">
        <v>2</v>
      </c>
      <c r="L274" s="1">
        <v>11</v>
      </c>
      <c r="M274" s="1">
        <v>215</v>
      </c>
      <c r="N274" s="1">
        <v>5</v>
      </c>
      <c r="O274" s="1">
        <v>48</v>
      </c>
      <c r="P274" s="1">
        <v>38</v>
      </c>
      <c r="Q274" s="1">
        <v>7</v>
      </c>
      <c r="R274" s="1">
        <v>8</v>
      </c>
      <c r="S274" s="23">
        <f>2.1*0.92*0.8*N274*0.662</f>
        <v>5.1159360000000014</v>
      </c>
    </row>
    <row r="275" spans="1:19" x14ac:dyDescent="0.3">
      <c r="A275" s="1" t="s">
        <v>182</v>
      </c>
      <c r="B275" s="21" t="s">
        <v>109</v>
      </c>
      <c r="C275" s="21">
        <v>2</v>
      </c>
      <c r="D275" s="4">
        <v>8</v>
      </c>
      <c r="E275" s="1">
        <v>320</v>
      </c>
      <c r="F275" s="1">
        <v>71</v>
      </c>
      <c r="G275" s="1">
        <v>14</v>
      </c>
      <c r="H275" s="1">
        <v>100</v>
      </c>
      <c r="I275" s="1" t="s">
        <v>174</v>
      </c>
      <c r="J275" s="1">
        <v>42</v>
      </c>
      <c r="K275" s="1">
        <v>52</v>
      </c>
      <c r="L275" s="1">
        <v>12</v>
      </c>
      <c r="M275" s="1">
        <v>200</v>
      </c>
      <c r="N275" s="1">
        <v>5</v>
      </c>
      <c r="O275" s="1">
        <v>31.4</v>
      </c>
      <c r="P275" s="1">
        <v>40</v>
      </c>
      <c r="Q275" s="1">
        <v>7</v>
      </c>
      <c r="R275" s="1">
        <v>8.1999999999999993</v>
      </c>
      <c r="S275" s="23">
        <f>2.3*0.83*0.8*N275*0.662</f>
        <v>5.0550319999999997</v>
      </c>
    </row>
    <row r="276" spans="1:19" x14ac:dyDescent="0.3">
      <c r="A276" s="1" t="s">
        <v>182</v>
      </c>
      <c r="B276" s="21" t="s">
        <v>109</v>
      </c>
      <c r="C276" s="21">
        <v>2</v>
      </c>
      <c r="D276" s="4">
        <v>9</v>
      </c>
      <c r="E276" s="1">
        <v>352</v>
      </c>
      <c r="F276" s="1">
        <v>64</v>
      </c>
      <c r="G276" s="1">
        <v>14</v>
      </c>
      <c r="H276" s="1">
        <v>100</v>
      </c>
      <c r="I276" s="1" t="s">
        <v>174</v>
      </c>
      <c r="J276" s="1">
        <v>42</v>
      </c>
      <c r="K276" s="1">
        <v>52</v>
      </c>
      <c r="L276" s="1">
        <v>11</v>
      </c>
      <c r="M276" s="1">
        <v>174</v>
      </c>
      <c r="N276" s="1">
        <v>8</v>
      </c>
      <c r="O276" s="1">
        <v>42</v>
      </c>
      <c r="P276" s="1">
        <v>39</v>
      </c>
      <c r="Q276" s="1">
        <v>7</v>
      </c>
      <c r="R276" s="1">
        <v>8.1999999999999993</v>
      </c>
      <c r="S276" s="23">
        <f>2.28*0.85*0.8*N276*0.662</f>
        <v>8.2109183999999988</v>
      </c>
    </row>
    <row r="277" spans="1:19" x14ac:dyDescent="0.3">
      <c r="A277" s="1" t="s">
        <v>182</v>
      </c>
      <c r="B277" s="21" t="s">
        <v>109</v>
      </c>
      <c r="C277" s="21">
        <v>2</v>
      </c>
      <c r="D277" s="4">
        <v>10</v>
      </c>
      <c r="E277" s="1">
        <v>320</v>
      </c>
      <c r="F277" s="1">
        <v>66</v>
      </c>
      <c r="G277" s="1">
        <v>13</v>
      </c>
      <c r="H277" s="1">
        <v>75</v>
      </c>
      <c r="I277" s="1" t="s">
        <v>173</v>
      </c>
      <c r="J277" s="1">
        <v>47</v>
      </c>
      <c r="K277" s="1">
        <v>5</v>
      </c>
      <c r="L277" s="1">
        <v>11</v>
      </c>
      <c r="M277" s="1">
        <v>145</v>
      </c>
      <c r="N277" s="1">
        <v>6</v>
      </c>
      <c r="O277" s="1">
        <v>35.5</v>
      </c>
      <c r="P277" s="1">
        <v>37</v>
      </c>
      <c r="Q277" s="1">
        <v>7</v>
      </c>
      <c r="R277" s="1">
        <v>8</v>
      </c>
      <c r="S277" s="23">
        <f>2.2*0.94*0.8*N277*0.662</f>
        <v>6.5712768000000006</v>
      </c>
    </row>
    <row r="278" spans="1:19" x14ac:dyDescent="0.3">
      <c r="A278" s="1" t="s">
        <v>182</v>
      </c>
      <c r="B278" s="21" t="s">
        <v>109</v>
      </c>
      <c r="C278" s="21">
        <v>2</v>
      </c>
      <c r="D278" s="4">
        <v>11</v>
      </c>
      <c r="E278" s="1">
        <v>315</v>
      </c>
      <c r="F278" s="1">
        <v>64</v>
      </c>
      <c r="G278" s="1">
        <v>14</v>
      </c>
      <c r="H278" s="1">
        <v>55</v>
      </c>
      <c r="I278" s="1" t="s">
        <v>173</v>
      </c>
      <c r="J278" s="1">
        <v>47</v>
      </c>
      <c r="K278" s="1">
        <v>5</v>
      </c>
      <c r="L278" s="1">
        <v>12</v>
      </c>
      <c r="M278" s="1">
        <v>130</v>
      </c>
      <c r="N278" s="1">
        <v>4</v>
      </c>
      <c r="O278" s="1">
        <v>34</v>
      </c>
      <c r="P278" s="1">
        <v>37</v>
      </c>
      <c r="Q278" s="1">
        <v>6</v>
      </c>
      <c r="R278" s="1">
        <v>7.2</v>
      </c>
      <c r="S278" s="23">
        <f>2.35*0.95*0.8*N278*0.662</f>
        <v>4.7293280000000006</v>
      </c>
    </row>
    <row r="279" spans="1:19" x14ac:dyDescent="0.3">
      <c r="A279" s="1" t="s">
        <v>182</v>
      </c>
      <c r="B279" s="21" t="s">
        <v>109</v>
      </c>
      <c r="C279" s="21">
        <v>2</v>
      </c>
      <c r="D279" s="4">
        <v>12</v>
      </c>
      <c r="E279" s="1">
        <v>281</v>
      </c>
      <c r="F279" s="1">
        <v>59</v>
      </c>
      <c r="G279" s="1">
        <v>8</v>
      </c>
      <c r="H279" s="1">
        <v>69</v>
      </c>
      <c r="I279" s="1" t="s">
        <v>175</v>
      </c>
      <c r="J279" s="1">
        <v>6</v>
      </c>
      <c r="K279" s="1">
        <v>16</v>
      </c>
      <c r="L279" s="1"/>
      <c r="M279" s="1"/>
      <c r="N279" s="1"/>
      <c r="O279" s="1"/>
      <c r="P279" s="1"/>
      <c r="Q279" s="1"/>
      <c r="R279" s="1"/>
      <c r="S279" s="23"/>
    </row>
    <row r="280" spans="1:19" x14ac:dyDescent="0.3">
      <c r="A280" s="1" t="s">
        <v>182</v>
      </c>
      <c r="B280" s="21" t="s">
        <v>109</v>
      </c>
      <c r="C280" s="21">
        <v>2</v>
      </c>
      <c r="D280" s="4">
        <v>13</v>
      </c>
      <c r="E280" s="1">
        <v>328</v>
      </c>
      <c r="F280" s="1">
        <v>64</v>
      </c>
      <c r="G280" s="1">
        <v>10</v>
      </c>
      <c r="H280" s="1">
        <v>120</v>
      </c>
      <c r="I280" s="1" t="s">
        <v>175</v>
      </c>
      <c r="J280" s="1">
        <v>6</v>
      </c>
      <c r="K280" s="1">
        <v>16</v>
      </c>
      <c r="L280" s="1"/>
      <c r="M280" s="1"/>
      <c r="N280" s="1"/>
      <c r="O280" s="1"/>
      <c r="P280" s="1"/>
      <c r="Q280" s="1"/>
      <c r="R280" s="1"/>
      <c r="S280" s="23"/>
    </row>
    <row r="281" spans="1:19" x14ac:dyDescent="0.3">
      <c r="A281" s="1" t="s">
        <v>182</v>
      </c>
      <c r="B281" s="21" t="s">
        <v>109</v>
      </c>
      <c r="C281" s="21">
        <v>2</v>
      </c>
      <c r="D281" s="4">
        <v>14</v>
      </c>
      <c r="E281" s="1">
        <v>324</v>
      </c>
      <c r="F281" s="1">
        <v>66</v>
      </c>
      <c r="G281" s="1">
        <v>12</v>
      </c>
      <c r="H281" s="1">
        <v>130</v>
      </c>
      <c r="I281" s="1" t="s">
        <v>178</v>
      </c>
      <c r="J281" s="1">
        <v>46</v>
      </c>
      <c r="K281" s="1">
        <v>4</v>
      </c>
      <c r="L281" s="1">
        <v>11</v>
      </c>
      <c r="M281" s="1">
        <v>194</v>
      </c>
      <c r="N281" s="1">
        <v>6</v>
      </c>
      <c r="O281" s="1">
        <v>42.4</v>
      </c>
      <c r="P281" s="1">
        <v>39</v>
      </c>
      <c r="Q281" s="1">
        <v>8</v>
      </c>
      <c r="R281" s="1">
        <v>8.4</v>
      </c>
      <c r="S281" s="23">
        <f>2.31*0.92*0.8*N281*0.662</f>
        <v>6.7530355200000001</v>
      </c>
    </row>
    <row r="282" spans="1:19" x14ac:dyDescent="0.3">
      <c r="A282" s="1" t="s">
        <v>182</v>
      </c>
      <c r="B282" s="21" t="s">
        <v>97</v>
      </c>
      <c r="C282" s="21">
        <v>1</v>
      </c>
      <c r="D282" s="4">
        <v>1</v>
      </c>
      <c r="E282" s="1">
        <v>315</v>
      </c>
      <c r="F282" s="1">
        <v>62</v>
      </c>
      <c r="G282" s="1">
        <v>9</v>
      </c>
      <c r="H282" s="1">
        <v>45</v>
      </c>
      <c r="I282" s="1" t="s">
        <v>173</v>
      </c>
      <c r="J282" s="1">
        <v>3</v>
      </c>
      <c r="K282" s="1">
        <v>13</v>
      </c>
      <c r="L282" s="1"/>
      <c r="M282" s="1"/>
      <c r="N282" s="1"/>
      <c r="O282" s="1"/>
      <c r="P282" s="1"/>
      <c r="Q282" s="1"/>
      <c r="R282" s="1"/>
      <c r="S282" s="23"/>
    </row>
    <row r="283" spans="1:19" x14ac:dyDescent="0.3">
      <c r="A283" s="1" t="s">
        <v>182</v>
      </c>
      <c r="B283" s="21" t="s">
        <v>97</v>
      </c>
      <c r="C283" s="21">
        <v>1</v>
      </c>
      <c r="D283" s="4">
        <v>2</v>
      </c>
      <c r="E283" s="1">
        <v>300</v>
      </c>
      <c r="F283" s="1">
        <v>59</v>
      </c>
      <c r="G283" s="1">
        <v>9</v>
      </c>
      <c r="H283" s="1">
        <v>113</v>
      </c>
      <c r="I283" s="1" t="s">
        <v>183</v>
      </c>
      <c r="J283" s="1">
        <v>52</v>
      </c>
      <c r="K283" s="1">
        <v>10</v>
      </c>
      <c r="L283" s="1"/>
      <c r="M283" s="1"/>
      <c r="N283" s="1"/>
      <c r="O283" s="1"/>
      <c r="P283" s="1"/>
      <c r="Q283" s="1"/>
      <c r="R283" s="1"/>
      <c r="S283" s="23"/>
    </row>
    <row r="284" spans="1:19" x14ac:dyDescent="0.3">
      <c r="A284" s="1" t="s">
        <v>182</v>
      </c>
      <c r="B284" s="21" t="s">
        <v>97</v>
      </c>
      <c r="C284" s="21">
        <v>1</v>
      </c>
      <c r="D284" s="4">
        <v>3</v>
      </c>
      <c r="E284" s="1">
        <v>300</v>
      </c>
      <c r="F284" s="1">
        <v>61</v>
      </c>
      <c r="G284" s="1">
        <v>10</v>
      </c>
      <c r="H284" s="1">
        <v>65</v>
      </c>
      <c r="I284" s="1" t="s">
        <v>183</v>
      </c>
      <c r="J284" s="1">
        <v>52</v>
      </c>
      <c r="K284" s="1">
        <v>10</v>
      </c>
      <c r="L284" s="1"/>
      <c r="M284" s="1"/>
      <c r="N284" s="1"/>
      <c r="O284" s="1"/>
      <c r="P284" s="1"/>
      <c r="Q284" s="1"/>
      <c r="R284" s="1"/>
      <c r="S284" s="23"/>
    </row>
    <row r="285" spans="1:19" x14ac:dyDescent="0.3">
      <c r="A285" s="1" t="s">
        <v>182</v>
      </c>
      <c r="B285" s="21" t="s">
        <v>97</v>
      </c>
      <c r="C285" s="21">
        <v>1</v>
      </c>
      <c r="D285" s="4">
        <v>4</v>
      </c>
      <c r="E285" s="1">
        <v>342</v>
      </c>
      <c r="F285" s="1">
        <v>65</v>
      </c>
      <c r="G285" s="1">
        <v>13</v>
      </c>
      <c r="H285" s="1">
        <v>135</v>
      </c>
      <c r="I285" s="1" t="s">
        <v>183</v>
      </c>
      <c r="J285" s="1">
        <v>44</v>
      </c>
      <c r="K285" s="1">
        <v>2</v>
      </c>
      <c r="L285" s="1">
        <v>12</v>
      </c>
      <c r="M285" s="1">
        <v>204</v>
      </c>
      <c r="N285" s="1">
        <v>4</v>
      </c>
      <c r="O285" s="1">
        <v>40.700000000000003</v>
      </c>
      <c r="P285" s="1">
        <v>37</v>
      </c>
      <c r="Q285" s="1">
        <v>7</v>
      </c>
      <c r="R285" s="1">
        <v>7.4</v>
      </c>
      <c r="S285" s="23">
        <f>2.13*0.97*0.8*N285*0.662</f>
        <v>4.3768262400000006</v>
      </c>
    </row>
    <row r="286" spans="1:19" x14ac:dyDescent="0.3">
      <c r="A286" s="1" t="s">
        <v>182</v>
      </c>
      <c r="B286" s="21" t="s">
        <v>97</v>
      </c>
      <c r="C286" s="21">
        <v>1</v>
      </c>
      <c r="D286" s="4">
        <v>5</v>
      </c>
      <c r="E286" s="1">
        <v>365</v>
      </c>
      <c r="F286" s="1">
        <v>69</v>
      </c>
      <c r="G286" s="1">
        <v>11</v>
      </c>
      <c r="H286" s="1">
        <v>127</v>
      </c>
      <c r="I286" s="1" t="s">
        <v>179</v>
      </c>
      <c r="J286" s="1">
        <v>49</v>
      </c>
      <c r="K286" s="1">
        <v>7</v>
      </c>
      <c r="L286" s="1"/>
      <c r="M286" s="1"/>
      <c r="N286" s="1"/>
      <c r="O286" s="1"/>
      <c r="P286" s="1"/>
      <c r="Q286" s="1"/>
      <c r="R286" s="1"/>
      <c r="S286" s="23"/>
    </row>
    <row r="287" spans="1:19" x14ac:dyDescent="0.3">
      <c r="A287" s="1" t="s">
        <v>182</v>
      </c>
      <c r="B287" s="21" t="s">
        <v>97</v>
      </c>
      <c r="C287" s="21">
        <v>1</v>
      </c>
      <c r="D287" s="4">
        <v>6</v>
      </c>
      <c r="E287" s="1">
        <v>342</v>
      </c>
      <c r="F287" s="1">
        <v>63</v>
      </c>
      <c r="G287" s="1">
        <v>14</v>
      </c>
      <c r="H287" s="1">
        <v>162</v>
      </c>
      <c r="I287" s="1" t="s">
        <v>175</v>
      </c>
      <c r="J287" s="1">
        <v>43</v>
      </c>
      <c r="K287" s="1">
        <v>1</v>
      </c>
      <c r="L287" s="1">
        <v>12</v>
      </c>
      <c r="M287" s="1">
        <v>186</v>
      </c>
      <c r="N287" s="1">
        <v>4</v>
      </c>
      <c r="O287" s="1">
        <v>38.200000000000003</v>
      </c>
      <c r="P287" s="1">
        <v>39</v>
      </c>
      <c r="Q287" s="1">
        <v>7</v>
      </c>
      <c r="R287" s="1">
        <v>7.6</v>
      </c>
      <c r="S287" s="23">
        <f>2.35*0.9*0.8*N287*0.662</f>
        <v>4.4804160000000008</v>
      </c>
    </row>
    <row r="288" spans="1:19" x14ac:dyDescent="0.3">
      <c r="A288" s="1" t="s">
        <v>182</v>
      </c>
      <c r="B288" s="21" t="s">
        <v>97</v>
      </c>
      <c r="C288" s="21">
        <v>1</v>
      </c>
      <c r="D288" s="4">
        <v>7</v>
      </c>
      <c r="E288" s="1">
        <v>327</v>
      </c>
      <c r="F288" s="1">
        <v>58</v>
      </c>
      <c r="G288" s="1">
        <v>10</v>
      </c>
      <c r="H288" s="1">
        <v>25</v>
      </c>
      <c r="I288" s="1" t="s">
        <v>174</v>
      </c>
      <c r="J288" s="1">
        <v>50</v>
      </c>
      <c r="K288" s="1">
        <v>8</v>
      </c>
      <c r="L288" s="1"/>
      <c r="M288" s="1"/>
      <c r="N288" s="1"/>
      <c r="O288" s="1"/>
      <c r="P288" s="1"/>
      <c r="Q288" s="1"/>
      <c r="R288" s="1"/>
      <c r="S288" s="23"/>
    </row>
    <row r="289" spans="1:19" x14ac:dyDescent="0.3">
      <c r="A289" s="1" t="s">
        <v>182</v>
      </c>
      <c r="B289" s="21" t="s">
        <v>97</v>
      </c>
      <c r="C289" s="21">
        <v>1</v>
      </c>
      <c r="D289" s="4">
        <v>8</v>
      </c>
      <c r="E289" s="1">
        <v>363</v>
      </c>
      <c r="F289" s="1">
        <v>71</v>
      </c>
      <c r="G289" s="1">
        <v>15</v>
      </c>
      <c r="H289" s="1">
        <v>130</v>
      </c>
      <c r="I289" s="1" t="s">
        <v>175</v>
      </c>
      <c r="J289" s="1">
        <v>43</v>
      </c>
      <c r="K289" s="1">
        <v>1</v>
      </c>
      <c r="L289" s="1">
        <v>11</v>
      </c>
      <c r="M289" s="1">
        <v>210</v>
      </c>
      <c r="N289" s="1">
        <v>7</v>
      </c>
      <c r="O289" s="1">
        <v>51</v>
      </c>
      <c r="P289" s="1">
        <v>39</v>
      </c>
      <c r="Q289" s="1">
        <v>8</v>
      </c>
      <c r="R289" s="1">
        <v>7.6</v>
      </c>
      <c r="S289" s="23">
        <f>2.3*0.91*0.8*N289*0.662</f>
        <v>7.7591696000000008</v>
      </c>
    </row>
    <row r="290" spans="1:19" x14ac:dyDescent="0.3">
      <c r="A290" s="1" t="s">
        <v>182</v>
      </c>
      <c r="B290" s="21" t="s">
        <v>97</v>
      </c>
      <c r="C290" s="21">
        <v>1</v>
      </c>
      <c r="D290" s="4">
        <v>9</v>
      </c>
      <c r="E290" s="1">
        <v>340</v>
      </c>
      <c r="F290" s="1">
        <v>65</v>
      </c>
      <c r="G290" s="1">
        <v>13</v>
      </c>
      <c r="H290" s="1">
        <v>126</v>
      </c>
      <c r="I290" s="1" t="s">
        <v>175</v>
      </c>
      <c r="J290" s="1">
        <v>43</v>
      </c>
      <c r="K290" s="1">
        <v>1</v>
      </c>
      <c r="L290" s="1">
        <v>12</v>
      </c>
      <c r="M290" s="1">
        <v>165</v>
      </c>
      <c r="N290" s="1">
        <v>6</v>
      </c>
      <c r="O290" s="1">
        <v>34.5</v>
      </c>
      <c r="P290" s="1">
        <v>37</v>
      </c>
      <c r="Q290" s="1">
        <v>6</v>
      </c>
      <c r="R290" s="1">
        <v>7.6</v>
      </c>
      <c r="S290" s="23">
        <f>2.25*0.82*0.8*N290*0.662</f>
        <v>5.8626719999999999</v>
      </c>
    </row>
    <row r="291" spans="1:19" x14ac:dyDescent="0.3">
      <c r="A291" s="1" t="s">
        <v>182</v>
      </c>
      <c r="B291" s="21" t="s">
        <v>97</v>
      </c>
      <c r="C291" s="21">
        <v>1</v>
      </c>
      <c r="D291" s="4">
        <v>10</v>
      </c>
      <c r="E291" s="1">
        <v>290</v>
      </c>
      <c r="F291" s="1">
        <v>53</v>
      </c>
      <c r="G291" s="1">
        <v>11</v>
      </c>
      <c r="H291" s="1">
        <v>75</v>
      </c>
      <c r="I291" s="1" t="s">
        <v>179</v>
      </c>
      <c r="J291" s="1">
        <v>41</v>
      </c>
      <c r="K291" s="1">
        <v>51</v>
      </c>
      <c r="L291" s="1">
        <v>11</v>
      </c>
      <c r="M291" s="1">
        <v>174</v>
      </c>
      <c r="N291" s="1">
        <v>7</v>
      </c>
      <c r="O291" s="1">
        <v>35</v>
      </c>
      <c r="P291" s="1">
        <v>39</v>
      </c>
      <c r="Q291" s="1">
        <v>6</v>
      </c>
      <c r="R291" s="1">
        <v>7.8</v>
      </c>
      <c r="S291" s="23">
        <f>1.95*0.75*0.8*N291*0.662</f>
        <v>5.42178</v>
      </c>
    </row>
    <row r="292" spans="1:19" x14ac:dyDescent="0.3">
      <c r="A292" s="1" t="s">
        <v>182</v>
      </c>
      <c r="B292" s="21" t="s">
        <v>97</v>
      </c>
      <c r="C292" s="21">
        <v>1</v>
      </c>
      <c r="D292" s="4">
        <v>11</v>
      </c>
      <c r="E292" s="1">
        <v>340</v>
      </c>
      <c r="F292" s="1">
        <v>65</v>
      </c>
      <c r="G292" s="1">
        <v>13</v>
      </c>
      <c r="H292" s="1">
        <v>137</v>
      </c>
      <c r="I292" s="1" t="s">
        <v>173</v>
      </c>
      <c r="J292" s="1">
        <v>47</v>
      </c>
      <c r="K292" s="1">
        <v>5</v>
      </c>
      <c r="L292" s="1">
        <v>11</v>
      </c>
      <c r="M292" s="1">
        <v>204</v>
      </c>
      <c r="N292" s="1">
        <v>6</v>
      </c>
      <c r="O292" s="1">
        <v>40.299999999999997</v>
      </c>
      <c r="P292" s="1">
        <v>38</v>
      </c>
      <c r="Q292" s="1">
        <v>7</v>
      </c>
      <c r="R292" s="1">
        <v>7.6</v>
      </c>
      <c r="S292" s="23">
        <f>2.16*0.9*0.8*N292*0.662</f>
        <v>6.1772544000000007</v>
      </c>
    </row>
    <row r="293" spans="1:19" x14ac:dyDescent="0.3">
      <c r="A293" s="1" t="s">
        <v>182</v>
      </c>
      <c r="B293" s="21" t="s">
        <v>97</v>
      </c>
      <c r="C293" s="21">
        <v>1</v>
      </c>
      <c r="D293" s="4">
        <v>12</v>
      </c>
      <c r="E293" s="1">
        <v>336</v>
      </c>
      <c r="F293" s="1">
        <v>57</v>
      </c>
      <c r="G293" s="1">
        <v>13</v>
      </c>
      <c r="H293" s="1">
        <v>120</v>
      </c>
      <c r="I293" s="1" t="s">
        <v>175</v>
      </c>
      <c r="J293" s="1">
        <v>43</v>
      </c>
      <c r="K293" s="1">
        <v>52</v>
      </c>
      <c r="L293" s="1">
        <v>10</v>
      </c>
      <c r="M293" s="1">
        <v>165</v>
      </c>
      <c r="N293" s="1">
        <v>6</v>
      </c>
      <c r="O293" s="1">
        <v>36</v>
      </c>
      <c r="P293" s="1">
        <v>39</v>
      </c>
      <c r="Q293" s="1">
        <v>6</v>
      </c>
      <c r="R293" s="1">
        <v>8</v>
      </c>
      <c r="S293" s="23">
        <f>2.27*0.85*0.8*N293*0.662</f>
        <v>6.1311792000000009</v>
      </c>
    </row>
    <row r="294" spans="1:19" x14ac:dyDescent="0.3">
      <c r="A294" s="1" t="s">
        <v>182</v>
      </c>
      <c r="B294" s="21" t="s">
        <v>97</v>
      </c>
      <c r="C294" s="21">
        <v>1</v>
      </c>
      <c r="D294" s="4">
        <v>13</v>
      </c>
      <c r="E294" s="1">
        <v>303</v>
      </c>
      <c r="F294" s="1">
        <v>60</v>
      </c>
      <c r="G294" s="1">
        <v>10</v>
      </c>
      <c r="H294" s="1">
        <v>166</v>
      </c>
      <c r="I294" s="1" t="s">
        <v>174</v>
      </c>
      <c r="J294" s="1">
        <v>50</v>
      </c>
      <c r="K294" s="1">
        <v>8</v>
      </c>
      <c r="L294" s="1"/>
      <c r="M294" s="1"/>
      <c r="N294" s="1"/>
      <c r="O294" s="1"/>
      <c r="P294" s="1"/>
      <c r="Q294" s="1"/>
      <c r="R294" s="1"/>
      <c r="S294" s="23"/>
    </row>
    <row r="295" spans="1:19" x14ac:dyDescent="0.3">
      <c r="A295" s="1" t="s">
        <v>182</v>
      </c>
      <c r="B295" s="21" t="s">
        <v>97</v>
      </c>
      <c r="C295" s="21">
        <v>1</v>
      </c>
      <c r="D295" s="4">
        <v>14</v>
      </c>
      <c r="E295" s="1">
        <v>332</v>
      </c>
      <c r="F295" s="1">
        <v>65</v>
      </c>
      <c r="G295" s="1">
        <v>12</v>
      </c>
      <c r="H295" s="1">
        <v>170</v>
      </c>
      <c r="I295" s="1" t="s">
        <v>175</v>
      </c>
      <c r="J295" s="1">
        <v>43</v>
      </c>
      <c r="K295" s="1">
        <v>1</v>
      </c>
      <c r="L295" s="1">
        <v>11</v>
      </c>
      <c r="M295" s="1">
        <v>135</v>
      </c>
      <c r="N295" s="1">
        <v>7</v>
      </c>
      <c r="O295" s="1">
        <v>46.6</v>
      </c>
      <c r="P295" s="1">
        <v>39</v>
      </c>
      <c r="Q295" s="1">
        <v>7</v>
      </c>
      <c r="R295" s="1">
        <v>7.8</v>
      </c>
      <c r="S295" s="23">
        <f>2.52*0.94*0.8*N295*0.662</f>
        <v>8.78161536</v>
      </c>
    </row>
    <row r="296" spans="1:19" ht="28.8" x14ac:dyDescent="0.3">
      <c r="A296" s="1" t="s">
        <v>182</v>
      </c>
      <c r="B296" s="24" t="s">
        <v>172</v>
      </c>
      <c r="C296" s="21">
        <v>2</v>
      </c>
      <c r="D296" s="4">
        <v>1</v>
      </c>
      <c r="E296" s="1">
        <v>347</v>
      </c>
      <c r="F296" s="1">
        <v>65</v>
      </c>
      <c r="G296" s="1">
        <v>12</v>
      </c>
      <c r="H296" s="1">
        <v>107</v>
      </c>
      <c r="I296" s="1" t="s">
        <v>176</v>
      </c>
      <c r="J296" s="1">
        <v>45</v>
      </c>
      <c r="K296" s="1">
        <v>3</v>
      </c>
      <c r="L296" s="1">
        <v>11</v>
      </c>
      <c r="M296" s="1">
        <v>196</v>
      </c>
      <c r="N296" s="1">
        <v>6</v>
      </c>
      <c r="O296" s="1">
        <v>36.4</v>
      </c>
      <c r="P296" s="1">
        <v>38</v>
      </c>
      <c r="Q296" s="1">
        <v>7</v>
      </c>
      <c r="R296" s="1">
        <v>7.8</v>
      </c>
      <c r="S296" s="23">
        <f>2.36*0.95*0.8*N296*0.662</f>
        <v>7.1241792000000013</v>
      </c>
    </row>
    <row r="297" spans="1:19" ht="28.8" x14ac:dyDescent="0.3">
      <c r="A297" s="1" t="s">
        <v>182</v>
      </c>
      <c r="B297" s="24" t="s">
        <v>172</v>
      </c>
      <c r="C297" s="21">
        <v>2</v>
      </c>
      <c r="D297" s="4">
        <v>2</v>
      </c>
      <c r="E297" s="1">
        <v>315</v>
      </c>
      <c r="F297" s="1">
        <v>59</v>
      </c>
      <c r="G297" s="1">
        <v>12</v>
      </c>
      <c r="H297" s="1">
        <v>118</v>
      </c>
      <c r="I297" s="1" t="s">
        <v>178</v>
      </c>
      <c r="J297" s="1">
        <v>46</v>
      </c>
      <c r="K297" s="1">
        <v>4</v>
      </c>
      <c r="L297" s="1">
        <v>12</v>
      </c>
      <c r="M297" s="1">
        <v>182</v>
      </c>
      <c r="N297" s="1">
        <v>4</v>
      </c>
      <c r="O297" s="1">
        <v>35.799999999999997</v>
      </c>
      <c r="P297" s="1">
        <v>37</v>
      </c>
      <c r="Q297" s="1">
        <v>7</v>
      </c>
      <c r="R297" s="1">
        <v>7.6</v>
      </c>
      <c r="S297" s="23">
        <f>2.26*0.84*0.8*N297*0.662</f>
        <v>4.0215705599999998</v>
      </c>
    </row>
    <row r="298" spans="1:19" ht="28.8" x14ac:dyDescent="0.3">
      <c r="A298" s="1" t="s">
        <v>182</v>
      </c>
      <c r="B298" s="24" t="s">
        <v>172</v>
      </c>
      <c r="C298" s="21">
        <v>2</v>
      </c>
      <c r="D298" s="4">
        <v>3</v>
      </c>
      <c r="E298" s="1">
        <v>300</v>
      </c>
      <c r="F298" s="1">
        <v>55</v>
      </c>
      <c r="G298" s="1">
        <v>9</v>
      </c>
      <c r="H298" s="1">
        <v>97</v>
      </c>
      <c r="I298" s="1" t="s">
        <v>174</v>
      </c>
      <c r="J298" s="1">
        <v>42</v>
      </c>
      <c r="K298" s="1">
        <v>52</v>
      </c>
      <c r="L298" s="1">
        <v>11</v>
      </c>
      <c r="M298" s="1">
        <v>155</v>
      </c>
      <c r="N298" s="1">
        <v>6</v>
      </c>
      <c r="O298" s="1">
        <v>36</v>
      </c>
      <c r="P298" s="1">
        <v>39</v>
      </c>
      <c r="Q298" s="1">
        <v>6</v>
      </c>
      <c r="R298" s="1">
        <v>8</v>
      </c>
      <c r="S298" s="23">
        <f>2.03*0.74*0.8*N298*0.662</f>
        <v>4.7733907200000001</v>
      </c>
    </row>
    <row r="299" spans="1:19" ht="28.8" x14ac:dyDescent="0.3">
      <c r="A299" s="1" t="s">
        <v>182</v>
      </c>
      <c r="B299" s="24" t="s">
        <v>172</v>
      </c>
      <c r="C299" s="21">
        <v>2</v>
      </c>
      <c r="D299" s="4">
        <v>4</v>
      </c>
      <c r="E299" s="1">
        <v>320</v>
      </c>
      <c r="F299" s="1">
        <v>62</v>
      </c>
      <c r="G299" s="1">
        <v>12</v>
      </c>
      <c r="H299" s="1">
        <v>142</v>
      </c>
      <c r="I299" s="1" t="s">
        <v>183</v>
      </c>
      <c r="J299" s="1">
        <v>44</v>
      </c>
      <c r="K299" s="1">
        <v>2</v>
      </c>
      <c r="L299" s="1">
        <v>11</v>
      </c>
      <c r="M299" s="1">
        <v>180</v>
      </c>
      <c r="N299" s="1">
        <v>5</v>
      </c>
      <c r="O299" s="1">
        <v>41</v>
      </c>
      <c r="P299" s="1">
        <v>39</v>
      </c>
      <c r="Q299" s="1">
        <v>7</v>
      </c>
      <c r="R299" s="1">
        <v>8</v>
      </c>
      <c r="S299" s="23">
        <f>2.32*0.9*0.8*N299*0.662</f>
        <v>5.5290240000000006</v>
      </c>
    </row>
    <row r="300" spans="1:19" ht="28.8" x14ac:dyDescent="0.3">
      <c r="A300" s="1" t="s">
        <v>182</v>
      </c>
      <c r="B300" s="24" t="s">
        <v>172</v>
      </c>
      <c r="C300" s="21">
        <v>2</v>
      </c>
      <c r="D300" s="4">
        <v>5</v>
      </c>
      <c r="E300" s="1">
        <v>304</v>
      </c>
      <c r="F300" s="1">
        <v>59</v>
      </c>
      <c r="G300" s="1">
        <v>10</v>
      </c>
      <c r="H300" s="1">
        <v>103</v>
      </c>
      <c r="I300" s="1" t="s">
        <v>179</v>
      </c>
      <c r="J300" s="1">
        <v>49</v>
      </c>
      <c r="K300" s="1">
        <v>7</v>
      </c>
      <c r="L300" s="1"/>
      <c r="M300" s="1"/>
      <c r="N300" s="1"/>
      <c r="O300" s="1"/>
      <c r="P300" s="1"/>
      <c r="Q300" s="1"/>
      <c r="R300" s="1"/>
      <c r="S300" s="23"/>
    </row>
    <row r="301" spans="1:19" ht="28.8" x14ac:dyDescent="0.3">
      <c r="A301" s="1" t="s">
        <v>182</v>
      </c>
      <c r="B301" s="24" t="s">
        <v>172</v>
      </c>
      <c r="C301" s="21">
        <v>2</v>
      </c>
      <c r="D301" s="4">
        <v>6</v>
      </c>
      <c r="E301" s="1">
        <v>360</v>
      </c>
      <c r="F301" s="1">
        <v>67</v>
      </c>
      <c r="G301" s="1">
        <v>15</v>
      </c>
      <c r="H301" s="1">
        <v>110</v>
      </c>
      <c r="I301" s="1" t="s">
        <v>173</v>
      </c>
      <c r="J301" s="1">
        <v>47</v>
      </c>
      <c r="K301" s="1">
        <v>5</v>
      </c>
      <c r="L301" s="1">
        <v>12</v>
      </c>
      <c r="M301" s="1">
        <v>195</v>
      </c>
      <c r="N301" s="1">
        <v>6</v>
      </c>
      <c r="O301" s="1">
        <v>50.9</v>
      </c>
      <c r="P301" s="1">
        <v>39</v>
      </c>
      <c r="Q301" s="1">
        <v>7</v>
      </c>
      <c r="R301" s="1">
        <v>7.4</v>
      </c>
      <c r="S301" s="23">
        <f>2.45*0.92*0.8*N301*0.662</f>
        <v>7.1623104000000017</v>
      </c>
    </row>
    <row r="302" spans="1:19" ht="28.8" x14ac:dyDescent="0.3">
      <c r="A302" s="1" t="s">
        <v>182</v>
      </c>
      <c r="B302" s="24" t="s">
        <v>172</v>
      </c>
      <c r="C302" s="21">
        <v>2</v>
      </c>
      <c r="D302" s="4">
        <v>7</v>
      </c>
      <c r="E302" s="1">
        <v>315</v>
      </c>
      <c r="F302" s="1">
        <v>62</v>
      </c>
      <c r="G302" s="1">
        <v>10</v>
      </c>
      <c r="H302" s="1">
        <v>116</v>
      </c>
      <c r="I302" s="1" t="s">
        <v>179</v>
      </c>
      <c r="J302" s="1">
        <v>49</v>
      </c>
      <c r="K302" s="1">
        <v>7</v>
      </c>
      <c r="L302" s="1"/>
      <c r="M302" s="1"/>
      <c r="N302" s="1"/>
      <c r="O302" s="1"/>
      <c r="P302" s="1"/>
      <c r="Q302" s="1"/>
      <c r="R302" s="1"/>
      <c r="S302" s="23"/>
    </row>
    <row r="303" spans="1:19" ht="28.8" x14ac:dyDescent="0.3">
      <c r="A303" s="1" t="s">
        <v>182</v>
      </c>
      <c r="B303" s="24" t="s">
        <v>172</v>
      </c>
      <c r="C303" s="21">
        <v>2</v>
      </c>
      <c r="D303" s="4">
        <v>8</v>
      </c>
      <c r="E303" s="1">
        <v>320</v>
      </c>
      <c r="F303" s="1">
        <v>67</v>
      </c>
      <c r="G303" s="1">
        <v>14</v>
      </c>
      <c r="H303" s="1">
        <v>96</v>
      </c>
      <c r="I303" s="1" t="s">
        <v>183</v>
      </c>
      <c r="J303" s="1">
        <v>44</v>
      </c>
      <c r="K303" s="1">
        <v>2</v>
      </c>
      <c r="L303" s="1">
        <v>11</v>
      </c>
      <c r="M303" s="1">
        <v>175</v>
      </c>
      <c r="N303" s="1">
        <v>5</v>
      </c>
      <c r="O303" s="1">
        <v>41</v>
      </c>
      <c r="P303" s="1">
        <v>37</v>
      </c>
      <c r="Q303" s="1">
        <v>7</v>
      </c>
      <c r="R303" s="1">
        <v>8</v>
      </c>
      <c r="S303" s="23">
        <f>2.32*0.96*0.8*N303*0.662</f>
        <v>5.8976255999999996</v>
      </c>
    </row>
    <row r="304" spans="1:19" ht="28.8" x14ac:dyDescent="0.3">
      <c r="A304" s="1" t="s">
        <v>182</v>
      </c>
      <c r="B304" s="24" t="s">
        <v>172</v>
      </c>
      <c r="C304" s="21">
        <v>2</v>
      </c>
      <c r="D304" s="4">
        <v>9</v>
      </c>
      <c r="E304" s="1">
        <v>315</v>
      </c>
      <c r="F304" s="1">
        <v>67</v>
      </c>
      <c r="G304" s="1">
        <v>13</v>
      </c>
      <c r="H304" s="1">
        <v>110</v>
      </c>
      <c r="I304" s="1" t="s">
        <v>178</v>
      </c>
      <c r="J304" s="1">
        <v>46</v>
      </c>
      <c r="K304" s="1">
        <v>4</v>
      </c>
      <c r="L304" s="1">
        <v>11</v>
      </c>
      <c r="M304" s="1">
        <v>186</v>
      </c>
      <c r="N304" s="1">
        <v>4</v>
      </c>
      <c r="O304" s="1">
        <v>42</v>
      </c>
      <c r="P304" s="1">
        <v>38</v>
      </c>
      <c r="Q304" s="1">
        <v>7</v>
      </c>
      <c r="R304" s="1">
        <v>8.1999999999999993</v>
      </c>
      <c r="S304" s="23">
        <f>2.3*0.83*0.8*N304*0.662</f>
        <v>4.0440256000000003</v>
      </c>
    </row>
    <row r="305" spans="1:19" ht="28.8" x14ac:dyDescent="0.3">
      <c r="A305" s="1" t="s">
        <v>182</v>
      </c>
      <c r="B305" s="24" t="s">
        <v>172</v>
      </c>
      <c r="C305" s="21">
        <v>2</v>
      </c>
      <c r="D305" s="4">
        <v>10</v>
      </c>
      <c r="E305" s="1">
        <v>303</v>
      </c>
      <c r="F305" s="1">
        <v>62</v>
      </c>
      <c r="G305" s="1">
        <v>10</v>
      </c>
      <c r="H305" s="1">
        <v>177</v>
      </c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23"/>
    </row>
    <row r="306" spans="1:19" ht="28.8" x14ac:dyDescent="0.3">
      <c r="A306" s="1" t="s">
        <v>182</v>
      </c>
      <c r="B306" s="24" t="s">
        <v>172</v>
      </c>
      <c r="C306" s="21">
        <v>2</v>
      </c>
      <c r="D306" s="4">
        <v>11</v>
      </c>
      <c r="E306" s="1">
        <v>280</v>
      </c>
      <c r="F306" s="1">
        <v>59</v>
      </c>
      <c r="G306" s="1">
        <v>9</v>
      </c>
      <c r="H306" s="1">
        <v>145</v>
      </c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23"/>
    </row>
    <row r="307" spans="1:19" ht="28.8" x14ac:dyDescent="0.3">
      <c r="A307" s="1" t="s">
        <v>182</v>
      </c>
      <c r="B307" s="24" t="s">
        <v>172</v>
      </c>
      <c r="C307" s="21">
        <v>2</v>
      </c>
      <c r="D307" s="4">
        <v>12</v>
      </c>
      <c r="E307" s="1">
        <v>290</v>
      </c>
      <c r="F307" s="1">
        <v>66</v>
      </c>
      <c r="G307" s="1">
        <v>10</v>
      </c>
      <c r="H307" s="1">
        <v>145</v>
      </c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23"/>
    </row>
    <row r="308" spans="1:19" ht="28.8" x14ac:dyDescent="0.3">
      <c r="A308" s="1" t="s">
        <v>182</v>
      </c>
      <c r="B308" s="24" t="s">
        <v>172</v>
      </c>
      <c r="C308" s="21">
        <v>2</v>
      </c>
      <c r="D308" s="4">
        <v>13</v>
      </c>
      <c r="E308" s="1">
        <v>245</v>
      </c>
      <c r="F308" s="1">
        <v>55</v>
      </c>
      <c r="G308" s="1">
        <v>8</v>
      </c>
      <c r="H308" s="1">
        <v>144</v>
      </c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23"/>
    </row>
    <row r="309" spans="1:19" ht="28.8" x14ac:dyDescent="0.3">
      <c r="A309" s="1" t="s">
        <v>182</v>
      </c>
      <c r="B309" s="24" t="s">
        <v>172</v>
      </c>
      <c r="C309" s="21">
        <v>2</v>
      </c>
      <c r="D309" s="4">
        <v>14</v>
      </c>
      <c r="E309" s="1">
        <v>270</v>
      </c>
      <c r="F309" s="1">
        <v>53</v>
      </c>
      <c r="G309" s="1">
        <v>8</v>
      </c>
      <c r="H309" s="1">
        <v>45</v>
      </c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23"/>
    </row>
    <row r="310" spans="1:19" ht="28.8" x14ac:dyDescent="0.3">
      <c r="A310" s="1" t="s">
        <v>182</v>
      </c>
      <c r="B310" s="24" t="s">
        <v>172</v>
      </c>
      <c r="C310" s="21">
        <v>1</v>
      </c>
      <c r="D310" s="4">
        <v>1</v>
      </c>
      <c r="E310" s="1">
        <v>336</v>
      </c>
      <c r="F310" s="1">
        <v>64</v>
      </c>
      <c r="G310" s="1">
        <v>12</v>
      </c>
      <c r="H310" s="1">
        <v>106</v>
      </c>
      <c r="I310" s="1" t="s">
        <v>179</v>
      </c>
      <c r="J310" s="1">
        <v>41</v>
      </c>
      <c r="K310" s="1">
        <v>51</v>
      </c>
      <c r="L310" s="1">
        <v>11</v>
      </c>
      <c r="M310" s="1">
        <v>210</v>
      </c>
      <c r="N310" s="1">
        <v>6</v>
      </c>
      <c r="O310" s="1">
        <v>44</v>
      </c>
      <c r="P310" s="1">
        <v>40</v>
      </c>
      <c r="Q310" s="1">
        <v>7</v>
      </c>
      <c r="R310" s="1">
        <v>8</v>
      </c>
      <c r="S310" s="23">
        <f>2.1*0.6*0.8*N310*0.662</f>
        <v>4.0037760000000002</v>
      </c>
    </row>
    <row r="311" spans="1:19" ht="28.8" x14ac:dyDescent="0.3">
      <c r="A311" s="1" t="s">
        <v>182</v>
      </c>
      <c r="B311" s="24" t="s">
        <v>172</v>
      </c>
      <c r="C311" s="21">
        <v>1</v>
      </c>
      <c r="D311" s="4">
        <v>2</v>
      </c>
      <c r="E311" s="1">
        <v>310</v>
      </c>
      <c r="F311" s="1">
        <v>67</v>
      </c>
      <c r="G311" s="1">
        <v>10</v>
      </c>
      <c r="H311" s="1">
        <v>157</v>
      </c>
      <c r="I311" s="1" t="s">
        <v>175</v>
      </c>
      <c r="J311" s="1">
        <v>7</v>
      </c>
      <c r="K311" s="1">
        <v>17</v>
      </c>
      <c r="L311" s="1"/>
      <c r="M311" s="1"/>
      <c r="N311" s="1"/>
      <c r="O311" s="1"/>
      <c r="P311" s="1"/>
      <c r="Q311" s="1"/>
      <c r="R311" s="1"/>
      <c r="S311" s="23"/>
    </row>
    <row r="312" spans="1:19" ht="28.8" x14ac:dyDescent="0.3">
      <c r="A312" s="1" t="s">
        <v>182</v>
      </c>
      <c r="B312" s="24" t="s">
        <v>172</v>
      </c>
      <c r="C312" s="21">
        <v>1</v>
      </c>
      <c r="D312" s="4">
        <v>3</v>
      </c>
      <c r="E312" s="1">
        <v>344</v>
      </c>
      <c r="F312" s="1">
        <v>67</v>
      </c>
      <c r="G312" s="1">
        <v>15</v>
      </c>
      <c r="H312" s="1">
        <v>92</v>
      </c>
      <c r="I312" s="1" t="s">
        <v>183</v>
      </c>
      <c r="J312" s="1">
        <v>44</v>
      </c>
      <c r="K312" s="1">
        <v>2</v>
      </c>
      <c r="L312" s="1">
        <v>11</v>
      </c>
      <c r="M312" s="1">
        <v>180</v>
      </c>
      <c r="N312" s="1">
        <v>4</v>
      </c>
      <c r="O312" s="1">
        <v>46.9</v>
      </c>
      <c r="P312" s="1">
        <v>38</v>
      </c>
      <c r="Q312" s="1">
        <v>7</v>
      </c>
      <c r="R312" s="1">
        <v>7.6</v>
      </c>
      <c r="S312" s="23">
        <f>2.43*0.96*0.8*N312*0.662</f>
        <v>4.9418035200000014</v>
      </c>
    </row>
    <row r="313" spans="1:19" ht="28.8" x14ac:dyDescent="0.3">
      <c r="A313" s="1" t="s">
        <v>182</v>
      </c>
      <c r="B313" s="24" t="s">
        <v>172</v>
      </c>
      <c r="C313" s="21">
        <v>1</v>
      </c>
      <c r="D313" s="4">
        <v>4</v>
      </c>
      <c r="E313" s="1">
        <v>340</v>
      </c>
      <c r="F313" s="1">
        <v>68</v>
      </c>
      <c r="G313" s="1">
        <v>14</v>
      </c>
      <c r="H313" s="1">
        <v>150</v>
      </c>
      <c r="I313" s="1" t="s">
        <v>178</v>
      </c>
      <c r="J313" s="1">
        <v>46</v>
      </c>
      <c r="K313" s="1">
        <v>4</v>
      </c>
      <c r="L313" s="1">
        <v>12</v>
      </c>
      <c r="M313" s="1">
        <v>200</v>
      </c>
      <c r="N313" s="1">
        <v>5</v>
      </c>
      <c r="O313" s="1">
        <v>44.3</v>
      </c>
      <c r="P313" s="1">
        <v>38</v>
      </c>
      <c r="Q313" s="1">
        <v>7</v>
      </c>
      <c r="R313" s="1">
        <v>7.8</v>
      </c>
      <c r="S313" s="23">
        <f>2.2*0.82*0.8*N313*0.662</f>
        <v>4.7769920000000008</v>
      </c>
    </row>
    <row r="314" spans="1:19" ht="28.8" x14ac:dyDescent="0.3">
      <c r="A314" s="1" t="s">
        <v>182</v>
      </c>
      <c r="B314" s="24" t="s">
        <v>172</v>
      </c>
      <c r="C314" s="21">
        <v>1</v>
      </c>
      <c r="D314" s="4">
        <v>5</v>
      </c>
      <c r="E314" s="1">
        <v>352</v>
      </c>
      <c r="F314" s="1">
        <v>71</v>
      </c>
      <c r="G314" s="1">
        <v>15</v>
      </c>
      <c r="H314" s="1">
        <v>115</v>
      </c>
      <c r="I314" s="1" t="s">
        <v>175</v>
      </c>
      <c r="J314" s="1">
        <v>43</v>
      </c>
      <c r="K314" s="1">
        <v>52</v>
      </c>
      <c r="L314" s="1">
        <v>10</v>
      </c>
      <c r="M314" s="1">
        <v>220</v>
      </c>
      <c r="N314" s="1">
        <v>6</v>
      </c>
      <c r="O314" s="1">
        <v>52</v>
      </c>
      <c r="P314" s="1">
        <v>39</v>
      </c>
      <c r="Q314" s="1">
        <v>8</v>
      </c>
      <c r="R314" s="1">
        <v>8.1999999999999993</v>
      </c>
      <c r="S314" s="23">
        <f>2.45*0.79*0.8*N314*0.662</f>
        <v>6.1502448000000012</v>
      </c>
    </row>
    <row r="315" spans="1:19" ht="28.8" x14ac:dyDescent="0.3">
      <c r="A315" s="1" t="s">
        <v>182</v>
      </c>
      <c r="B315" s="24" t="s">
        <v>172</v>
      </c>
      <c r="C315" s="21">
        <v>1</v>
      </c>
      <c r="D315" s="4">
        <v>6</v>
      </c>
      <c r="E315" s="1">
        <v>348</v>
      </c>
      <c r="F315" s="1">
        <v>61</v>
      </c>
      <c r="G315" s="1">
        <v>11</v>
      </c>
      <c r="H315" s="1">
        <v>140</v>
      </c>
      <c r="I315" s="1" t="s">
        <v>183</v>
      </c>
      <c r="J315" s="1">
        <v>44</v>
      </c>
      <c r="K315" s="1">
        <v>2</v>
      </c>
      <c r="L315" s="1">
        <v>11</v>
      </c>
      <c r="M315" s="1">
        <v>104</v>
      </c>
      <c r="N315" s="1">
        <v>4</v>
      </c>
      <c r="O315" s="1">
        <v>42.2</v>
      </c>
      <c r="P315" s="1">
        <v>37</v>
      </c>
      <c r="Q315" s="1">
        <v>7</v>
      </c>
      <c r="R315" s="1">
        <v>8</v>
      </c>
      <c r="S315" s="23">
        <f>2.45*0.91*0.8*N315*0.662</f>
        <v>4.7229728000000009</v>
      </c>
    </row>
    <row r="316" spans="1:19" ht="28.8" x14ac:dyDescent="0.3">
      <c r="A316" s="1" t="s">
        <v>182</v>
      </c>
      <c r="B316" s="24" t="s">
        <v>172</v>
      </c>
      <c r="C316" s="21">
        <v>1</v>
      </c>
      <c r="D316" s="4">
        <v>7</v>
      </c>
      <c r="E316" s="1">
        <v>323</v>
      </c>
      <c r="F316" s="1">
        <v>59</v>
      </c>
      <c r="G316" s="1">
        <v>12</v>
      </c>
      <c r="H316" s="1">
        <v>92</v>
      </c>
      <c r="I316" s="1" t="s">
        <v>173</v>
      </c>
      <c r="J316" s="1">
        <v>47</v>
      </c>
      <c r="K316" s="1">
        <v>5</v>
      </c>
      <c r="L316" s="1">
        <v>12</v>
      </c>
      <c r="M316" s="1">
        <v>140</v>
      </c>
      <c r="N316" s="1">
        <v>6</v>
      </c>
      <c r="O316" s="1">
        <v>30</v>
      </c>
      <c r="P316" s="1">
        <v>37</v>
      </c>
      <c r="Q316" s="1">
        <v>7</v>
      </c>
      <c r="R316" s="1">
        <v>8</v>
      </c>
      <c r="S316" s="23">
        <f>2.3*0.9*0.8*N316*0.662</f>
        <v>6.5776320000000004</v>
      </c>
    </row>
    <row r="317" spans="1:19" ht="28.8" x14ac:dyDescent="0.3">
      <c r="A317" s="1" t="s">
        <v>182</v>
      </c>
      <c r="B317" s="24" t="s">
        <v>172</v>
      </c>
      <c r="C317" s="21">
        <v>1</v>
      </c>
      <c r="D317" s="4">
        <v>8</v>
      </c>
      <c r="E317" s="1">
        <v>353</v>
      </c>
      <c r="F317" s="1">
        <v>69</v>
      </c>
      <c r="G317" s="1">
        <v>12</v>
      </c>
      <c r="H317" s="1">
        <v>170</v>
      </c>
      <c r="I317" s="1" t="s">
        <v>175</v>
      </c>
      <c r="J317" s="1">
        <v>43</v>
      </c>
      <c r="K317" s="1">
        <v>1</v>
      </c>
      <c r="L317" s="1">
        <v>11</v>
      </c>
      <c r="M317" s="1">
        <v>218</v>
      </c>
      <c r="N317" s="1">
        <v>6</v>
      </c>
      <c r="O317" s="1">
        <v>46.3</v>
      </c>
      <c r="P317" s="1">
        <v>39</v>
      </c>
      <c r="Q317" s="1">
        <v>7</v>
      </c>
      <c r="R317" s="1">
        <v>8</v>
      </c>
      <c r="S317" s="23">
        <f>2.42*0.94*0.8*N317*0.662</f>
        <v>7.2284044800000009</v>
      </c>
    </row>
    <row r="318" spans="1:19" ht="28.8" x14ac:dyDescent="0.3">
      <c r="A318" s="1" t="s">
        <v>182</v>
      </c>
      <c r="B318" s="24" t="s">
        <v>172</v>
      </c>
      <c r="C318" s="21">
        <v>1</v>
      </c>
      <c r="D318" s="4">
        <v>9</v>
      </c>
      <c r="E318" s="1">
        <v>336</v>
      </c>
      <c r="F318" s="1">
        <v>64</v>
      </c>
      <c r="G318" s="1">
        <v>12</v>
      </c>
      <c r="H318" s="1">
        <v>154</v>
      </c>
      <c r="I318" s="1" t="s">
        <v>180</v>
      </c>
      <c r="J318" s="1">
        <v>40</v>
      </c>
      <c r="K318" s="1">
        <v>50</v>
      </c>
      <c r="L318" s="1">
        <v>11</v>
      </c>
      <c r="M318" s="1">
        <v>193</v>
      </c>
      <c r="N318" s="1">
        <v>7</v>
      </c>
      <c r="O318" s="1">
        <v>49</v>
      </c>
      <c r="P318" s="1">
        <v>40</v>
      </c>
      <c r="Q318" s="1">
        <v>8</v>
      </c>
      <c r="R318" s="1">
        <v>8</v>
      </c>
      <c r="S318" s="23">
        <f>2.1*0.72*0.8*N318*0.662</f>
        <v>5.6052864000000007</v>
      </c>
    </row>
    <row r="319" spans="1:19" ht="28.8" x14ac:dyDescent="0.3">
      <c r="A319" s="1" t="s">
        <v>182</v>
      </c>
      <c r="B319" s="24" t="s">
        <v>172</v>
      </c>
      <c r="C319" s="21">
        <v>1</v>
      </c>
      <c r="D319" s="4">
        <v>10</v>
      </c>
      <c r="E319" s="1">
        <v>335</v>
      </c>
      <c r="F319" s="1">
        <v>64</v>
      </c>
      <c r="G319" s="1">
        <v>12</v>
      </c>
      <c r="H319" s="1">
        <v>100</v>
      </c>
      <c r="I319" s="1" t="s">
        <v>179</v>
      </c>
      <c r="J319" s="1">
        <v>41</v>
      </c>
      <c r="K319" s="1">
        <v>51</v>
      </c>
      <c r="L319" s="1">
        <v>11</v>
      </c>
      <c r="M319" s="1">
        <v>142</v>
      </c>
      <c r="N319" s="1">
        <v>8</v>
      </c>
      <c r="O319" s="1">
        <v>45</v>
      </c>
      <c r="P319" s="1">
        <v>40</v>
      </c>
      <c r="Q319" s="1">
        <v>7</v>
      </c>
      <c r="R319" s="1">
        <v>8</v>
      </c>
      <c r="S319" s="23">
        <f>2.1*0.76*0.8*N319*0.662</f>
        <v>6.7619328000000012</v>
      </c>
    </row>
    <row r="320" spans="1:19" ht="28.8" x14ac:dyDescent="0.3">
      <c r="A320" s="1" t="s">
        <v>182</v>
      </c>
      <c r="B320" s="24" t="s">
        <v>172</v>
      </c>
      <c r="C320" s="21">
        <v>1</v>
      </c>
      <c r="D320" s="4">
        <v>11</v>
      </c>
      <c r="E320" s="1">
        <v>315</v>
      </c>
      <c r="F320" s="1">
        <v>64</v>
      </c>
      <c r="G320" s="1">
        <v>12</v>
      </c>
      <c r="H320" s="1">
        <v>93</v>
      </c>
      <c r="I320" s="1" t="s">
        <v>183</v>
      </c>
      <c r="J320" s="1">
        <v>44</v>
      </c>
      <c r="K320" s="1">
        <v>2</v>
      </c>
      <c r="L320" s="1">
        <v>12</v>
      </c>
      <c r="M320" s="1">
        <v>158</v>
      </c>
      <c r="N320" s="1">
        <v>6</v>
      </c>
      <c r="O320" s="1">
        <v>30.6</v>
      </c>
      <c r="P320" s="1">
        <v>37</v>
      </c>
      <c r="Q320" s="1">
        <v>7</v>
      </c>
      <c r="R320" s="1">
        <v>8</v>
      </c>
      <c r="S320" s="23">
        <f>2*0.82*0.8*N320*0.662</f>
        <v>5.2112639999999999</v>
      </c>
    </row>
    <row r="321" spans="1:19" ht="28.8" x14ac:dyDescent="0.3">
      <c r="A321" s="1" t="s">
        <v>182</v>
      </c>
      <c r="B321" s="24" t="s">
        <v>172</v>
      </c>
      <c r="C321" s="21">
        <v>1</v>
      </c>
      <c r="D321" s="4">
        <v>12</v>
      </c>
      <c r="E321" s="1">
        <v>328</v>
      </c>
      <c r="F321" s="1">
        <v>64</v>
      </c>
      <c r="G321" s="1">
        <v>11</v>
      </c>
      <c r="H321" s="1">
        <v>160</v>
      </c>
      <c r="I321" s="1" t="s">
        <v>174</v>
      </c>
      <c r="J321" s="1">
        <v>50</v>
      </c>
      <c r="K321" s="1">
        <v>8</v>
      </c>
      <c r="L321" s="1"/>
      <c r="M321" s="1"/>
      <c r="N321" s="1"/>
      <c r="O321" s="1"/>
      <c r="P321" s="1"/>
      <c r="Q321" s="1"/>
      <c r="R321" s="1"/>
      <c r="S321" s="23"/>
    </row>
    <row r="322" spans="1:19" ht="28.8" x14ac:dyDescent="0.3">
      <c r="A322" s="1" t="s">
        <v>182</v>
      </c>
      <c r="B322" s="24" t="s">
        <v>172</v>
      </c>
      <c r="C322" s="21">
        <v>1</v>
      </c>
      <c r="D322" s="4">
        <v>13</v>
      </c>
      <c r="E322" s="1">
        <v>275</v>
      </c>
      <c r="F322" s="1">
        <v>56</v>
      </c>
      <c r="G322" s="1">
        <v>10</v>
      </c>
      <c r="H322" s="1">
        <v>123</v>
      </c>
      <c r="I322" s="1" t="s">
        <v>174</v>
      </c>
      <c r="J322" s="1">
        <v>50</v>
      </c>
      <c r="K322" s="1">
        <v>8</v>
      </c>
      <c r="L322" s="1"/>
      <c r="M322" s="1"/>
      <c r="N322" s="1"/>
      <c r="O322" s="1"/>
      <c r="P322" s="1"/>
      <c r="Q322" s="1"/>
      <c r="R322" s="1"/>
      <c r="S322" s="23"/>
    </row>
    <row r="323" spans="1:19" ht="28.8" x14ac:dyDescent="0.3">
      <c r="A323" s="1" t="s">
        <v>182</v>
      </c>
      <c r="B323" s="24" t="s">
        <v>172</v>
      </c>
      <c r="C323" s="21">
        <v>1</v>
      </c>
      <c r="D323" s="4">
        <v>14</v>
      </c>
      <c r="E323" s="1">
        <v>290</v>
      </c>
      <c r="F323" s="1">
        <v>57</v>
      </c>
      <c r="G323" s="1">
        <v>12</v>
      </c>
      <c r="H323" s="1">
        <v>86</v>
      </c>
      <c r="I323" s="1" t="s">
        <v>176</v>
      </c>
      <c r="J323" s="1">
        <v>45</v>
      </c>
      <c r="K323" s="1">
        <v>3</v>
      </c>
      <c r="L323" s="1">
        <v>11</v>
      </c>
      <c r="M323" s="1">
        <v>160</v>
      </c>
      <c r="N323" s="1">
        <v>6</v>
      </c>
      <c r="O323" s="1">
        <v>23.3</v>
      </c>
      <c r="P323" s="1">
        <v>37</v>
      </c>
      <c r="Q323" s="1">
        <v>6</v>
      </c>
      <c r="R323" s="1">
        <v>7.6</v>
      </c>
      <c r="S323" s="23">
        <f>2.2*0.82*0.8*N323*0.662</f>
        <v>5.7323904000000008</v>
      </c>
    </row>
    <row r="324" spans="1:19" x14ac:dyDescent="0.3">
      <c r="A324" s="1" t="s">
        <v>182</v>
      </c>
      <c r="B324" s="21" t="s">
        <v>184</v>
      </c>
      <c r="C324" s="21">
        <v>3</v>
      </c>
      <c r="D324" s="4">
        <v>1</v>
      </c>
      <c r="E324" s="1">
        <v>344</v>
      </c>
      <c r="F324" s="1">
        <v>62</v>
      </c>
      <c r="G324" s="1">
        <v>14</v>
      </c>
      <c r="H324" s="1">
        <v>90</v>
      </c>
      <c r="I324" s="1" t="s">
        <v>183</v>
      </c>
      <c r="J324" s="1">
        <v>44</v>
      </c>
      <c r="K324" s="1">
        <v>2</v>
      </c>
      <c r="L324" s="1">
        <v>11</v>
      </c>
      <c r="M324" s="1">
        <v>170</v>
      </c>
      <c r="N324" s="1">
        <v>6</v>
      </c>
      <c r="O324" s="1">
        <v>40.6</v>
      </c>
      <c r="P324" s="1">
        <v>39</v>
      </c>
      <c r="Q324" s="1">
        <v>7</v>
      </c>
      <c r="R324" s="1">
        <v>7.8</v>
      </c>
      <c r="S324" s="23">
        <f>2.47*0.92*0.8*N324*0.662</f>
        <v>7.2207782400000013</v>
      </c>
    </row>
    <row r="325" spans="1:19" x14ac:dyDescent="0.3">
      <c r="A325" s="1" t="s">
        <v>182</v>
      </c>
      <c r="B325" s="21" t="s">
        <v>184</v>
      </c>
      <c r="C325" s="21">
        <v>3</v>
      </c>
      <c r="D325" s="4">
        <v>2</v>
      </c>
      <c r="E325" s="1">
        <v>345</v>
      </c>
      <c r="F325" s="1">
        <v>66</v>
      </c>
      <c r="G325" s="1">
        <v>12</v>
      </c>
      <c r="H325" s="1">
        <v>165</v>
      </c>
      <c r="I325" s="1" t="s">
        <v>174</v>
      </c>
      <c r="J325" s="1">
        <v>42</v>
      </c>
      <c r="K325" s="1">
        <v>52</v>
      </c>
      <c r="L325" s="1">
        <v>10</v>
      </c>
      <c r="M325" s="1">
        <v>230</v>
      </c>
      <c r="N325" s="1">
        <v>6</v>
      </c>
      <c r="O325" s="1">
        <v>44.7</v>
      </c>
      <c r="P325" s="1">
        <v>39</v>
      </c>
      <c r="Q325" s="1">
        <v>7</v>
      </c>
      <c r="R325" s="1">
        <v>7.6</v>
      </c>
      <c r="S325" s="23">
        <f>2.3*0.8*0.8*N325*0.662</f>
        <v>5.8467840000000004</v>
      </c>
    </row>
    <row r="326" spans="1:19" x14ac:dyDescent="0.3">
      <c r="A326" s="1" t="s">
        <v>182</v>
      </c>
      <c r="B326" s="21" t="s">
        <v>184</v>
      </c>
      <c r="C326" s="21">
        <v>3</v>
      </c>
      <c r="D326" s="4">
        <v>3</v>
      </c>
      <c r="E326" s="1">
        <v>340</v>
      </c>
      <c r="F326" s="1">
        <v>64</v>
      </c>
      <c r="G326" s="1">
        <v>14</v>
      </c>
      <c r="H326" s="1">
        <v>133</v>
      </c>
      <c r="I326" s="1" t="s">
        <v>183</v>
      </c>
      <c r="J326" s="1">
        <v>44</v>
      </c>
      <c r="K326" s="1">
        <v>2</v>
      </c>
      <c r="L326" s="1">
        <v>12</v>
      </c>
      <c r="M326" s="1">
        <v>204</v>
      </c>
      <c r="N326" s="1">
        <v>6</v>
      </c>
      <c r="O326" s="1">
        <v>37</v>
      </c>
      <c r="P326" s="1">
        <v>38</v>
      </c>
      <c r="Q326" s="1">
        <v>7</v>
      </c>
      <c r="R326" s="1">
        <v>7.4</v>
      </c>
      <c r="S326" s="23">
        <f>2.31*0.8*0.8*N326*0.662</f>
        <v>5.8722048000000004</v>
      </c>
    </row>
    <row r="327" spans="1:19" x14ac:dyDescent="0.3">
      <c r="A327" s="1" t="s">
        <v>182</v>
      </c>
      <c r="B327" s="21" t="s">
        <v>184</v>
      </c>
      <c r="C327" s="21">
        <v>3</v>
      </c>
      <c r="D327" s="4">
        <v>4</v>
      </c>
      <c r="E327" s="1">
        <v>327</v>
      </c>
      <c r="F327" s="1">
        <v>73</v>
      </c>
      <c r="G327" s="1">
        <v>12</v>
      </c>
      <c r="H327" s="1">
        <v>135</v>
      </c>
      <c r="I327" s="1" t="s">
        <v>173</v>
      </c>
      <c r="J327" s="1">
        <v>47</v>
      </c>
      <c r="K327" s="1">
        <v>5</v>
      </c>
      <c r="L327" s="1">
        <v>11</v>
      </c>
      <c r="M327" s="1">
        <v>206</v>
      </c>
      <c r="N327" s="1">
        <v>6</v>
      </c>
      <c r="O327" s="1">
        <v>46.5</v>
      </c>
      <c r="P327" s="1">
        <v>40</v>
      </c>
      <c r="Q327" s="1">
        <v>7</v>
      </c>
      <c r="R327" s="1">
        <v>8</v>
      </c>
      <c r="S327" s="23">
        <f>2.3*0.84*0.8*N327*0.662</f>
        <v>6.1391231999999993</v>
      </c>
    </row>
    <row r="328" spans="1:19" x14ac:dyDescent="0.3">
      <c r="A328" s="1" t="s">
        <v>182</v>
      </c>
      <c r="B328" s="21" t="s">
        <v>184</v>
      </c>
      <c r="C328" s="21">
        <v>3</v>
      </c>
      <c r="D328" s="4">
        <v>5</v>
      </c>
      <c r="E328" s="1">
        <v>342</v>
      </c>
      <c r="F328" s="1">
        <v>65</v>
      </c>
      <c r="G328" s="1">
        <v>10</v>
      </c>
      <c r="H328" s="1">
        <v>135</v>
      </c>
      <c r="I328" s="1" t="s">
        <v>173</v>
      </c>
      <c r="J328" s="1">
        <v>47</v>
      </c>
      <c r="K328" s="1">
        <v>5</v>
      </c>
      <c r="L328" s="1">
        <v>11</v>
      </c>
      <c r="M328" s="1">
        <v>205</v>
      </c>
      <c r="N328" s="1">
        <v>6</v>
      </c>
      <c r="O328" s="1">
        <v>40.200000000000003</v>
      </c>
      <c r="P328" s="1">
        <v>39</v>
      </c>
      <c r="Q328" s="1">
        <v>7</v>
      </c>
      <c r="R328" s="1">
        <v>7.8</v>
      </c>
      <c r="S328" s="23">
        <f>2.35*0.81*0.8*N328*0.662</f>
        <v>6.0485616000000011</v>
      </c>
    </row>
    <row r="329" spans="1:19" x14ac:dyDescent="0.3">
      <c r="A329" s="1" t="s">
        <v>182</v>
      </c>
      <c r="B329" s="21" t="s">
        <v>184</v>
      </c>
      <c r="C329" s="21">
        <v>3</v>
      </c>
      <c r="D329" s="4">
        <v>6</v>
      </c>
      <c r="E329" s="1">
        <v>305</v>
      </c>
      <c r="F329" s="1">
        <v>68</v>
      </c>
      <c r="G329" s="1">
        <v>16</v>
      </c>
      <c r="H329" s="1">
        <v>133</v>
      </c>
      <c r="I329" s="1" t="s">
        <v>175</v>
      </c>
      <c r="J329" s="1">
        <v>43</v>
      </c>
      <c r="K329" s="1">
        <v>1</v>
      </c>
      <c r="L329" s="1"/>
      <c r="M329" s="1"/>
      <c r="N329" s="1"/>
      <c r="O329" s="1"/>
      <c r="P329" s="1"/>
      <c r="Q329" s="1"/>
      <c r="R329" s="1"/>
      <c r="S329" s="23"/>
    </row>
    <row r="330" spans="1:19" x14ac:dyDescent="0.3">
      <c r="A330" s="1" t="s">
        <v>182</v>
      </c>
      <c r="B330" s="21" t="s">
        <v>184</v>
      </c>
      <c r="C330" s="21">
        <v>3</v>
      </c>
      <c r="D330" s="4">
        <v>7</v>
      </c>
      <c r="E330" s="1">
        <v>345</v>
      </c>
      <c r="F330" s="1">
        <v>66</v>
      </c>
      <c r="G330" s="1">
        <v>16</v>
      </c>
      <c r="H330" s="1">
        <v>133</v>
      </c>
      <c r="I330" s="1" t="s">
        <v>175</v>
      </c>
      <c r="J330" s="1">
        <v>43</v>
      </c>
      <c r="K330" s="1">
        <v>1</v>
      </c>
      <c r="L330" s="1">
        <v>11</v>
      </c>
      <c r="M330" s="1">
        <v>210</v>
      </c>
      <c r="N330" s="1">
        <v>7</v>
      </c>
      <c r="O330" s="1">
        <v>40.700000000000003</v>
      </c>
      <c r="P330" s="1">
        <v>38</v>
      </c>
      <c r="Q330" s="1">
        <v>7</v>
      </c>
      <c r="R330" s="1">
        <v>8.4</v>
      </c>
      <c r="S330" s="23">
        <f>2.47*0.86*0.8*N330*0.662</f>
        <v>7.8748342400000011</v>
      </c>
    </row>
    <row r="331" spans="1:19" x14ac:dyDescent="0.3">
      <c r="A331" s="1" t="s">
        <v>182</v>
      </c>
      <c r="B331" s="21" t="s">
        <v>184</v>
      </c>
      <c r="C331" s="21">
        <v>3</v>
      </c>
      <c r="D331" s="4">
        <v>8</v>
      </c>
      <c r="E331" s="1">
        <v>335</v>
      </c>
      <c r="F331" s="1">
        <v>66</v>
      </c>
      <c r="G331" s="1">
        <v>13</v>
      </c>
      <c r="H331" s="1">
        <v>104</v>
      </c>
      <c r="I331" s="1" t="s">
        <v>174</v>
      </c>
      <c r="J331" s="1">
        <v>42</v>
      </c>
      <c r="K331" s="1">
        <v>52</v>
      </c>
      <c r="L331" s="1">
        <v>10</v>
      </c>
      <c r="M331" s="1">
        <v>190</v>
      </c>
      <c r="N331" s="1">
        <v>7</v>
      </c>
      <c r="O331" s="1">
        <v>47.5</v>
      </c>
      <c r="P331" s="1">
        <v>37</v>
      </c>
      <c r="Q331" s="1">
        <v>7</v>
      </c>
      <c r="R331" s="1">
        <v>7.6</v>
      </c>
      <c r="S331" s="23">
        <f>2.34*0.86*0.8*N331*0.662</f>
        <v>7.4603692800000001</v>
      </c>
    </row>
    <row r="332" spans="1:19" x14ac:dyDescent="0.3">
      <c r="A332" s="1" t="s">
        <v>182</v>
      </c>
      <c r="B332" s="21" t="s">
        <v>184</v>
      </c>
      <c r="C332" s="21">
        <v>3</v>
      </c>
      <c r="D332" s="4">
        <v>9</v>
      </c>
      <c r="E332" s="1">
        <v>310</v>
      </c>
      <c r="F332" s="1">
        <v>62</v>
      </c>
      <c r="G332" s="1">
        <v>10</v>
      </c>
      <c r="H332" s="1">
        <v>65</v>
      </c>
      <c r="I332" s="1" t="s">
        <v>183</v>
      </c>
      <c r="J332" s="1">
        <v>52</v>
      </c>
      <c r="K332" s="1">
        <v>10</v>
      </c>
      <c r="L332" s="1"/>
      <c r="M332" s="1"/>
      <c r="N332" s="1"/>
      <c r="O332" s="1"/>
      <c r="P332" s="1"/>
      <c r="Q332" s="1"/>
      <c r="R332" s="1"/>
      <c r="S332" s="23"/>
    </row>
    <row r="333" spans="1:19" x14ac:dyDescent="0.3">
      <c r="A333" s="1" t="s">
        <v>182</v>
      </c>
      <c r="B333" s="21" t="s">
        <v>184</v>
      </c>
      <c r="C333" s="21">
        <v>3</v>
      </c>
      <c r="D333" s="4">
        <v>10</v>
      </c>
      <c r="E333" s="1">
        <v>336</v>
      </c>
      <c r="F333" s="1">
        <v>64</v>
      </c>
      <c r="G333" s="1">
        <v>11</v>
      </c>
      <c r="H333" s="1">
        <v>97</v>
      </c>
      <c r="I333" s="1" t="s">
        <v>178</v>
      </c>
      <c r="J333" s="1">
        <v>2</v>
      </c>
      <c r="K333" s="1">
        <v>12</v>
      </c>
      <c r="L333" s="1"/>
      <c r="M333" s="1"/>
      <c r="N333" s="1"/>
      <c r="O333" s="1"/>
      <c r="P333" s="1"/>
      <c r="Q333" s="1"/>
      <c r="R333" s="1"/>
      <c r="S333" s="23"/>
    </row>
    <row r="334" spans="1:19" x14ac:dyDescent="0.3">
      <c r="A334" s="1" t="s">
        <v>182</v>
      </c>
      <c r="B334" s="21" t="s">
        <v>184</v>
      </c>
      <c r="C334" s="21">
        <v>3</v>
      </c>
      <c r="D334" s="4">
        <v>11</v>
      </c>
      <c r="E334" s="1">
        <v>285</v>
      </c>
      <c r="F334" s="1">
        <v>61</v>
      </c>
      <c r="G334" s="1">
        <v>11</v>
      </c>
      <c r="H334" s="1">
        <v>147</v>
      </c>
      <c r="I334" s="1" t="s">
        <v>176</v>
      </c>
      <c r="J334" s="1">
        <v>45</v>
      </c>
      <c r="K334" s="1">
        <v>3</v>
      </c>
      <c r="L334" s="1"/>
      <c r="M334" s="1"/>
      <c r="N334" s="1"/>
      <c r="O334" s="1"/>
      <c r="P334" s="1"/>
      <c r="Q334" s="1"/>
      <c r="R334" s="1"/>
      <c r="S334" s="23"/>
    </row>
    <row r="335" spans="1:19" x14ac:dyDescent="0.3">
      <c r="A335" s="1" t="s">
        <v>182</v>
      </c>
      <c r="B335" s="21" t="s">
        <v>184</v>
      </c>
      <c r="C335" s="21">
        <v>3</v>
      </c>
      <c r="D335" s="4">
        <v>12</v>
      </c>
      <c r="E335" s="1">
        <v>326</v>
      </c>
      <c r="F335" s="1">
        <v>66</v>
      </c>
      <c r="G335" s="1">
        <v>11</v>
      </c>
      <c r="H335" s="1">
        <v>147</v>
      </c>
      <c r="I335" s="1" t="s">
        <v>176</v>
      </c>
      <c r="J335" s="1">
        <v>45</v>
      </c>
      <c r="K335" s="1">
        <v>3</v>
      </c>
      <c r="L335" s="1">
        <v>12</v>
      </c>
      <c r="M335" s="1">
        <v>190</v>
      </c>
      <c r="N335" s="1">
        <v>6</v>
      </c>
      <c r="O335" s="1">
        <v>36.6</v>
      </c>
      <c r="P335" s="1">
        <v>38</v>
      </c>
      <c r="Q335" s="1">
        <v>7</v>
      </c>
      <c r="R335" s="1">
        <v>6.8</v>
      </c>
      <c r="S335" s="23">
        <f>2.14*0.88*0.8*N335*0.662</f>
        <v>5.9840563200000014</v>
      </c>
    </row>
    <row r="336" spans="1:19" x14ac:dyDescent="0.3">
      <c r="A336" s="1" t="s">
        <v>182</v>
      </c>
      <c r="B336" s="21" t="s">
        <v>184</v>
      </c>
      <c r="C336" s="21">
        <v>3</v>
      </c>
      <c r="D336" s="4">
        <v>13</v>
      </c>
      <c r="E336" s="1">
        <v>290</v>
      </c>
      <c r="F336" s="1">
        <v>55</v>
      </c>
      <c r="G336" s="1">
        <v>9</v>
      </c>
      <c r="H336" s="1">
        <v>110</v>
      </c>
      <c r="I336" s="1" t="s">
        <v>173</v>
      </c>
      <c r="J336" s="1">
        <v>47</v>
      </c>
      <c r="K336" s="1">
        <v>5</v>
      </c>
      <c r="L336" s="1">
        <v>11</v>
      </c>
      <c r="M336" s="1">
        <v>170</v>
      </c>
      <c r="N336" s="1">
        <v>4</v>
      </c>
      <c r="O336" s="1">
        <v>34</v>
      </c>
      <c r="P336" s="1">
        <v>30</v>
      </c>
      <c r="Q336" s="1">
        <v>6</v>
      </c>
      <c r="R336" s="1">
        <v>7</v>
      </c>
      <c r="S336" s="23">
        <f>2.1*0.78*0.8*N336*0.662</f>
        <v>3.4699392000000007</v>
      </c>
    </row>
    <row r="337" spans="1:19" x14ac:dyDescent="0.3">
      <c r="A337" s="1" t="s">
        <v>182</v>
      </c>
      <c r="B337" s="21" t="s">
        <v>184</v>
      </c>
      <c r="C337" s="21">
        <v>3</v>
      </c>
      <c r="D337" s="4">
        <v>14</v>
      </c>
      <c r="E337" s="1">
        <v>360</v>
      </c>
      <c r="F337" s="1">
        <v>70</v>
      </c>
      <c r="G337" s="1">
        <v>12</v>
      </c>
      <c r="H337" s="1">
        <v>120</v>
      </c>
      <c r="I337" s="1" t="s">
        <v>179</v>
      </c>
      <c r="J337" s="1">
        <v>49</v>
      </c>
      <c r="K337" s="1">
        <v>7</v>
      </c>
      <c r="L337" s="1"/>
      <c r="M337" s="1"/>
      <c r="N337" s="1"/>
      <c r="O337" s="1"/>
      <c r="P337" s="1"/>
      <c r="Q337" s="1"/>
      <c r="R337" s="1"/>
      <c r="S337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Introducción</vt:lpstr>
      <vt:lpstr>Datos_largo</vt:lpstr>
      <vt:lpstr>Datos_AF_Peso</vt:lpstr>
      <vt:lpstr>Datos_estructura</vt:lpstr>
      <vt:lpstr>Datos_tiempo</vt:lpstr>
      <vt:lpstr>Datos_area</vt:lpstr>
      <vt:lpstr>Datos_producción</vt:lpstr>
      <vt:lpstr>Producción_anual</vt:lpstr>
      <vt:lpstr>Tabla_final</vt:lpstr>
      <vt:lpstr>Datos_crudo_Crecimiento</vt:lpstr>
      <vt:lpstr>Datos_crudo_Cosecha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Peralta</dc:creator>
  <cp:lastModifiedBy>Francis Peralta</cp:lastModifiedBy>
  <dcterms:created xsi:type="dcterms:W3CDTF">2026-03-03T12:33:15Z</dcterms:created>
  <dcterms:modified xsi:type="dcterms:W3CDTF">2026-03-05T16:48:51Z</dcterms:modified>
</cp:coreProperties>
</file>